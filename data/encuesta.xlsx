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limtek_altas.LIMTEK\Downloads\"/>
    </mc:Choice>
  </mc:AlternateContent>
  <xr:revisionPtr revIDLastSave="0" documentId="13_ncr:1_{83F6D5BA-2B5F-45D8-9A02-F301C5E15B6B}" xr6:coauthVersionLast="47" xr6:coauthVersionMax="47" xr10:uidLastSave="{00000000-0000-0000-0000-000000000000}"/>
  <bookViews>
    <workbookView xWindow="-120" yWindow="-120" windowWidth="29040" windowHeight="15840" xr2:uid="{00000000-000D-0000-FFFF-FFFF00000000}"/>
  </bookViews>
  <sheets>
    <sheet name="Sheet" sheetId="1" r:id="rId1"/>
  </sheets>
  <definedNames>
    <definedName name="_xlnm._FilterDatabase" localSheetId="0" hidden="1">Sheet!$A$1:$AE$1467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85B327-7BC0-48E8-AA3B-CA6DF6793396}" keepAlive="1" name="Consulta - tbl_encuesta" description="Conexión a la consulta 'tbl_encuesta' en el libro." type="5" refreshedVersion="8" background="1" saveData="1">
    <dbPr connection="Provider=Microsoft.Mashup.OleDb.1;Data Source=$Workbook$;Location=tbl_encuesta;Extended Properties=&quot;&quot;" command="SELECT * FROM [tbl_encuesta]"/>
  </connection>
</connections>
</file>

<file path=xl/sharedStrings.xml><?xml version="1.0" encoding="utf-8"?>
<sst xmlns="http://schemas.openxmlformats.org/spreadsheetml/2006/main" count="24345" uniqueCount="3879">
  <si>
    <t>respondent_id</t>
  </si>
  <si>
    <t>collector_id</t>
  </si>
  <si>
    <t>date_created</t>
  </si>
  <si>
    <t>date_modified</t>
  </si>
  <si>
    <t>ip_address</t>
  </si>
  <si>
    <t>Me siento a gusto con el ambiente de trabajo que se genera en mi equipo.</t>
  </si>
  <si>
    <t>Me siento motivado a dar lo mejor de mí y hacer un buen trabajo</t>
  </si>
  <si>
    <t>Mi supervisor o jefe directo me otorga el soporte que necesito para afrontar cualquier problema que afecte mi trabajo</t>
  </si>
  <si>
    <t>Mi supervisor o jefe directo fomenta que nos apoyemos entre todos en el equipo</t>
  </si>
  <si>
    <t>Siento que mi trabajo es reconocido por mi supervisor o jefe directo.</t>
  </si>
  <si>
    <t>Mi supervisor o jefe directo nos brinda charlas de 5 minutos y comunica las novedades relevantes a mi puesto de trabajo</t>
  </si>
  <si>
    <t>¿Usas whatsapp en tu vida diaria?</t>
  </si>
  <si>
    <t>Considero a Limtek como un buen lugar para trabajar</t>
  </si>
  <si>
    <t>¿Qué destacas de Limtek al considerarlo un buen lugar para trabajar?</t>
  </si>
  <si>
    <t>¿Qué tendría que mejorar Limtek para que lo consideres un buen lugar para trabajar?</t>
  </si>
  <si>
    <t>¿En qué departamento trabajas?</t>
  </si>
  <si>
    <t>¿Cuánto tiempo llevas trabajando en Limtek?</t>
  </si>
  <si>
    <t>Seguridad y Salud en el Trabajo</t>
  </si>
  <si>
    <t>Uso de maquinarias y equipos</t>
  </si>
  <si>
    <t>Uso de insumos</t>
  </si>
  <si>
    <t>Atención al cliente</t>
  </si>
  <si>
    <t>190.235.46.192</t>
  </si>
  <si>
    <t>Parcialmente de acuerdo</t>
  </si>
  <si>
    <t>Totalmente de acuerdo</t>
  </si>
  <si>
    <t>Casi nunca</t>
  </si>
  <si>
    <t>Sí</t>
  </si>
  <si>
    <t>su sistema de gestión es muy organizado.</t>
  </si>
  <si>
    <t>impulsar practicas ambientales</t>
  </si>
  <si>
    <t>LIMA</t>
  </si>
  <si>
    <t>De 6 meses a 1 año</t>
  </si>
  <si>
    <t>179.6.6.217</t>
  </si>
  <si>
    <t>Siempre</t>
  </si>
  <si>
    <t>No se retrasa en los pagos</t>
  </si>
  <si>
    <t>Falta de prestamos</t>
  </si>
  <si>
    <t>De 3 años a más</t>
  </si>
  <si>
    <t>45.232.106.58</t>
  </si>
  <si>
    <t>Que hacemos un buen equipo</t>
  </si>
  <si>
    <t>Todo esta bien</t>
  </si>
  <si>
    <t>PIURA</t>
  </si>
  <si>
    <t>179.7.82.99</t>
  </si>
  <si>
    <t>Sueldo puntual</t>
  </si>
  <si>
    <t>Más descanso</t>
  </si>
  <si>
    <t>190.236.9.32</t>
  </si>
  <si>
    <t>Totalmente en desacuerdo</t>
  </si>
  <si>
    <t>Si</t>
  </si>
  <si>
    <t>38.250.149.78</t>
  </si>
  <si>
    <t>No</t>
  </si>
  <si>
    <t>Es una empresa muy buena</t>
  </si>
  <si>
    <t>Capacitar más al personal q entra a trabajar</t>
  </si>
  <si>
    <t>179.7.82.0</t>
  </si>
  <si>
    <t>Muchas cosas</t>
  </si>
  <si>
    <t>Mejorar sueldo ...y / o más turnos</t>
  </si>
  <si>
    <t>190.239.73.195</t>
  </si>
  <si>
    <t>El pago</t>
  </si>
  <si>
    <t>Todo está bien</t>
  </si>
  <si>
    <t>De 2 a 3 años</t>
  </si>
  <si>
    <t>181.176.45.4</t>
  </si>
  <si>
    <t>Por el buen trato</t>
  </si>
  <si>
    <t>Más charlas</t>
  </si>
  <si>
    <t>AMAZONAS</t>
  </si>
  <si>
    <t>Operario</t>
  </si>
  <si>
    <t>De 1 a 2 años</t>
  </si>
  <si>
    <t>179.7.83.118</t>
  </si>
  <si>
    <t>Horario flexibles,los beneficios</t>
  </si>
  <si>
    <t>Q nos den canasta y vacaciones,  más horas de trabajo</t>
  </si>
  <si>
    <t>TUMBES</t>
  </si>
  <si>
    <t>190.235.45.71</t>
  </si>
  <si>
    <t>Casi siempre</t>
  </si>
  <si>
    <t>Todo</t>
  </si>
  <si>
    <t>De 0 a 6 meses</t>
  </si>
  <si>
    <t>170.246.58.164</t>
  </si>
  <si>
    <t>Incentivar al personal en fiestas pu ntuales día de la madre.navidadd</t>
  </si>
  <si>
    <t>ICA</t>
  </si>
  <si>
    <t>179.6.6.114</t>
  </si>
  <si>
    <t>Es bueno es seguro</t>
  </si>
  <si>
    <t>Que llegan a tiempo los materiales</t>
  </si>
  <si>
    <t>179.7.83.112</t>
  </si>
  <si>
    <t>Lo considero un buen lugar por que siempre nos capacitan y nos demuestran su apoyo</t>
  </si>
  <si>
    <t>Bueno que siempre sigan brindandonos más capacitasiones</t>
  </si>
  <si>
    <t>Por su apoyo que limtek brinda a sus colaboradores</t>
  </si>
  <si>
    <t>Nada , por que ellos nos capacitan y nos dan a conocer que juntos hacemos un buen equipo</t>
  </si>
  <si>
    <t>38.255.106.195</t>
  </si>
  <si>
    <t>Respetar el horario de trabajo</t>
  </si>
  <si>
    <t>Caja Piura</t>
  </si>
  <si>
    <t>190.236.24.6</t>
  </si>
  <si>
    <t>Bueno yo tengo poco tiempo trabajando para limtek asi q no puedo decir mucho hasta hoy en dia todo bien</t>
  </si>
  <si>
    <t>179.7.82.179</t>
  </si>
  <si>
    <t>Trabajar en equipo</t>
  </si>
  <si>
    <t>El buen trato</t>
  </si>
  <si>
    <t>Capaciten al personal a trabajar en equipo</t>
  </si>
  <si>
    <t>38.25.2.81</t>
  </si>
  <si>
    <t>Q es muy responsable en los pagos</t>
  </si>
  <si>
    <t>Hasta el momento en nada</t>
  </si>
  <si>
    <t>181.176.116.228</t>
  </si>
  <si>
    <t>Contamos el uso de los eep adecuados</t>
  </si>
  <si>
    <t>Siempre no dejar de darnos charlas</t>
  </si>
  <si>
    <t>38.224.143.79</t>
  </si>
  <si>
    <t>Parcialmente en desacuerdo</t>
  </si>
  <si>
    <t>Buen Ambiente laboral y beneficios laborales</t>
  </si>
  <si>
    <t>Comunicación y trabajo en equipo</t>
  </si>
  <si>
    <t>190.233.206.25</t>
  </si>
  <si>
    <t>Buen clima laboral</t>
  </si>
  <si>
    <t>Por ahora nada, todo conforme</t>
  </si>
  <si>
    <t>132.184.55.252</t>
  </si>
  <si>
    <t>Cuida la salud del trabajador</t>
  </si>
  <si>
    <t>En los equipos de producción</t>
  </si>
  <si>
    <t>190.236.28.163</t>
  </si>
  <si>
    <t>Nos brindan todos los eepp de protección y puntuales en el pago lo</t>
  </si>
  <si>
    <t>Lo q tiene q hacer limtek es reponer las 8 horas los trabajadores q x ahora tenemos 6 horas cmo saben no alcanza lo poco q ganamos eso debe mejorar cn su personal</t>
  </si>
  <si>
    <t>200.62.239.74</t>
  </si>
  <si>
    <t>Es  buena empresa y en respecto asus pagos son puntuales.</t>
  </si>
  <si>
    <t>Seguir  siempre  mejorando  mucho más para que así pueda brindar un buen servicio como hasta ahora lo viene haciendo</t>
  </si>
  <si>
    <t>190.236.28.2</t>
  </si>
  <si>
    <t>Buen trabajo</t>
  </si>
  <si>
    <t>Nd</t>
  </si>
  <si>
    <t>179.6.138.148</t>
  </si>
  <si>
    <t>Capacitación</t>
  </si>
  <si>
    <t>132.184.55.76</t>
  </si>
  <si>
    <t>Su organisacion personal</t>
  </si>
  <si>
    <t>En algunos beneficios</t>
  </si>
  <si>
    <t>Real plaza</t>
  </si>
  <si>
    <t>190.232.29.215</t>
  </si>
  <si>
    <t>Nada</t>
  </si>
  <si>
    <t>181.176.122.167</t>
  </si>
  <si>
    <t>El cumplimiento del abono del sueldo</t>
  </si>
  <si>
    <t>Comunicación</t>
  </si>
  <si>
    <t>179.6.136.222</t>
  </si>
  <si>
    <t>La comunicación y apoyo al personal</t>
  </si>
  <si>
    <t>190.234.23.163</t>
  </si>
  <si>
    <t>Buen trato</t>
  </si>
  <si>
    <t>Tener buena coordinacion con el personal</t>
  </si>
  <si>
    <t>181.176.40.95</t>
  </si>
  <si>
    <t>Una buena empresa</t>
  </si>
  <si>
    <t>Que haga reuniones de trabajo para conocernos entre amigos</t>
  </si>
  <si>
    <t>190.232.53.86</t>
  </si>
  <si>
    <t>Buena empresa</t>
  </si>
  <si>
    <t>Q tenga buenos supervisores</t>
  </si>
  <si>
    <t>Caja piuea</t>
  </si>
  <si>
    <t>190.237.184.185</t>
  </si>
  <si>
    <t>Que tiene horarios fijos</t>
  </si>
  <si>
    <t>Capacitaciones y convenios</t>
  </si>
  <si>
    <t>181.78.42.69</t>
  </si>
  <si>
    <t>K nos capacidad siempre</t>
  </si>
  <si>
    <t>132.191.0.202</t>
  </si>
  <si>
    <t>Sobre el clima laboral y apoyo entre nosotros</t>
  </si>
  <si>
    <t>Pagos puntuales</t>
  </si>
  <si>
    <t>Capacitación y buen trato al personal operativo</t>
  </si>
  <si>
    <t>132.184.55.156</t>
  </si>
  <si>
    <t>Que cumple con todo los beneficios y es puntual</t>
  </si>
  <si>
    <t>Tener un buen personal</t>
  </si>
  <si>
    <t>179.6.75.49</t>
  </si>
  <si>
    <t>por ser responsables en las capacitaciones de los centros laborables</t>
  </si>
  <si>
    <t>mas capacitaciones9</t>
  </si>
  <si>
    <t>190.223.79.36</t>
  </si>
  <si>
    <t>Buen trato amabilidad</t>
  </si>
  <si>
    <t>Que den más charlas para mejorar y aprender</t>
  </si>
  <si>
    <t>190.237.12.133</t>
  </si>
  <si>
    <t>Que el  encargado no tome más en cuenta</t>
  </si>
  <si>
    <t>132.157.128.205</t>
  </si>
  <si>
    <t>Cumple con las obligaciones hacia los trabajadores</t>
  </si>
  <si>
    <t>Que el encargado tenga más en cuenta  las necesidades de el personal</t>
  </si>
  <si>
    <t>190.232.176.225</t>
  </si>
  <si>
    <t>La enprensa d limtek en un lugard trabajo</t>
  </si>
  <si>
    <t>Tendria q mejoraproductos d limpeza</t>
  </si>
  <si>
    <t>190.236.30.22</t>
  </si>
  <si>
    <t>Me siento cómoda tal cual esta</t>
  </si>
  <si>
    <t>Limtek</t>
  </si>
  <si>
    <t>La enpresa es un lugar d trabajo</t>
  </si>
  <si>
    <t>Tendtia q mejorar en mas productos d limpirza</t>
  </si>
  <si>
    <t>179.6.137.132</t>
  </si>
  <si>
    <t>Que paga puntual nuestros sueldos</t>
  </si>
  <si>
    <t>Que los supervisores y y coordinadores de campo mejoren su trato y atiendan los pedidos de los trabajadores</t>
  </si>
  <si>
    <t>190.239.65.108</t>
  </si>
  <si>
    <t>Dar ainmisaciones d los operarios</t>
  </si>
  <si>
    <t>179.7.106.222</t>
  </si>
  <si>
    <t>Nunca</t>
  </si>
  <si>
    <t>Un empresa buna</t>
  </si>
  <si>
    <t>En su capacitación y uniforme</t>
  </si>
  <si>
    <t>132.184.130.251</t>
  </si>
  <si>
    <t>Más capacitaciónes  mejorar en sus uniformes</t>
  </si>
  <si>
    <t>132.184.55.26</t>
  </si>
  <si>
    <t>Es muy puntual en sus pagos.</t>
  </si>
  <si>
    <t>Por el momento todo bien.</t>
  </si>
  <si>
    <t>190.42.33.138</t>
  </si>
  <si>
    <t>Buenos supervisores y su pasión por el trabajo</t>
  </si>
  <si>
    <t>Que los materiales lleguen a tiempo</t>
  </si>
  <si>
    <t>186.163.10.53</t>
  </si>
  <si>
    <t>Pagan  puntual</t>
  </si>
  <si>
    <t>Que den más capasitaciones</t>
  </si>
  <si>
    <t>190.236.28.117</t>
  </si>
  <si>
    <t>Sus capacitaciones y sus pagos puntuales</t>
  </si>
  <si>
    <t>Yo creo que nada es una buena empresa</t>
  </si>
  <si>
    <t>179.6.136.212</t>
  </si>
  <si>
    <t>Pago puntual</t>
  </si>
  <si>
    <t>El supervisor debe contestar las llamadas o wuassap</t>
  </si>
  <si>
    <t>38.56.216.9</t>
  </si>
  <si>
    <t>Destacó la armonía q se tiene al trabajo</t>
  </si>
  <si>
    <t>132.184.55.39</t>
  </si>
  <si>
    <t>Mejores ambientes de trabajo</t>
  </si>
  <si>
    <t>132.157.130.135</t>
  </si>
  <si>
    <t>En nada es buen trabajo y mejor empresa</t>
  </si>
  <si>
    <t>38.56.216.92</t>
  </si>
  <si>
    <t>Tiene un buen clima laboral el supervisor tiene paciencia y comprensión</t>
  </si>
  <si>
    <t>En apoyar y dar soporte constante en capacitación presencial teórica y práctica</t>
  </si>
  <si>
    <t>38.250.154.68</t>
  </si>
  <si>
    <t>Destaco que es un trabajo que requiere responsabilidad, constancia, disciplina</t>
  </si>
  <si>
    <t>Capacitacion para mejorar nuestras labores</t>
  </si>
  <si>
    <t>181.176.112.107</t>
  </si>
  <si>
    <t>Que trata bien a sus trabajadores</t>
  </si>
  <si>
    <t>Que siga así con los trabajadores</t>
  </si>
  <si>
    <t>Que trata bien al personal</t>
  </si>
  <si>
    <t>Que siga así con lostrabajadores</t>
  </si>
  <si>
    <t>132.251.1.183</t>
  </si>
  <si>
    <t>La puntualidad en los pagos</t>
  </si>
  <si>
    <t>179.6.29.159</t>
  </si>
  <si>
    <t>Un buen ambiente laboral</t>
  </si>
  <si>
    <t>Reconocer el esfuerzo de cada colaborador</t>
  </si>
  <si>
    <t>Si es un lugar para trabajar</t>
  </si>
  <si>
    <t>Mas trabajo</t>
  </si>
  <si>
    <t>132.184.55.6</t>
  </si>
  <si>
    <t>En q siempre está en capacitación con su personal para no tener accidentes en el trabajo</t>
  </si>
  <si>
    <t>Bueno en lo personal todo está bien</t>
  </si>
  <si>
    <t>179.7.82.119</t>
  </si>
  <si>
    <t>es una buena empresa es puntual con los pagos</t>
  </si>
  <si>
    <t>bueno para mí está bien y es una buena empresa</t>
  </si>
  <si>
    <t>181.65.207.115</t>
  </si>
  <si>
    <t>Que son muy puntuales en los pagos y que es un ambiente laboral armonioso.</t>
  </si>
  <si>
    <t>Que realice campañas de confraternidad para unión de los trabajadores.</t>
  </si>
  <si>
    <t>179.7.82.148</t>
  </si>
  <si>
    <t>El buen. Ambiente laboral</t>
  </si>
  <si>
    <t>Tener muchas más visitas por parte de mi supervisor</t>
  </si>
  <si>
    <t>181.176.44.157</t>
  </si>
  <si>
    <t>excelente</t>
  </si>
  <si>
    <t>encentivar más al personal</t>
  </si>
  <si>
    <t>190.232.201.62</t>
  </si>
  <si>
    <t>Una empresa responsable</t>
  </si>
  <si>
    <t>Yo en mi caso pasajes x wue en la noche cobran más y canastas navidad</t>
  </si>
  <si>
    <t>179.7.82.78</t>
  </si>
  <si>
    <t>puntual en sus pagos</t>
  </si>
  <si>
    <t>Visita más seguida del supervisor o jefe inmediato</t>
  </si>
  <si>
    <t>181.176.44.131</t>
  </si>
  <si>
    <t>Su amabilidad y su trato para con nosotros</t>
  </si>
  <si>
    <t>Nada todo bien</t>
  </si>
  <si>
    <t>Operario de limpieza</t>
  </si>
  <si>
    <t>179.7.15.240</t>
  </si>
  <si>
    <t>El buen de estado de lugar de trabajo</t>
  </si>
  <si>
    <t>Apoyo a los trabajadores</t>
  </si>
  <si>
    <t>179.7.83.7</t>
  </si>
  <si>
    <t>Ninguna todo bien</t>
  </si>
  <si>
    <t>179.7.82.209</t>
  </si>
  <si>
    <t>Que es una  buena empresa  para trabajar</t>
  </si>
  <si>
    <t>Que nos brinde las 8 hora de trabajo</t>
  </si>
  <si>
    <t>Totalmente satisfecho con limtek</t>
  </si>
  <si>
    <t>Ninguno todo bien</t>
  </si>
  <si>
    <t>45.4.92.18</t>
  </si>
  <si>
    <t>Por sus beneficios q brinda a sus trabajadores</t>
  </si>
  <si>
    <t>Q  el supervisor este pendiente d sus trabajadores</t>
  </si>
  <si>
    <t>45.5.59.98</t>
  </si>
  <si>
    <t>En que paga puntual ,y respeta a sus trabajadores</t>
  </si>
  <si>
    <t>En proeever mas materiales</t>
  </si>
  <si>
    <t>181.67.176.168</t>
  </si>
  <si>
    <t>Buen ambiente laboral y apoyo</t>
  </si>
  <si>
    <t>Más reuniones</t>
  </si>
  <si>
    <t>38.250.154.82</t>
  </si>
  <si>
    <t>Bueno la capacidad máxima</t>
  </si>
  <si>
    <t>Que nos considere más</t>
  </si>
  <si>
    <t>Que siempre seamos un buen equipo que</t>
  </si>
  <si>
    <t>Que todos trabajemos en conjunto</t>
  </si>
  <si>
    <t>132.184.55.193</t>
  </si>
  <si>
    <t>Siempre quieren lo mejor para sus trabajadores</t>
  </si>
  <si>
    <t>Hasta el momento nada</t>
  </si>
  <si>
    <t>179.7.82.149</t>
  </si>
  <si>
    <t>Q es una empresa responsable</t>
  </si>
  <si>
    <t>Bueno yo conforme a pesar q nos reducieron el horario estamos aquí dando todo lo q podemos</t>
  </si>
  <si>
    <t>132.184.55.137</t>
  </si>
  <si>
    <t>Capacitaciónes de SSOMA</t>
  </si>
  <si>
    <t>Su ambiente laboral</t>
  </si>
  <si>
    <t>Capacitaciónes presenciales</t>
  </si>
  <si>
    <t>132.184.130.123</t>
  </si>
  <si>
    <t>En su horario</t>
  </si>
  <si>
    <t>Bueno un poco de comunicación  mas</t>
  </si>
  <si>
    <t>190.232.29.223</t>
  </si>
  <si>
    <t>El buen trato de pago</t>
  </si>
  <si>
    <t>Respetar el horario que dan de trabajo</t>
  </si>
  <si>
    <t>Su honestidad respeto y su puntualidad</t>
  </si>
  <si>
    <t>190.236.24.9</t>
  </si>
  <si>
    <t>Valoran tu trabajo y son muy puntuales</t>
  </si>
  <si>
    <t>Nada todo ok</t>
  </si>
  <si>
    <t>190.239.71.5</t>
  </si>
  <si>
    <t>El apoyo y seguridad q nos brinda  lintek</t>
  </si>
  <si>
    <t>Todo es conforme.</t>
  </si>
  <si>
    <t>190.236.27.71</t>
  </si>
  <si>
    <t>Tenemos buena precentacin</t>
  </si>
  <si>
    <t>Enel material</t>
  </si>
  <si>
    <t>190.236.27.113</t>
  </si>
  <si>
    <t>Q es una buena empresa xq nos ayudan a comer más de lo q no sabemos</t>
  </si>
  <si>
    <t>Dar las sts</t>
  </si>
  <si>
    <t>190.235.44.84</t>
  </si>
  <si>
    <t>Estabilidad, y oportunidades de trabajo</t>
  </si>
  <si>
    <t>Un lugar excelente</t>
  </si>
  <si>
    <t>179.7.82.4</t>
  </si>
  <si>
    <t>Porque es puntual en los pagos.</t>
  </si>
  <si>
    <t>Que nos tenga un poco más de atención al trabajo.</t>
  </si>
  <si>
    <t>190.239.69.169</t>
  </si>
  <si>
    <t>El ambiente laboral</t>
  </si>
  <si>
    <t>Más capacitaciones</t>
  </si>
  <si>
    <t>Limpieza</t>
  </si>
  <si>
    <t>132.184.130.215</t>
  </si>
  <si>
    <t>Es puntual con los pagos y da buen trato al personal.</t>
  </si>
  <si>
    <t>Debería brindar capacitación al personal nuevo y considerar incomodidades del personal.</t>
  </si>
  <si>
    <t>179.7.83.88</t>
  </si>
  <si>
    <t>Buen trato al trabajador</t>
  </si>
  <si>
    <t>179.7.82.162</t>
  </si>
  <si>
    <t>Me siento seguro</t>
  </si>
  <si>
    <t>Todo tranquilo</t>
  </si>
  <si>
    <t>179.7.106.109</t>
  </si>
  <si>
    <t>Cumple con todo los beneficios</t>
  </si>
  <si>
    <t>Calzado para trabajar mas comodament</t>
  </si>
  <si>
    <t>179.7.82.138</t>
  </si>
  <si>
    <t>Negativo</t>
  </si>
  <si>
    <t>179.7.106.45</t>
  </si>
  <si>
    <t>Capacitación al personal</t>
  </si>
  <si>
    <t>Su puntualidad en.pagos y beneficios</t>
  </si>
  <si>
    <t>Mejorar la calidad de zapatos q sean mas comodos para hacer un buen trabajo</t>
  </si>
  <si>
    <t>38.250.152.136</t>
  </si>
  <si>
    <t>Fomenta la cultura de seguridad y salud en el trabajo</t>
  </si>
  <si>
    <t>Por el momento todo bien</t>
  </si>
  <si>
    <t>45.189.118.193</t>
  </si>
  <si>
    <t>181.176.125.83</t>
  </si>
  <si>
    <t>Pagan puntual</t>
  </si>
  <si>
    <t>Mejorar la  parte administrativa</t>
  </si>
  <si>
    <t>190.239.67.69</t>
  </si>
  <si>
    <t>Puntual en sus pagos</t>
  </si>
  <si>
    <t>Q los vacaciones sea cumpliendo un año</t>
  </si>
  <si>
    <t>190.239.68.125</t>
  </si>
  <si>
    <t>Sus fechas de pago</t>
  </si>
  <si>
    <t>Promover a personal al desarrollo de nuevas opciones o cargos según sus capacidades</t>
  </si>
  <si>
    <t>190.239.77.144</t>
  </si>
  <si>
    <t>Los pagos  puntuales</t>
  </si>
  <si>
    <t>Dar  canastas en navidad</t>
  </si>
  <si>
    <t>181.176.122.41</t>
  </si>
  <si>
    <t>K manda buen material</t>
  </si>
  <si>
    <t>K   mande puntual msteriales</t>
  </si>
  <si>
    <t>181.176.97.235</t>
  </si>
  <si>
    <t>Q mandas buen material</t>
  </si>
  <si>
    <t>Q mandé puntual los materiales</t>
  </si>
  <si>
    <t>190.234.23.88</t>
  </si>
  <si>
    <t>Automatización plc</t>
  </si>
  <si>
    <t>Trato agradable,buen clima laboral</t>
  </si>
  <si>
    <t>Los haberes</t>
  </si>
  <si>
    <t>190.236.9.169</t>
  </si>
  <si>
    <t>Los pagos puntuales</t>
  </si>
  <si>
    <t>Detalles por fiestas como Navidad y dia de la madre</t>
  </si>
  <si>
    <t>179.7.66.54</t>
  </si>
  <si>
    <t>Puntualidad en los pagos.</t>
  </si>
  <si>
    <t>Beneficios a los trabajadores.</t>
  </si>
  <si>
    <t>De uso de otros equipos de limpieza</t>
  </si>
  <si>
    <t>Que son correctos en sus pagos .</t>
  </si>
  <si>
    <t>Mejor eficiencia de comunicación en los trámites..</t>
  </si>
  <si>
    <t>San Juan de Lurigancho</t>
  </si>
  <si>
    <t>132.251.1.181</t>
  </si>
  <si>
    <t>Es un buen clima laboral</t>
  </si>
  <si>
    <t>Lo que tendría que mejorar es en sus  uniformes</t>
  </si>
  <si>
    <t>132.191.0.116</t>
  </si>
  <si>
    <t>En capacitar al personal nuevo</t>
  </si>
  <si>
    <t>132.191.1.148</t>
  </si>
  <si>
    <t>Que son puntuales en su pago</t>
  </si>
  <si>
    <t>Que debe tener personal para cubrir las vacaciones</t>
  </si>
  <si>
    <t>179.6.74.196</t>
  </si>
  <si>
    <t>Cumple con su reglamento y política y sobre todo en los beneficios para el trabajador</t>
  </si>
  <si>
    <t>Que nos den oportunidad para quedarnos más tiempo después de 4 años</t>
  </si>
  <si>
    <t>179.7.88.90</t>
  </si>
  <si>
    <t>Un ambiente tranquilo y laborable</t>
  </si>
  <si>
    <t>Más orientación y comunicación con los compañeros</t>
  </si>
  <si>
    <t>132.191.0.241</t>
  </si>
  <si>
    <t>Pagar puntual</t>
  </si>
  <si>
    <t>Tiene que planificar bien las vacaciones de los trabajadores</t>
  </si>
  <si>
    <t>132.251.0.64</t>
  </si>
  <si>
    <t>La puntualidad en sus pagos y el buen trato q nos danq los jefes seana</t>
  </si>
  <si>
    <t>Q los jefes sean comprensivos con sus trabajadores</t>
  </si>
  <si>
    <t>Ninguno</t>
  </si>
  <si>
    <t>38.250.148.166</t>
  </si>
  <si>
    <t>Empatía</t>
  </si>
  <si>
    <t>Actividades deportivas</t>
  </si>
  <si>
    <t>132.191.0.75</t>
  </si>
  <si>
    <t>Ofrece lugares cercanos al hogar para poder trabajar.</t>
  </si>
  <si>
    <t>Subir el sueldo</t>
  </si>
  <si>
    <t>190.235.44.33</t>
  </si>
  <si>
    <t>Puntualidad en los pagos</t>
  </si>
  <si>
    <t>Motivar con un incentivo cada renovación en la sedes</t>
  </si>
  <si>
    <t>38.25.98.25</t>
  </si>
  <si>
    <t>Por la segiridad y la puntualidad de pagoen</t>
  </si>
  <si>
    <t>Todo bien ... hasta el momentoli</t>
  </si>
  <si>
    <t>132.251.0.152</t>
  </si>
  <si>
    <t>Buen lugar para trabajar</t>
  </si>
  <si>
    <t>Capacitacion de maquinaria</t>
  </si>
  <si>
    <t>190.237.14.112</t>
  </si>
  <si>
    <t>Su compromiso</t>
  </si>
  <si>
    <t>179.6.75.235</t>
  </si>
  <si>
    <t>Es un buen ambiente laboral</t>
  </si>
  <si>
    <t>En los personales de apoyo</t>
  </si>
  <si>
    <t>132.191.1.104</t>
  </si>
  <si>
    <t>Buen lugar con un agradable ambiente de equipo</t>
  </si>
  <si>
    <t>179.7.92.91</t>
  </si>
  <si>
    <t>La comodidad</t>
  </si>
  <si>
    <t>Dar su canasta navideña como siempre lo hacía pero llegó la pandemia nada de nada</t>
  </si>
  <si>
    <t>38.25.98.110</t>
  </si>
  <si>
    <t>Pagan puntual los pagos</t>
  </si>
  <si>
    <t>K los operarios k cumple 4 años pasen a estableLima</t>
  </si>
  <si>
    <t>38.25.9.245</t>
  </si>
  <si>
    <t>La puntalidad en los pagos</t>
  </si>
  <si>
    <t>Mejorar en la entrega de de los productos de trabajo</t>
  </si>
  <si>
    <t>38.190.101.100</t>
  </si>
  <si>
    <t>Que nos dan oportunidad para salir adelante y ayudar así anuestra familia</t>
  </si>
  <si>
    <t>Yo considero limtek una buena empresa por que nos da oportunidad Para trabajar</t>
  </si>
  <si>
    <t>La puntualidad en los ppagos</t>
  </si>
  <si>
    <t>Mejorar en la entrega de los productos de limpieza</t>
  </si>
  <si>
    <t>179.7.66.167</t>
  </si>
  <si>
    <t>Sentirnos bien</t>
  </si>
  <si>
    <t>Tomar personal con esperienza</t>
  </si>
  <si>
    <t>179.6.136.104</t>
  </si>
  <si>
    <t>Supervision</t>
  </si>
  <si>
    <t>Calidad</t>
  </si>
  <si>
    <t>Asensos</t>
  </si>
  <si>
    <t>179.7.65.218</t>
  </si>
  <si>
    <t>Porque nos todos los implementos de limpieza para realizar nuestras labores.Y son puntuales en los pagos.Es una empresa que nos confianza</t>
  </si>
  <si>
    <t>En realidad..lo cumple todo como mencioné.</t>
  </si>
  <si>
    <t>190.236.11.38</t>
  </si>
  <si>
    <t>La puntualidad de pagos</t>
  </si>
  <si>
    <t>Reconocer y dar mejor trato a sus trabajadores</t>
  </si>
  <si>
    <t>38.253.147.1</t>
  </si>
  <si>
    <t>Las capacitaciones</t>
  </si>
  <si>
    <t>Mas comunicación con los operarios</t>
  </si>
  <si>
    <t>177.91.250.243</t>
  </si>
  <si>
    <t>te brindan facilidades y puedes estudiar para lograr superarte</t>
  </si>
  <si>
    <t>un poco mas considerados con las trabajadores y ser mas humano</t>
  </si>
  <si>
    <t>38.25.29.76</t>
  </si>
  <si>
    <t>Union</t>
  </si>
  <si>
    <t>En acercamiento de la empresa</t>
  </si>
  <si>
    <t>179.6.136.82</t>
  </si>
  <si>
    <t>Por ahora todo bien</t>
  </si>
  <si>
    <t>190.116.23.77</t>
  </si>
  <si>
    <t>Que es muy Puntual Con Todo sus pagos</t>
  </si>
  <si>
    <t>Nada Por ahora</t>
  </si>
  <si>
    <t>Acercamiento con los empleados</t>
  </si>
  <si>
    <t>179.6.136.182</t>
  </si>
  <si>
    <t>Quiero una capacitación de los insumos</t>
  </si>
  <si>
    <t>Que sea más amable</t>
  </si>
  <si>
    <t>Para que no de conocimiento en el trabajo</t>
  </si>
  <si>
    <t>Una comunicación  con llamadas  a comunicar lo que falta acer</t>
  </si>
  <si>
    <t>Apoyo económico  a os realmente trabajan bien</t>
  </si>
  <si>
    <t>132.191.1.223</t>
  </si>
  <si>
    <t>Por ofrecer beneficios de ley, pagos puntuales,  y oportunidades de crecimiento en un buen ambiente laboral con compañerismo</t>
  </si>
  <si>
    <t>No tendría que mejorar nada por que todo esta conforme</t>
  </si>
  <si>
    <t>132.251.0.69</t>
  </si>
  <si>
    <t>Me gusta porque son responsables con su personal.</t>
  </si>
  <si>
    <t>Podría mejorar material para el trabajo.</t>
  </si>
  <si>
    <t>38.199.7.176</t>
  </si>
  <si>
    <t>Su puntualidad en el pagos</t>
  </si>
  <si>
    <t>Debería premiar a los expertos de limpieza</t>
  </si>
  <si>
    <t>132.191.2.30</t>
  </si>
  <si>
    <t>Sus pagos puntuales</t>
  </si>
  <si>
    <t>Tener un poco más de empatía a los operarios al menos en fechas importantes</t>
  </si>
  <si>
    <t>179.6.7.15</t>
  </si>
  <si>
    <t>Nos dan los implementos de limpieza</t>
  </si>
  <si>
    <t>Ensentibar a los trabajadores</t>
  </si>
  <si>
    <t>132.251.2.239</t>
  </si>
  <si>
    <t>Que consideren más como personas</t>
  </si>
  <si>
    <t>190.238.238.179</t>
  </si>
  <si>
    <t>Pagan a tiempo</t>
  </si>
  <si>
    <t>Q siempre se preocupe por sus trabajadores y den incentivos y siempre escuchen</t>
  </si>
  <si>
    <t>179.7.92.158</t>
  </si>
  <si>
    <t>Que nos considere más cómo trabajadores</t>
  </si>
  <si>
    <t>Su puntualidad en el pago</t>
  </si>
  <si>
    <t>Para el incentivos. Debería de premiar a los mejores Experto en limpieza</t>
  </si>
  <si>
    <t>181.176.89.194</t>
  </si>
  <si>
    <t>La facilidad que da para realizar el trabajo correctamente.</t>
  </si>
  <si>
    <t>Ninguna</t>
  </si>
  <si>
    <t>Acercamiento con la empresa</t>
  </si>
  <si>
    <t>Considerar más a sus trabajadores</t>
  </si>
  <si>
    <t>179.6.138.31</t>
  </si>
  <si>
    <t>Actualicen sus  materiales</t>
  </si>
  <si>
    <t>132.191.0.44</t>
  </si>
  <si>
    <t>Fomentan el trabajo en equipo,  la unión laboral</t>
  </si>
  <si>
    <t>Concientizar a algunos jefes el respeto y empatía hacia los operadores</t>
  </si>
  <si>
    <t>190.236.10.176</t>
  </si>
  <si>
    <t>Materiales actualisados</t>
  </si>
  <si>
    <t>179.7.88.51</t>
  </si>
  <si>
    <t>Que somos un buen equipo</t>
  </si>
  <si>
    <t>Que tengamos más comunicación para poder hacer un buen trabajo</t>
  </si>
  <si>
    <t>190.235.44.150</t>
  </si>
  <si>
    <t>Más  productos para realizar los trabajos</t>
  </si>
  <si>
    <t>181.176.104.223</t>
  </si>
  <si>
    <t>Las charlas que dan</t>
  </si>
  <si>
    <t>No poner urgencia en tareas que llevan mucho tiempo a último momento</t>
  </si>
  <si>
    <t>132.251.2.122</t>
  </si>
  <si>
    <t>Cumplír con los materiales fecha exacta</t>
  </si>
  <si>
    <t>Esuna empresa confiable</t>
  </si>
  <si>
    <t>El  buen tratocon sus trabajadores</t>
  </si>
  <si>
    <t>38.253.150.25</t>
  </si>
  <si>
    <t>Su buen trabajo en la empresa</t>
  </si>
  <si>
    <t>179.7.66.2</t>
  </si>
  <si>
    <t>Colocar a sus trabajadores de acuerdo a su lugar de vivencia , ya q muchas veces estamos lejos de nuestros hogares y no nos reubican a pesar q se les pide</t>
  </si>
  <si>
    <t>200.215.250.219</t>
  </si>
  <si>
    <t>Buen ambiente laboral</t>
  </si>
  <si>
    <t>Mejor sueldo</t>
  </si>
  <si>
    <t>132.191.0.26</t>
  </si>
  <si>
    <t>Xq es una empresa que nos capacita constantemente y nos brinda un buen ambiente de trabajo</t>
  </si>
  <si>
    <t>Nada en realidad</t>
  </si>
  <si>
    <t>190.239.70.158</t>
  </si>
  <si>
    <t>Hay compañerismo</t>
  </si>
  <si>
    <t>Estrutura</t>
  </si>
  <si>
    <t>181.176.95.127</t>
  </si>
  <si>
    <t>Q es una empresa muy buena en todo y considerados con todos</t>
  </si>
  <si>
    <t>Q los supervisores vengan y vean los trabajos de cada personal</t>
  </si>
  <si>
    <t>132.191.0.43</t>
  </si>
  <si>
    <t>En la puntualidad en los pagos</t>
  </si>
  <si>
    <t>En poner más máquinas de lavado</t>
  </si>
  <si>
    <t>181.176.89.98</t>
  </si>
  <si>
    <t>Trabajo en quipo</t>
  </si>
  <si>
    <t>La estructura</t>
  </si>
  <si>
    <t>132.191.1.221</t>
  </si>
  <si>
    <t>La puntualidad</t>
  </si>
  <si>
    <t>Mejorar su comunicación y transparencia</t>
  </si>
  <si>
    <t>179.7.67.115</t>
  </si>
  <si>
    <t>Los materiales</t>
  </si>
  <si>
    <t>179.6.138.224</t>
  </si>
  <si>
    <t>Todo bien</t>
  </si>
  <si>
    <t>132.251.2.94</t>
  </si>
  <si>
    <t>Que los compañeros de trabajo son unidos</t>
  </si>
  <si>
    <t>Casi en nada</t>
  </si>
  <si>
    <t>190.233.231.212</t>
  </si>
  <si>
    <t>Es una empresa que no tiene problemas de pago al personal y se preocupa por mi seguridad</t>
  </si>
  <si>
    <t>Brindar mayores beneficios a los trabajadores en las fechas especiales</t>
  </si>
  <si>
    <t>181.176.80.75</t>
  </si>
  <si>
    <t>Que nos tratan con respeto a todos</t>
  </si>
  <si>
    <t>Los compañeros son unidos</t>
  </si>
  <si>
    <t>En nada</t>
  </si>
  <si>
    <t>190.232.163.68</t>
  </si>
  <si>
    <t>Que regrese las canastas navideñas y bonos por puntualidad</t>
  </si>
  <si>
    <t>132.251.2.176</t>
  </si>
  <si>
    <t>es bueno</t>
  </si>
  <si>
    <t>velar más por las inquietudes de sus trabajadores</t>
  </si>
  <si>
    <t>190.12.77.8</t>
  </si>
  <si>
    <t>Mas apoyo para sus trabajadores</t>
  </si>
  <si>
    <t>181.176.110.75</t>
  </si>
  <si>
    <t>Es una buena empresa.</t>
  </si>
  <si>
    <t>Más apoyo para sus trabajadores</t>
  </si>
  <si>
    <t>179.7.83.37</t>
  </si>
  <si>
    <t>Buen trato, nos dan solución en problemas que se presentan en mi trabajo</t>
  </si>
  <si>
    <t>190.43.17.102</t>
  </si>
  <si>
    <t>Recomendado</t>
  </si>
  <si>
    <t>En preguntar a sus trabajadores que materiales necesita tu agencia donde lavoras y no envíen materiales que ys tienen.</t>
  </si>
  <si>
    <t>CAJAMARCA</t>
  </si>
  <si>
    <t>190.236.24.220</t>
  </si>
  <si>
    <t>Es una empresa responsable</t>
  </si>
  <si>
    <t>Debe dar mejores canastas navideñas</t>
  </si>
  <si>
    <t>181.176.108.31</t>
  </si>
  <si>
    <t>Reconocer nuestros derechos laborables</t>
  </si>
  <si>
    <t>AREQUIPA</t>
  </si>
  <si>
    <t>38.226.208.5</t>
  </si>
  <si>
    <t>Que es una empresa que se preocupa por cada operario en el centro de trabajo.</t>
  </si>
  <si>
    <t>Tener más materiales e insumos de trabajo como legia, peróxido etc</t>
  </si>
  <si>
    <t>JUNIN</t>
  </si>
  <si>
    <t>38.25.24.115</t>
  </si>
  <si>
    <t>Es una empresa que me ah dado la oportunidad de poder desenvolverme en el ámbito de la limpieza y aprender más sobre el aseo que nos sirve actualmente y nos servirá a futuro a ser más ordenado y limpios</t>
  </si>
  <si>
    <t>Por el momento todo va bien si hay algo que mejorar en algun momento lo diré</t>
  </si>
  <si>
    <t>ANCASH</t>
  </si>
  <si>
    <t>190.119.169.140</t>
  </si>
  <si>
    <t>Que pagan a tiempo el sueldo</t>
  </si>
  <si>
    <t>No tengo nada que decir</t>
  </si>
  <si>
    <t>Que son puntuales en nuestro sueldo.</t>
  </si>
  <si>
    <t>No tengo nada que decir.</t>
  </si>
  <si>
    <t>El pago de sueldo a su tiempo.</t>
  </si>
  <si>
    <t>Sus capacitaciones</t>
  </si>
  <si>
    <t>38.250.151.8</t>
  </si>
  <si>
    <t>Otros</t>
  </si>
  <si>
    <t>Personal</t>
  </si>
  <si>
    <t>190.236.29.236</t>
  </si>
  <si>
    <t>En  charlas  de para mejoramiento de servicios</t>
  </si>
  <si>
    <t>Si porque limtek es garantía total</t>
  </si>
  <si>
    <t>LAMBAYEQUE</t>
  </si>
  <si>
    <t>38.250.131.87</t>
  </si>
  <si>
    <t>K siempre nos dan charlas y de eso uno aprende a mejorar cada dia x mas</t>
  </si>
  <si>
    <t>X lo tanto .todo conforme</t>
  </si>
  <si>
    <t>181.176.43.227</t>
  </si>
  <si>
    <t>Por su puntualidad de pago</t>
  </si>
  <si>
    <t>Q tomé en cuenta los compartir con los compañeros de trabajo</t>
  </si>
  <si>
    <t>132.184.55.127</t>
  </si>
  <si>
    <t>Sus capacitaciones de prevención  de accidentes.. y uso de epps</t>
  </si>
  <si>
    <t>Chiclayo</t>
  </si>
  <si>
    <t>Si puntualidad de pagó</t>
  </si>
  <si>
    <t>190.234.22.85</t>
  </si>
  <si>
    <t>Por el ambiente laboral tranquilo.</t>
  </si>
  <si>
    <t>Me siento muy cansado en el trabajo.</t>
  </si>
  <si>
    <t>190.236.28.149</t>
  </si>
  <si>
    <t>Que valare el empeño y el esfuerzo del trabajo</t>
  </si>
  <si>
    <t>Debe ver un compensación para el buen trabajo</t>
  </si>
  <si>
    <t>179.7.110.51</t>
  </si>
  <si>
    <t>El buen ambiente laboral</t>
  </si>
  <si>
    <t>Nada por el momentos</t>
  </si>
  <si>
    <t>190.232.218.34</t>
  </si>
  <si>
    <t>En lo personal creo que nada</t>
  </si>
  <si>
    <t>181.176.41.100</t>
  </si>
  <si>
    <t>Jardinería</t>
  </si>
  <si>
    <t>Empresa seria</t>
  </si>
  <si>
    <t>181.176.80.7</t>
  </si>
  <si>
    <t>Responsabilidad y respeto</t>
  </si>
  <si>
    <t>Que tenga más beneficios</t>
  </si>
  <si>
    <t>De mejorar en dar un buen reconocimiento cada fin de año pará que el trabajador se sienta motivado</t>
  </si>
  <si>
    <t>190.236.30.0</t>
  </si>
  <si>
    <t>Compromiso responsabilidad y trabajo en equipo</t>
  </si>
  <si>
    <t>Nos brinden más recomientos por nuestra labor que desarrollamos</t>
  </si>
  <si>
    <t>179.7.80.48</t>
  </si>
  <si>
    <t>Reconociendo y esfuerzo</t>
  </si>
  <si>
    <t>Un poco más de empatia</t>
  </si>
  <si>
    <t>190.238.198.98</t>
  </si>
  <si>
    <t>Puntualidad de pagos</t>
  </si>
  <si>
    <t>Vicitar a su personal</t>
  </si>
  <si>
    <t>LA LIBERTAD</t>
  </si>
  <si>
    <t>38.255.108.63</t>
  </si>
  <si>
    <t>El trato a los trabajadores</t>
  </si>
  <si>
    <t>No se</t>
  </si>
  <si>
    <t>LIMPIEZA</t>
  </si>
  <si>
    <t>38.191.84.92</t>
  </si>
  <si>
    <t>Le buena comunicacion</t>
  </si>
  <si>
    <t>Mejora de de materiales</t>
  </si>
  <si>
    <t>38.137.198.37</t>
  </si>
  <si>
    <t>Mas capacitacion</t>
  </si>
  <si>
    <t>Plaza del Sol Huacho</t>
  </si>
  <si>
    <t>Más capacitación</t>
  </si>
  <si>
    <t>179.6.72.75</t>
  </si>
  <si>
    <t>Son cumplidos en sus pagos, y nos dan solución a nuestras nesecidades</t>
  </si>
  <si>
    <t>En tomar atención en las quejas o reclamos del ipersrio</t>
  </si>
  <si>
    <t>132.251.2.72</t>
  </si>
  <si>
    <t>Los compas y la paga fin.</t>
  </si>
  <si>
    <t>Más insumos,</t>
  </si>
  <si>
    <t>179.6.81.7</t>
  </si>
  <si>
    <t>Trabajo en equipo</t>
  </si>
  <si>
    <t>No hay nada que mejorar</t>
  </si>
  <si>
    <t>200.123.62.148</t>
  </si>
  <si>
    <t>El compañerismo</t>
  </si>
  <si>
    <t>179.6.73.222</t>
  </si>
  <si>
    <t>Me brinda los beneficios necesarios</t>
  </si>
  <si>
    <t>Que la supervisor sea constante</t>
  </si>
  <si>
    <t>179.6.73.105</t>
  </si>
  <si>
    <t>Te brinda los beneficios necesarios,</t>
  </si>
  <si>
    <t>Que no tienen descanso los sábados y domingos</t>
  </si>
  <si>
    <t>179.6.72.212</t>
  </si>
  <si>
    <t>Disciplina orden y limpiezaser supervisado constantemente</t>
  </si>
  <si>
    <t>Ser supervisado constantementean</t>
  </si>
  <si>
    <t>38.250.157.98</t>
  </si>
  <si>
    <t>Apoyo al trabajdorr</t>
  </si>
  <si>
    <t>Faltas en el trabsjo</t>
  </si>
  <si>
    <t>168.194.168.22</t>
  </si>
  <si>
    <t>apoyo al trabajador y siempre se preocupa por sus trabajadores</t>
  </si>
  <si>
    <t>las faltas en el trabajo</t>
  </si>
  <si>
    <t>190.43.106.134</t>
  </si>
  <si>
    <t>Cumplen con los beneficios y pagos puntuales</t>
  </si>
  <si>
    <t>En estar al pendiente de los epps del personal operario cuando se reporten que estén en mal estado para su respectivo cambio.</t>
  </si>
  <si>
    <t>181.66.151.92</t>
  </si>
  <si>
    <t>Cumplen con los beneficios y son puntuales en los pagos.</t>
  </si>
  <si>
    <t>Tienen que mejorar en la distribución de uniformes y siempre estar pendiente de nosotros, por ejemplo, cuando necesitamos un cambio de epps hacer el cambio rápidamente.</t>
  </si>
  <si>
    <t>El trabajo en equipo</t>
  </si>
  <si>
    <t>Unas buenas canastas para navidad y así incentivar a sus operarios</t>
  </si>
  <si>
    <t>Que den unas buenas canastas navideñas</t>
  </si>
  <si>
    <t>179.7.110.204</t>
  </si>
  <si>
    <t>Ofrece todos los beneficios</t>
  </si>
  <si>
    <t>Debería enfocarse en fortalecer el reconocimiento y la motivación miento y la motivación</t>
  </si>
  <si>
    <t>190.237.121.201</t>
  </si>
  <si>
    <t>Que son puntuales en sus pagos</t>
  </si>
  <si>
    <t>Que el supervisor venga mas seguido a esta unidad</t>
  </si>
  <si>
    <t>201.230.101.130</t>
  </si>
  <si>
    <t>Que es bien puntual en sus pagos</t>
  </si>
  <si>
    <t>Que el supervisor venga más frecuente  a supervisar el area</t>
  </si>
  <si>
    <t>179.6.139.25</t>
  </si>
  <si>
    <t>Se preocupa por  la seguridad del personal</t>
  </si>
  <si>
    <t>190.102.139.48</t>
  </si>
  <si>
    <t>Jayamca</t>
  </si>
  <si>
    <t>190.237.121.105</t>
  </si>
  <si>
    <t>Que nos pagan todos los beneficios puntuales</t>
  </si>
  <si>
    <t>Falta insentivar más a los operarios cuando ellos destacan más en sus unidades</t>
  </si>
  <si>
    <t>190.235.16.231</t>
  </si>
  <si>
    <t>Mas consideracion con los opersrios de provincias</t>
  </si>
  <si>
    <t>179.6.34.237</t>
  </si>
  <si>
    <t>buena comunicacion, trabajo en equipo</t>
  </si>
  <si>
    <t>sobre sus materiales, tenemos mucho en stock</t>
  </si>
  <si>
    <t>CUSCO</t>
  </si>
  <si>
    <t>181.177.243.35</t>
  </si>
  <si>
    <t>El orden en sus ambientes de trabajo</t>
  </si>
  <si>
    <t>Darle su lugar a cada quién y apoyar a los nuevos</t>
  </si>
  <si>
    <t>su pago puntual</t>
  </si>
  <si>
    <t>cusco</t>
  </si>
  <si>
    <t>que la supervisora es amable, me entiende</t>
  </si>
  <si>
    <t>mejorar en sus materiales</t>
  </si>
  <si>
    <t>SER PUNTUALES EN LOS PAGOS</t>
  </si>
  <si>
    <t>QUE NOS LLEGUEN GUANTES MENSUAL</t>
  </si>
  <si>
    <t>APURIMAC</t>
  </si>
  <si>
    <t>132.251.0.147</t>
  </si>
  <si>
    <t>Puntualidad en los pagos y la atención de los jefes y supervisores</t>
  </si>
  <si>
    <t>Es buen trabajo</t>
  </si>
  <si>
    <t>linea de carrera</t>
  </si>
  <si>
    <t>puntualidad de pago</t>
  </si>
  <si>
    <t>capacitacion de beneficios</t>
  </si>
  <si>
    <t>PUNO</t>
  </si>
  <si>
    <t>union de equipo</t>
  </si>
  <si>
    <t>que nos juntemos como equipo 1 vez al mes</t>
  </si>
  <si>
    <t>un bonito clima laboral</t>
  </si>
  <si>
    <t>que se hagan compartir en grupo</t>
  </si>
  <si>
    <t>181.176.127.35</t>
  </si>
  <si>
    <t>Que tiene un buen ambiente social</t>
  </si>
  <si>
    <t>No sabría decir</t>
  </si>
  <si>
    <t>190.236.28.252</t>
  </si>
  <si>
    <t>Por el ambiente laboral</t>
  </si>
  <si>
    <t>En las vacaciones que se juntan</t>
  </si>
  <si>
    <t>190.232.53.194</t>
  </si>
  <si>
    <t>Que es bueno</t>
  </si>
  <si>
    <t>186.163.10.5</t>
  </si>
  <si>
    <t>Que mi supervisor me  brinda soporte</t>
  </si>
  <si>
    <t>Tiene que mejorar su reconocimiento remunerativo ya que estamos en momentos de inflación y el aumento generalizado de precios en la canasta familiar</t>
  </si>
  <si>
    <t>SAN MARTIN</t>
  </si>
  <si>
    <t>38.224.48.40</t>
  </si>
  <si>
    <t>Los pagos</t>
  </si>
  <si>
    <t>190.236.131.16</t>
  </si>
  <si>
    <t>Por los beneficios que ofrece</t>
  </si>
  <si>
    <t>Aumento de sueldo</t>
  </si>
  <si>
    <t>LORETO</t>
  </si>
  <si>
    <t>Compañerismo</t>
  </si>
  <si>
    <t>45.226.69.58</t>
  </si>
  <si>
    <t>En nada ..todo bien por ahora</t>
  </si>
  <si>
    <t>190.223.58.196</t>
  </si>
  <si>
    <t>En ambiente laboral</t>
  </si>
  <si>
    <t>En nada ..todo bien</t>
  </si>
  <si>
    <t>Un buen ambiente laboral y por pagar puntuales en estar pendiente</t>
  </si>
  <si>
    <t>En estar pendiente de nuestros  poliza</t>
  </si>
  <si>
    <t>El ambiente laboralf</t>
  </si>
  <si>
    <t>Para mi nada</t>
  </si>
  <si>
    <t>179.6.251.43</t>
  </si>
  <si>
    <t>El respeto y la puntualidad</t>
  </si>
  <si>
    <t>Que hubiera una oficina en Iquitos</t>
  </si>
  <si>
    <t>Tratar bien al cliente</t>
  </si>
  <si>
    <t>Que el baño deberia cobrarse a personas k bienen de afuera y no consumen en Plaza del sol vienen a  ensuciar  los baños  y con arena de la playa</t>
  </si>
  <si>
    <t>200.106.116.86</t>
  </si>
  <si>
    <t>Son empáticos</t>
  </si>
  <si>
    <t>Hacer más seguimiento</t>
  </si>
  <si>
    <t>38.25.65.136</t>
  </si>
  <si>
    <t>Q todo es muy bueno</t>
  </si>
  <si>
    <t>Nada todo esta bie</t>
  </si>
  <si>
    <t>38.253.173.183</t>
  </si>
  <si>
    <t>Q todo es bueno</t>
  </si>
  <si>
    <t>Nada todo esta bien</t>
  </si>
  <si>
    <t>179.7.110.130</t>
  </si>
  <si>
    <t>Destaco el compromiso de Limtek con la limpieza, el orden y el cumplimiento de las normas de higiene. También valoro el buen ambiente laboral, el trabajo en equipo y la importancia que la empresa da a realizar las labores de manera responsable.</t>
  </si>
  <si>
    <t>Estoy totalmente de acuerdo con sus condiciones, es un buen lugar de trabajo</t>
  </si>
  <si>
    <t>179.6.12.25</t>
  </si>
  <si>
    <t>Los supervisores te apollan</t>
  </si>
  <si>
    <t>Casi. Nada</t>
  </si>
  <si>
    <t>Casi.  Nada</t>
  </si>
  <si>
    <t>190.239.74.184</t>
  </si>
  <si>
    <t>Porque nos seguros</t>
  </si>
  <si>
    <t>Tiene q  ampliar horas</t>
  </si>
  <si>
    <t>Los compañeros son chebres,</t>
  </si>
  <si>
    <t>Los insumos y q estén atentos a como sobrellevar el trato con la gente..</t>
  </si>
  <si>
    <t>181.176.92.11</t>
  </si>
  <si>
    <t>Primeros auxilios</t>
  </si>
  <si>
    <t>Realiza charlas mensuales</t>
  </si>
  <si>
    <t>Proveer mascarillas, guantes y equipo de protección</t>
  </si>
  <si>
    <t>HUANCAVELICA</t>
  </si>
  <si>
    <t>181.176.84.148</t>
  </si>
  <si>
    <t>En ke siempre nos capacitan y nos enseñan con mucha paciencia</t>
  </si>
  <si>
    <t>Nada xk ya nos ayuda bastante con sus enseñanzas diarias</t>
  </si>
  <si>
    <t>Realiza capacitaciones mensuales</t>
  </si>
  <si>
    <t>Proveer guantes, mascarillas y equipos de protección</t>
  </si>
  <si>
    <t>38.137.198.99</t>
  </si>
  <si>
    <t>38.252.155.39</t>
  </si>
  <si>
    <t>Que es una buena empresa yoy</t>
  </si>
  <si>
    <t>Que me aumenten mi sueldoperu</t>
  </si>
  <si>
    <t>181.176.126.82</t>
  </si>
  <si>
    <t>Limpiando</t>
  </si>
  <si>
    <t>Sus cosas de materiales de limpieza</t>
  </si>
  <si>
    <t>179.6.251.66</t>
  </si>
  <si>
    <t>Es un lugar de trabajo seguro y nos brinda la seguridad como empleador ,que nos genera confinza como trabajador.</t>
  </si>
  <si>
    <t>Que nos haga rotar nuestros turno de trabajo ,que sea rotativo.</t>
  </si>
  <si>
    <t>38.56.219.112</t>
  </si>
  <si>
    <t>Que son puntuales en los pagos</t>
  </si>
  <si>
    <t>Ok</t>
  </si>
  <si>
    <t>190.236.25.191</t>
  </si>
  <si>
    <t>38.183.182.120</t>
  </si>
  <si>
    <t>Trato respetuoso y de confianza</t>
  </si>
  <si>
    <t>Ya lo considero así</t>
  </si>
  <si>
    <t>161.132.194.10</t>
  </si>
  <si>
    <t>El buen compañerismo al momento de laborar</t>
  </si>
  <si>
    <t>Todos están caminando de la mejor manera</t>
  </si>
  <si>
    <t>181.176.47.40</t>
  </si>
  <si>
    <t>Respeto</t>
  </si>
  <si>
    <t>Puntualidad en el día de trabajo  y también tener a sus retenes al día para no perjudicar al personal en hacer horas extras</t>
  </si>
  <si>
    <t>190.235.64.127</t>
  </si>
  <si>
    <t>Su buen trato hal trabajador</t>
  </si>
  <si>
    <t>Todo comforme</t>
  </si>
  <si>
    <t>Tener sus retenes al día para no afectar a sus trabajadores haciendo horas extras</t>
  </si>
  <si>
    <t>179.6.101.224</t>
  </si>
  <si>
    <t>38.250.151.30</t>
  </si>
  <si>
    <t>Su jefatura  donde nos apoyan con todas los equipos  para una protección</t>
  </si>
  <si>
    <t>Tener una gran oficina  para atención al operario</t>
  </si>
  <si>
    <t>Que cumple con sus trabajadores</t>
  </si>
  <si>
    <t>Es una empresa que cumple todos sus beneficios</t>
  </si>
  <si>
    <t>181.176.47.56</t>
  </si>
  <si>
    <t>Más comunicion</t>
  </si>
  <si>
    <t>181.176.47.241</t>
  </si>
  <si>
    <t>El apoyo y orientación que nos brinda nuestro encargado</t>
  </si>
  <si>
    <t>En la comunicacion ser más frecuente cualquier emergencia</t>
  </si>
  <si>
    <t>190.42.33.235</t>
  </si>
  <si>
    <t>El ser solidario unos a otros</t>
  </si>
  <si>
    <t>Todo bien conforme</t>
  </si>
  <si>
    <t>CHICLAYO</t>
  </si>
  <si>
    <t>190.235.64.149</t>
  </si>
  <si>
    <t>El compañerismo en equipo el ser solidarios unos a otros</t>
  </si>
  <si>
    <t>Estamos por buen camino</t>
  </si>
  <si>
    <t>38.224.64.233</t>
  </si>
  <si>
    <t>Sus años d trayectoria y experiencia lavoral los beneficios sociales asia el travajador</t>
  </si>
  <si>
    <t>BNO mi opinión lo k ya se Sta perdiendo..alos anteriores como las celebraciones..de ANIVERSARIO....Y LAS CANASTAS NAVIDEÑAS</t>
  </si>
  <si>
    <t>190.236.27.196</t>
  </si>
  <si>
    <t>La responsabilidad con sus trabajadores</t>
  </si>
  <si>
    <t>179.6.7.32</t>
  </si>
  <si>
    <t>No hay compañero unidos</t>
  </si>
  <si>
    <t>Más preocupación por sus trabajadores</t>
  </si>
  <si>
    <t>132.184.130.228</t>
  </si>
  <si>
    <t>Una empresa sería y puntual</t>
  </si>
  <si>
    <t>Darnos más oportunidades de trabajo como en mi caso a medio tiempo</t>
  </si>
  <si>
    <t>181.176.107.121</t>
  </si>
  <si>
    <t>Un equipo de trabajo en armonia y respeto</t>
  </si>
  <si>
    <t>Mejorar el ambiente laboral</t>
  </si>
  <si>
    <t>190.239.71.139</t>
  </si>
  <si>
    <t>Si son muy responsables en el pago</t>
  </si>
  <si>
    <t>En dar más capacitación</t>
  </si>
  <si>
    <t>Es una empresa sería puntual en los pagos y nos brinda seguridad</t>
  </si>
  <si>
    <t>Si fuera posible el aumento horas en el trabajo por desir en mi caso a medio tiempo.</t>
  </si>
  <si>
    <t>179.6.72.200</t>
  </si>
  <si>
    <t>Todos los días estoy aprendiendo cosas nuevas como trabajar en equipo , ser responsable y respeto en el trabajo</t>
  </si>
  <si>
    <t>181.176.43.207</t>
  </si>
  <si>
    <t>Que reconocen feriados y aparte que se implementa bien</t>
  </si>
  <si>
    <t>No sé</t>
  </si>
  <si>
    <t>190.237.255.127</t>
  </si>
  <si>
    <t>179.6.74.216</t>
  </si>
  <si>
    <t>Nos brindan todo lo necesario y hacer estar estables por lo que tienen hogar y familia y para otro jóvenes poder estudiar en sus universidades</t>
  </si>
  <si>
    <t>Considerar los baños ya que en plaza del sol huacho no se cobra, por ser cliente al comprar un producto dentro de plaza del sol, pueden ingresar al baño mostrando tu boleta. Y los que no han consumido cobrarles la entrada para el baño</t>
  </si>
  <si>
    <t>132.184.130.245</t>
  </si>
  <si>
    <t>Su ambiente de trabajo.</t>
  </si>
  <si>
    <t>Seguir siendo el mismo y estimular a sus colaboradores.</t>
  </si>
  <si>
    <t>190.236.29.228</t>
  </si>
  <si>
    <t>Nos dan facilidad en el aspecto laboral</t>
  </si>
  <si>
    <t>De mi parte nada</t>
  </si>
  <si>
    <t>132.251.2.229</t>
  </si>
  <si>
    <t>179.6.75.58</t>
  </si>
  <si>
    <t>Por cumplimiento en su pago</t>
  </si>
  <si>
    <t>Que esté más pendiente el supervisor en esta unidad</t>
  </si>
  <si>
    <t>En el pago puntual</t>
  </si>
  <si>
    <t>Más comunicación con los trabajadores</t>
  </si>
  <si>
    <t>190.236.131.23</t>
  </si>
  <si>
    <t>Está muy organizado en todo sentido</t>
  </si>
  <si>
    <t>Todo ok</t>
  </si>
  <si>
    <t>179.7.110.216</t>
  </si>
  <si>
    <t>Cumplimiento en sus salarios</t>
  </si>
  <si>
    <t>Más compañerismo</t>
  </si>
  <si>
    <t>132.157.130.172</t>
  </si>
  <si>
    <t>Las capacitaciones cintinuas que brindan</t>
  </si>
  <si>
    <t>Por ahora estoy conforme</t>
  </si>
  <si>
    <t>PASCO</t>
  </si>
  <si>
    <t>132.157.128.201</t>
  </si>
  <si>
    <t>Que considera mucho al personal  y es un buen ambiente trabajar para Limtek</t>
  </si>
  <si>
    <t>Limtek es una muy buena empresa yo considero que está muy bien el trato alos trabajadores</t>
  </si>
  <si>
    <t>190.235.64.17</t>
  </si>
  <si>
    <t>Una empresa dónde existe mucho favoritismo</t>
  </si>
  <si>
    <t>En sus supervisores</t>
  </si>
  <si>
    <t>38.224.143.86</t>
  </si>
  <si>
    <t>181.176.102.28</t>
  </si>
  <si>
    <t>Siempre cumplen , con sus pagos</t>
  </si>
  <si>
    <t>Que tengan mas personal</t>
  </si>
  <si>
    <t>132.251.0.25</t>
  </si>
  <si>
    <t>La entrega de EEP debería ser rapida y no demorar meses</t>
  </si>
  <si>
    <t>181.177.239.146</t>
  </si>
  <si>
    <t>una buena empresa</t>
  </si>
  <si>
    <t>que haya más reuniones</t>
  </si>
  <si>
    <t>UCAYALI</t>
  </si>
  <si>
    <t>38.25.17.212</t>
  </si>
  <si>
    <t>Si muy bueno</t>
  </si>
  <si>
    <t>Que tiene buen equipo y que coordinan con su trabajadores.</t>
  </si>
  <si>
    <t>Que haga más capacitaciones</t>
  </si>
  <si>
    <t>181.64.223.144</t>
  </si>
  <si>
    <t>Nos transmitan seguridad y confianza para poder expresarnos ampliamente y así poder cree emocional ante cualquier problema</t>
  </si>
  <si>
    <t>Que así como dan de vacaciones un mes los que trabajan tiempo conpleto, tanbien deberían de dar 15 días al medio tiempo todo por igual es mi opinión</t>
  </si>
  <si>
    <t>200.123.62.150</t>
  </si>
  <si>
    <t>Un buen ambiente laborasl</t>
  </si>
  <si>
    <t>200.37.115.25</t>
  </si>
  <si>
    <t>Excelente lugar de trabajo</t>
  </si>
  <si>
    <t>Brindar más capacitaciones</t>
  </si>
  <si>
    <t>181.176.126.44</t>
  </si>
  <si>
    <t>que es un trabajo de prestijio</t>
  </si>
  <si>
    <t>Buen trato a los clientes</t>
  </si>
  <si>
    <t>179.6.6.183</t>
  </si>
  <si>
    <t>Plr su buen trato</t>
  </si>
  <si>
    <t>Mejorar el tema de uniformes</t>
  </si>
  <si>
    <t>132.191.2.25</t>
  </si>
  <si>
    <t>Con los implementaciones</t>
  </si>
  <si>
    <t>181.67.28.12</t>
  </si>
  <si>
    <t>Esta bien y pagan puntual y buenos profecionales en LIMTEK.</t>
  </si>
  <si>
    <t>190.237.184.124</t>
  </si>
  <si>
    <t>Existe un ambiente laboral muy bueno donde se trabaja en conjunto</t>
  </si>
  <si>
    <t>Que sean más comprometidos con las respectivas vacaciones de los trabajadores</t>
  </si>
  <si>
    <t>179.6.74.34</t>
  </si>
  <si>
    <t>Disciplina orden y limpieza</t>
  </si>
  <si>
    <t>La supervivion sea constatemente</t>
  </si>
  <si>
    <t>179.6.73.26</t>
  </si>
  <si>
    <t>Buen ambiente laboral, se preocupa por los trabajadores</t>
  </si>
  <si>
    <t>179.7.110.10</t>
  </si>
  <si>
    <t>La buena comunicación entre el supervisor y trabajador.</t>
  </si>
  <si>
    <t>Tendría que mejorar el bono de los pasajes.</t>
  </si>
  <si>
    <t>200.123.62.123</t>
  </si>
  <si>
    <t>En dar charlas  frecuentemente</t>
  </si>
  <si>
    <t>190.236.6.132</t>
  </si>
  <si>
    <t>Que son cumplidos en sus pagos</t>
  </si>
  <si>
    <t>Armonia</t>
  </si>
  <si>
    <t>190.236.27.225</t>
  </si>
  <si>
    <t>Son puntuales en los pagos</t>
  </si>
  <si>
    <t>Más capacitaciones, presencial</t>
  </si>
  <si>
    <t>Que la supervision sea n constantemente</t>
  </si>
  <si>
    <t>181.176.123.234</t>
  </si>
  <si>
    <t>Que es una empresa que se preocupa por sus trabajadores</t>
  </si>
  <si>
    <t>La supervison de los jefes</t>
  </si>
  <si>
    <t>181.176.111.85</t>
  </si>
  <si>
    <t>el compañerismo q nos ayudamos entre nosotros en nuestras actividades.</t>
  </si>
  <si>
    <t>falta  comunicacion dialogo con el supervisor. Y las charlas</t>
  </si>
  <si>
    <t>Que es una empresa que se preocupa por los trabajadores</t>
  </si>
  <si>
    <t>Su atencion del jefe en las visitas de supervision</t>
  </si>
  <si>
    <t>190.235.64.3</t>
  </si>
  <si>
    <t>Apoyo</t>
  </si>
  <si>
    <t>Que nos consideren en navidad nos den paneton</t>
  </si>
  <si>
    <t>132.157.128.117</t>
  </si>
  <si>
    <t>Que nos brinda capacitaciones para un buen trabajo</t>
  </si>
  <si>
    <t>38.226.208.14</t>
  </si>
  <si>
    <t>Personal bien capacitado</t>
  </si>
  <si>
    <t>Motivar al personal</t>
  </si>
  <si>
    <t>38.250.153.8</t>
  </si>
  <si>
    <t>Si es un buena empresa</t>
  </si>
  <si>
    <t>La comunicación</t>
  </si>
  <si>
    <t>132.157.128.32</t>
  </si>
  <si>
    <t>Destacó la puntualidad en los pagos y el trato respetuoso hacia los empleados me parece un buen ambiente de trabajo</t>
  </si>
  <si>
    <t>Mejorar la comunicación y ofrecer oportunidades de crecimiento</t>
  </si>
  <si>
    <t>179.6.251.92</t>
  </si>
  <si>
    <t>Buenos ambiente laboral</t>
  </si>
  <si>
    <t>Charla de motivación laboral</t>
  </si>
  <si>
    <t>Mall portal</t>
  </si>
  <si>
    <t>Tienen personales bien capacitados</t>
  </si>
  <si>
    <t>Motivar más a su perdonal</t>
  </si>
  <si>
    <t>38.25.29.203</t>
  </si>
  <si>
    <t>responsables</t>
  </si>
  <si>
    <t>capacitaciones</t>
  </si>
  <si>
    <t>181.66.177.127</t>
  </si>
  <si>
    <t>Su puntualidad en los pagos</t>
  </si>
  <si>
    <t>Respeto, consideracion</t>
  </si>
  <si>
    <t>Caja piura Huaral</t>
  </si>
  <si>
    <t>181.176.94.177</t>
  </si>
  <si>
    <t>Preocuparse y tomar en cuenta a su personal</t>
  </si>
  <si>
    <t>190.236.2.182</t>
  </si>
  <si>
    <t>Una buena  empresa.</t>
  </si>
  <si>
    <t>Nada para todo está bien</t>
  </si>
  <si>
    <t>ICPNA Pucallpa</t>
  </si>
  <si>
    <t>179.7.102.122</t>
  </si>
  <si>
    <t>Más capacitaciones a sus trabajadores</t>
  </si>
  <si>
    <t>190.235.229.107</t>
  </si>
  <si>
    <t>no siempre x k somos un grupo pequeño y hay muchos cambios o se retira al personal x algunos motivos</t>
  </si>
  <si>
    <t>capacitaciones constantes , visitas para saber como se siente el personal, saber q contamos con ustedes Limtek siempre es bueno</t>
  </si>
  <si>
    <t>38.137.198.23</t>
  </si>
  <si>
    <t>La puntualidad en sus pagos y beneficios</t>
  </si>
  <si>
    <t>132.184.129.6</t>
  </si>
  <si>
    <t>Es una empresa sólida que da confianza a los trabajadores</t>
  </si>
  <si>
    <t>Que siempre siga la comunicación entre compañerosrespeto entre compañeroses</t>
  </si>
  <si>
    <t>179.7.110.33</t>
  </si>
  <si>
    <t>X ofrecer beneficios laborales completo u sus pagos son puntuales</t>
  </si>
  <si>
    <t>En fortalecer la comunicación interna</t>
  </si>
  <si>
    <t>181.176.86.240</t>
  </si>
  <si>
    <t>190.236.29.102</t>
  </si>
  <si>
    <t>K es una empresa reconocida</t>
  </si>
  <si>
    <t>Organizar paseos de vez en cuando</t>
  </si>
  <si>
    <t>Mas responsabilidad en la entrega de uniformes</t>
  </si>
  <si>
    <t>38.250.150.17</t>
  </si>
  <si>
    <t>consideración , pagos puntuales</t>
  </si>
  <si>
    <t>chalas de temas puntuales de acuerdo a la necesidad</t>
  </si>
  <si>
    <t>132.251.0.170</t>
  </si>
  <si>
    <t>Apollo de los jefes</t>
  </si>
  <si>
    <t>179.6.167.3</t>
  </si>
  <si>
    <t>beneficios laborales completos (planilla, ley), capacitaciones y oportunidades de crecimiento, buen clima laboral con énfasis en trabajo en equipo, cumplimiento en pagos puntuales, y por ser una empresa formal que se preocupa por la seguridad y salud de sus trabajadores.</t>
  </si>
  <si>
    <t>enfocarse en mejorar la motivación y reconocimiento de sus empleados, fomentar la comunicación , , fortalecer el liderazgo,. creando un ambiente de confianza y respeto</t>
  </si>
  <si>
    <t>Mall Plaza</t>
  </si>
  <si>
    <t>190.235.38.196</t>
  </si>
  <si>
    <t>Más comúnicion supe</t>
  </si>
  <si>
    <t>132.157.130.3</t>
  </si>
  <si>
    <t>Capacitar al operario</t>
  </si>
  <si>
    <t>Que tiene un buen trato con los demás</t>
  </si>
  <si>
    <t>Dar charla más frecuentes</t>
  </si>
  <si>
    <t>190.238.86.19</t>
  </si>
  <si>
    <t>Su puntualidad  en el pago</t>
  </si>
  <si>
    <t>Prestar más atención al operario..de parte del supervisorr</t>
  </si>
  <si>
    <t>Un buen trato y buena compañía entre todos</t>
  </si>
  <si>
    <t>Tener más capacitaciones con el grupo</t>
  </si>
  <si>
    <t>181.176.40.15</t>
  </si>
  <si>
    <t>Los puntuales que son con los pagos</t>
  </si>
  <si>
    <t>Que los supervisores pongan más atención a sus operarios</t>
  </si>
  <si>
    <t>38.250.150.8</t>
  </si>
  <si>
    <t>Comunicación con los trabajadores</t>
  </si>
  <si>
    <t>La comunicacion</t>
  </si>
  <si>
    <t>190.119.239.178</t>
  </si>
  <si>
    <t>Su puntualidad</t>
  </si>
  <si>
    <t>Capacitar mas al personal</t>
  </si>
  <si>
    <t>190.236.25.160</t>
  </si>
  <si>
    <t>El ambiente laboral y su cumplimiento en salarios</t>
  </si>
  <si>
    <t>Reconocer al trabajador mensualmente</t>
  </si>
  <si>
    <t>179.7.84.107</t>
  </si>
  <si>
    <t>Que nos dan todos los materiales que se necesita para hacer un buen trabajo.</t>
  </si>
  <si>
    <t>Creo que casi nada por que la empresa es muy buena y ofrece al cliente un buen trabajo</t>
  </si>
  <si>
    <t>181.176.122.221</t>
  </si>
  <si>
    <t>Sus beneficios.</t>
  </si>
  <si>
    <t>Insumos y comunicación</t>
  </si>
  <si>
    <t>La comunicación del supervisor con el personal</t>
  </si>
  <si>
    <t>La. Comunicacion</t>
  </si>
  <si>
    <t>179.7.110.48</t>
  </si>
  <si>
    <t>El pago es puntual</t>
  </si>
  <si>
    <t>Las charlas que nunca dan</t>
  </si>
  <si>
    <t>179.6.103.200</t>
  </si>
  <si>
    <t>Cumple con los pagos</t>
  </si>
  <si>
    <t>Apoyo presencial</t>
  </si>
  <si>
    <t>Que sus pagos son puntuales y sin peros</t>
  </si>
  <si>
    <t>Que cuando se solicite algún EPP en específico nos los hagan llegar lo más pronto posible</t>
  </si>
  <si>
    <t>190.42.110.104</t>
  </si>
  <si>
    <t>El ambiente de trabajo saludable</t>
  </si>
  <si>
    <t>Trabajo en Equipo, buen trato, se preocupa por los trabajadores.</t>
  </si>
  <si>
    <t>Más charlas.</t>
  </si>
  <si>
    <t>179.6.75.85</t>
  </si>
  <si>
    <t>Que  es una empresa  confiable  y muy óptima para trabajar cómodamente</t>
  </si>
  <si>
    <t>190.239.69.93</t>
  </si>
  <si>
    <t>Ser más empatico con los trabajadores</t>
  </si>
  <si>
    <t>190.119.82.76</t>
  </si>
  <si>
    <t>Tiene buen trato con el operario de limpieza</t>
  </si>
  <si>
    <t>Para mi esta bien la empresa limtek</t>
  </si>
  <si>
    <t>45.169.61.250</t>
  </si>
  <si>
    <t>Puntualidad en pagos</t>
  </si>
  <si>
    <t>Tener empatia con el trabajador</t>
  </si>
  <si>
    <t>179.6.75.125</t>
  </si>
  <si>
    <t>Los pagos son puntuales</t>
  </si>
  <si>
    <t>Los uniformes considero.</t>
  </si>
  <si>
    <t>179.6.80.152</t>
  </si>
  <si>
    <t>Una empresa sería,q está pendiente en el bienestar de sus trabajadores y cumple a cabalidad con todos su responsabilidad como empresa</t>
  </si>
  <si>
    <t>Su compromiso como empresa está  está bien, seguir asi</t>
  </si>
  <si>
    <t>181.176.104.88</t>
  </si>
  <si>
    <t>Mejorar transparencia con el personal</t>
  </si>
  <si>
    <t>Mejorar el sueldo</t>
  </si>
  <si>
    <t>179.6.80.166</t>
  </si>
  <si>
    <t>Mayor información y apoyo al operario</t>
  </si>
  <si>
    <t>179.6.80.13</t>
  </si>
  <si>
    <t>8 horas de trabajo</t>
  </si>
  <si>
    <t>179.7.88.254</t>
  </si>
  <si>
    <t>Confianza y liderazgo.orgullo y propósito</t>
  </si>
  <si>
    <t>Supervisor o a(a) más atenta o pendiente de su trabajadora</t>
  </si>
  <si>
    <t>179.7.88.124</t>
  </si>
  <si>
    <t>Capacitación de incidencia y accidy</t>
  </si>
  <si>
    <t>Siempre envían a los correos la información adecuada y responden rápido a cualquier duda</t>
  </si>
  <si>
    <t>Que en Navidad nos regale o día de la madre o cumpleaños del operario algo</t>
  </si>
  <si>
    <t>179.6.173.157</t>
  </si>
  <si>
    <t>Debe de considerar nuestras 8 horas de trabajo</t>
  </si>
  <si>
    <t>Transparencia de sueldo</t>
  </si>
  <si>
    <t>181.176.122.57</t>
  </si>
  <si>
    <t>Es una buena empresa que brinda muchos conocimientos.</t>
  </si>
  <si>
    <t>Todo muy bien.</t>
  </si>
  <si>
    <t>179.7.88.189</t>
  </si>
  <si>
    <t>Que es una empresa responsable con los trabajadores</t>
  </si>
  <si>
    <t>Que  tenga más comunicación con los operarios</t>
  </si>
  <si>
    <t>181.176.41.97</t>
  </si>
  <si>
    <t>Es una enpresa que nos capacita siempte</t>
  </si>
  <si>
    <t>Ser puntual en el trabajo y ser rresponsable</t>
  </si>
  <si>
    <t>181.176.103.71</t>
  </si>
  <si>
    <t>Que considere a su personal</t>
  </si>
  <si>
    <t>Valorar el empeño  en el trsbjo no guiarse de los supervisores pq aveces ellos mienten hablar con personal y la supervisora cara cara para cualquier dificultad pq aveces se guían del supervisor y nuestra palabra no sirve pq ya informaron sin ver lo sucedido</t>
  </si>
  <si>
    <t>179.6.136.26</t>
  </si>
  <si>
    <t>Te otorgan el EPP completo, además de que sientes tienes el soporte y apoyo de tu supervisor, y son muy cumplidos en tema de los pagos , excelente empresa.</t>
  </si>
  <si>
    <t>No tengo observación sobre eso</t>
  </si>
  <si>
    <t>190.237.255.144</t>
  </si>
  <si>
    <t>Que nos consideren para los eventos del grupo Tawa</t>
  </si>
  <si>
    <t>190.187.96.65</t>
  </si>
  <si>
    <t>X la puntualidad en sus pagos</t>
  </si>
  <si>
    <t>Mejoras en sus reparto de materiales</t>
  </si>
  <si>
    <t>38.250.179.36</t>
  </si>
  <si>
    <t>Que tiene un buen ambiente laboral</t>
  </si>
  <si>
    <t>132.184.130.147</t>
  </si>
  <si>
    <t>Porque siempre nis dan charlas, la cual nis ayuda para poder protegernos de algún accidente en el trabajo</t>
  </si>
  <si>
    <t>Conforme</t>
  </si>
  <si>
    <t>190.108.93.215</t>
  </si>
  <si>
    <t>Es una empresa que se preocupa por el bienestra de sus trabajadores y son muy puntuales en los pagos.</t>
  </si>
  <si>
    <t>Todo conforme</t>
  </si>
  <si>
    <t>Una respuesta rápida de la oficina central</t>
  </si>
  <si>
    <t>181.176.46.152</t>
  </si>
  <si>
    <t>Destaco que la empresa Limtek es seguro ya que nos brindan todas las herramientas necesarias para trabajar, ademas considero que nos da beneficios.</t>
  </si>
  <si>
    <t>Considero que no hay nada que tendría que mejorar, ya que es un lugar de trabajo seguro y nos capacitan constantemete para realizar una buena labor.</t>
  </si>
  <si>
    <t>190.236.24.95</t>
  </si>
  <si>
    <t>La etica espiritual</t>
  </si>
  <si>
    <t>Por lo pronto ...no puedo especificar por que no conozca su totalidad...pero tiene buenas expectativas</t>
  </si>
  <si>
    <t>Que complementen aDios en sus actividades..el temor de jehova es el principio de la sabiduria..</t>
  </si>
  <si>
    <t>190.102.157.138</t>
  </si>
  <si>
    <t>Todo conformechicla</t>
  </si>
  <si>
    <t>Su buen clima laboral</t>
  </si>
  <si>
    <t>Por ahora nada, todo ok</t>
  </si>
  <si>
    <t>181.176.107.15</t>
  </si>
  <si>
    <t>Su puntualidad  en los materiales</t>
  </si>
  <si>
    <t>Dar mejor comunicación  y escuchar al trabajador</t>
  </si>
  <si>
    <t>190.232.201.13</t>
  </si>
  <si>
    <t>Somos capacitados costantemente</t>
  </si>
  <si>
    <t>Estoy conforme</t>
  </si>
  <si>
    <t>190.108.95.10</t>
  </si>
  <si>
    <t>La puntualidad en sus pagos.</t>
  </si>
  <si>
    <t>Creo que nada</t>
  </si>
  <si>
    <t>190.236.31.15</t>
  </si>
  <si>
    <t>Es un lugar donde ve el bienestar de sus trabajadores</t>
  </si>
  <si>
    <t>Nada solo seimpre trantando bien a sus trabajadores</t>
  </si>
  <si>
    <t>190.232.29.17</t>
  </si>
  <si>
    <t>Compañerismo y buen trato al trabajador</t>
  </si>
  <si>
    <t>Nada pork me siento a gusto trabajando en le enpresa</t>
  </si>
  <si>
    <t>Compañerismo buen trato al trabajador</t>
  </si>
  <si>
    <t>Nada porque me siento agusto trabajar en la empresa</t>
  </si>
  <si>
    <t>181.176.44.19</t>
  </si>
  <si>
    <t>tolmente  de acuerdo</t>
  </si>
  <si>
    <t>tolmente de acuerdo</t>
  </si>
  <si>
    <t>132.184.55.190</t>
  </si>
  <si>
    <t>Es mejor en todo</t>
  </si>
  <si>
    <t>190.236.27.165</t>
  </si>
  <si>
    <t>Porque cumplen con todos sus trabajadores</t>
  </si>
  <si>
    <t>La empresa cumple con todos sus trabajadores</t>
  </si>
  <si>
    <t>Su jefatura</t>
  </si>
  <si>
    <t>Bueno  Lintek es la mejor opción para trabajar pero ha veces el cliente  controla al mínimo los insumos para cumplir con las labores</t>
  </si>
  <si>
    <t>179.6.6.153</t>
  </si>
  <si>
    <t>Lo mejor que nos brinda el trabajo</t>
  </si>
  <si>
    <t>Brindando las 8 harás de trabajo normales</t>
  </si>
  <si>
    <t>190.236.28.119</t>
  </si>
  <si>
    <t>Ámbito comercial</t>
  </si>
  <si>
    <t>Buen ámbito laboral  con principios y valores</t>
  </si>
  <si>
    <t>179.6.80.91</t>
  </si>
  <si>
    <t>Implementar área de limpieza</t>
  </si>
  <si>
    <t>179.6.46.26</t>
  </si>
  <si>
    <t>Escoger bien su líder</t>
  </si>
  <si>
    <t>179.7.85.107</t>
  </si>
  <si>
    <t>Que siempre están pendientes de sus trabajadores</t>
  </si>
  <si>
    <t>De mi parte nos faltaría unas casas para las trabajadores en tiempo de invierno para no utilizar otras casacas que no soy de limtek</t>
  </si>
  <si>
    <t>132.184.130.30</t>
  </si>
  <si>
    <t>Todo lo preguntado ya nos an capacitado eso es mi opinión</t>
  </si>
  <si>
    <t>Mi opinión es el destaque para considerar que limtek  es un buen lugar es por el cliente que son unas personas amables amigables nos consideren nos apoyan por eso es un buen lugar para trabajar</t>
  </si>
  <si>
    <t>Bueno lintek loque debe de mejorar es en los requerimientos de Limpieza en dar en más cantidad los materiales  como papel toalla de considerar un litro de alcohol 96 para protegernos de  esta gripe que está fuerte y mejorar el aroma de sus productos como poes que tiene buen aroma eso es mi opinión</t>
  </si>
  <si>
    <t>132.184.55.163</t>
  </si>
  <si>
    <t>Responsabilidad</t>
  </si>
  <si>
    <t>Tener un buen liderazgo</t>
  </si>
  <si>
    <t>181.176.44.80</t>
  </si>
  <si>
    <t>Que ofrece un buen servicio</t>
  </si>
  <si>
    <t>Nada la empresa es muy buen</t>
  </si>
  <si>
    <t>181.176.106.36</t>
  </si>
  <si>
    <t>Seguridad y salud en el trabajo</t>
  </si>
  <si>
    <t>Concientizar al personal en fiestas como años anteriores</t>
  </si>
  <si>
    <t>181.64.18.9</t>
  </si>
  <si>
    <t>Una empresa muy importante y reconocida</t>
  </si>
  <si>
    <t>Para mi es una buena empresa</t>
  </si>
  <si>
    <t>200.62.139.21</t>
  </si>
  <si>
    <t>Un buen clima laboral</t>
  </si>
  <si>
    <t>No sabría decirlo estoy recién en esta empresa</t>
  </si>
  <si>
    <t>181.176.42.35</t>
  </si>
  <si>
    <t>El compromiso con sus trabajadores</t>
  </si>
  <si>
    <t>Nada ya que es un buen lugar de trabajo</t>
  </si>
  <si>
    <t>Que brinda un buen corfor y ambiente agradable de trabajo</t>
  </si>
  <si>
    <t>No se porque recién estoy en esta empresa</t>
  </si>
  <si>
    <t>190.232.53.61</t>
  </si>
  <si>
    <t>Buena limtek</t>
  </si>
  <si>
    <t>En algunas cosas</t>
  </si>
  <si>
    <t>Responsabilidades</t>
  </si>
  <si>
    <t>Considero que es un buen  lugar</t>
  </si>
  <si>
    <t>190.236.31.186</t>
  </si>
  <si>
    <t>TARAPOTO</t>
  </si>
  <si>
    <t>38.250.131.49</t>
  </si>
  <si>
    <t>Es una empresa que capacita en todo</t>
  </si>
  <si>
    <t>Que hay una buena coordinación entre el operario y lo jefe</t>
  </si>
  <si>
    <t>181.176.42.156</t>
  </si>
  <si>
    <t>Es un buen equipo para laborar</t>
  </si>
  <si>
    <t>Unión entre supervisor, fejes y personal para una mejor labor</t>
  </si>
  <si>
    <t>132.184.55.179</t>
  </si>
  <si>
    <t>Su trato a las personas</t>
  </si>
  <si>
    <t>181.176.44.223</t>
  </si>
  <si>
    <t>Por el horario y el buen trato</t>
  </si>
  <si>
    <t>Más talleres</t>
  </si>
  <si>
    <t>190.236.29.69</t>
  </si>
  <si>
    <t>Atender siempre a un llamado de su personal</t>
  </si>
  <si>
    <t>Mejoras en muchas cosas</t>
  </si>
  <si>
    <t>190.237.178.228</t>
  </si>
  <si>
    <t>Estabilidad laboral</t>
  </si>
  <si>
    <t>Mayor Remuneracion</t>
  </si>
  <si>
    <t>190.236.31.192</t>
  </si>
  <si>
    <t>Canasta navideña</t>
  </si>
  <si>
    <t>179.7.80.33</t>
  </si>
  <si>
    <t>Capacitación es</t>
  </si>
  <si>
    <t>Las canasta  navideña</t>
  </si>
  <si>
    <t>181.176.41.27</t>
  </si>
  <si>
    <t>La responsabilidad</t>
  </si>
  <si>
    <t>Cumplir con el trabajador</t>
  </si>
  <si>
    <t>181.176.45.61</t>
  </si>
  <si>
    <t>En hagasajar  Asus trabajadores  por el  buen desempeño</t>
  </si>
  <si>
    <t>179.6.81.149</t>
  </si>
  <si>
    <t>Lo considero a Limtek un lugar para trabajar y k este en orden todo el área de trabajo</t>
  </si>
  <si>
    <t>Bueno para mi todo en orden y para el mojara miento acá en mi área ser atento y ordenado y pendiente de las areas</t>
  </si>
  <si>
    <t>Es una buena empresa</t>
  </si>
  <si>
    <t>179.6.81.76</t>
  </si>
  <si>
    <t>Ver el aria porq en algunas oficinas es bastante</t>
  </si>
  <si>
    <t>179.6.81.54</t>
  </si>
  <si>
    <t>Es una empresa de buen prestigió</t>
  </si>
  <si>
    <t>Que nos de todo los beneficios</t>
  </si>
  <si>
    <t>181.176.99.250</t>
  </si>
  <si>
    <t>Se trabaja medio tiempo</t>
  </si>
  <si>
    <t>Facilitarnos con equipo de celular o cubrir los costos de pospago</t>
  </si>
  <si>
    <t>179.6.80.77</t>
  </si>
  <si>
    <t>Una rmpresa solvente ,en todo.los apectos</t>
  </si>
  <si>
    <t>Considero que lo tiene todo</t>
  </si>
  <si>
    <t>190.232.176.185</t>
  </si>
  <si>
    <t>Más horas de receso</t>
  </si>
  <si>
    <t>181.176.43.101</t>
  </si>
  <si>
    <t>Somos un gran equipo; donde la comunicación es clara y abierta</t>
  </si>
  <si>
    <t>Que envíe los insumos más seguido</t>
  </si>
  <si>
    <t>190.235.64.219</t>
  </si>
  <si>
    <t>Nada todo está bien</t>
  </si>
  <si>
    <t>181.176.45.41</t>
  </si>
  <si>
    <t>Q nos capacita</t>
  </si>
  <si>
    <t>Sueldo</t>
  </si>
  <si>
    <t>190.42.33.230</t>
  </si>
  <si>
    <t>Trabajo en equipo y mucha responsabilidad</t>
  </si>
  <si>
    <t>Mucha presión</t>
  </si>
  <si>
    <t>190.232.53.217</t>
  </si>
  <si>
    <t>Xsu apoyo asi nosotros</t>
  </si>
  <si>
    <t>Capacitaciones</t>
  </si>
  <si>
    <t>179.7.85.238</t>
  </si>
  <si>
    <t>Seguir trabajando como lo estamos haciendo</t>
  </si>
  <si>
    <t>190.116.36.133</t>
  </si>
  <si>
    <t>La consideración y soporte al personal</t>
  </si>
  <si>
    <t>conforme</t>
  </si>
  <si>
    <t>181.176.46.114</t>
  </si>
  <si>
    <t>Es una empresa formal, pagos puntuales y veneficios sociales</t>
  </si>
  <si>
    <t>Es considerable</t>
  </si>
  <si>
    <t>190.236.24.75</t>
  </si>
  <si>
    <t>Que es una buena empresa</t>
  </si>
  <si>
    <t>Respectivamente en nada</t>
  </si>
  <si>
    <t>181.176.41.106</t>
  </si>
  <si>
    <t>Un gran equipo y buenas personas</t>
  </si>
  <si>
    <t>Reconocimiento al personal</t>
  </si>
  <si>
    <t>190.238.86.117</t>
  </si>
  <si>
    <t>Es una empresa confiable</t>
  </si>
  <si>
    <t>No tiene nada que  mejorar</t>
  </si>
  <si>
    <t>190.239.66.24</t>
  </si>
  <si>
    <t>Horario felxible, buenas comisiones.</t>
  </si>
  <si>
    <t>las horas</t>
  </si>
  <si>
    <t>190.232.201.29</t>
  </si>
  <si>
    <t>Su trato al personal</t>
  </si>
  <si>
    <t>190.237.116.249</t>
  </si>
  <si>
    <t>Buen ambiente para laborar</t>
  </si>
  <si>
    <t>Na</t>
  </si>
  <si>
    <t>179.7.80.131</t>
  </si>
  <si>
    <t>Por q es una empresa q cumple con todo sus trabajadores</t>
  </si>
  <si>
    <t>En nada todo esta bien</t>
  </si>
  <si>
    <t>132.184.130.153</t>
  </si>
  <si>
    <t>Nos brinda todos los beneficios, ademas esta pendiente siempre de su personal, brindando siempre un servicio de primer nivel.</t>
  </si>
  <si>
    <t>Aumentar la remuneracion al personal.</t>
  </si>
  <si>
    <t>132.184.55.164</t>
  </si>
  <si>
    <t>Que es una en presa que  cumple con sus trabajadores</t>
  </si>
  <si>
    <t>181.176.43.106</t>
  </si>
  <si>
    <t>Claro que si ciempre nos capacitas t</t>
  </si>
  <si>
    <t>Todo estamos vien con limtek</t>
  </si>
  <si>
    <t>179.6.47.38</t>
  </si>
  <si>
    <t>Que cuidan de su personal</t>
  </si>
  <si>
    <t>Son buenas personas</t>
  </si>
  <si>
    <t>190.236.31.207</t>
  </si>
  <si>
    <t>Todo positivo</t>
  </si>
  <si>
    <t>Estoy de Acuerdo</t>
  </si>
  <si>
    <t>190.42.33.156</t>
  </si>
  <si>
    <t>Más reconocimiento</t>
  </si>
  <si>
    <t>Atención comercial</t>
  </si>
  <si>
    <t>Buen clima laboral bueno y cálido com principios y valores</t>
  </si>
  <si>
    <t>190.236.26.55</t>
  </si>
  <si>
    <t>Tenen en cuenta fechas especiales</t>
  </si>
  <si>
    <t>179.6.47.9</t>
  </si>
  <si>
    <t>Porque nos dan charlas para nuestra seguridad</t>
  </si>
  <si>
    <t>181.67.205.217</t>
  </si>
  <si>
    <t>Es una empresa  responsable</t>
  </si>
  <si>
    <t>En que nos sigan siempre</t>
  </si>
  <si>
    <t>190.237.151.163</t>
  </si>
  <si>
    <t>Bonos</t>
  </si>
  <si>
    <t>Que uviera una sucursal limtek</t>
  </si>
  <si>
    <t>179.6.251.83</t>
  </si>
  <si>
    <t>Más consideración a sus personales y más a oportunidades</t>
  </si>
  <si>
    <t>132.184.130.194</t>
  </si>
  <si>
    <t>Que nos capacitan para un buen trabajo</t>
  </si>
  <si>
    <t>El sueldo</t>
  </si>
  <si>
    <t>200.123.12.134</t>
  </si>
  <si>
    <t>El personal</t>
  </si>
  <si>
    <t>Que se acuerden de las fechas importantes como por ejemplo día del trabajador navidad</t>
  </si>
  <si>
    <t>Su atención</t>
  </si>
  <si>
    <t>Incentivando a los trabajadores</t>
  </si>
  <si>
    <t>190.237.34.71</t>
  </si>
  <si>
    <t>Su comprensión</t>
  </si>
  <si>
    <t>179.7.16.129</t>
  </si>
  <si>
    <t>Más comunicación con el personal</t>
  </si>
  <si>
    <t>190.102.139.172</t>
  </si>
  <si>
    <t>El trabajo</t>
  </si>
  <si>
    <t>Mas capacitaciones</t>
  </si>
  <si>
    <t>190.239.68.23</t>
  </si>
  <si>
    <t>Su buen ambiente</t>
  </si>
  <si>
    <t>Más cooperación</t>
  </si>
  <si>
    <t>45.5.56.193</t>
  </si>
  <si>
    <t>La seguridad  y responsabilidad</t>
  </si>
  <si>
    <t>Me siento en gusto con limtek que es una buena empresa</t>
  </si>
  <si>
    <t>ambiente laboral y responsabilidad</t>
  </si>
  <si>
    <t>mas capacitaciones</t>
  </si>
  <si>
    <t>181.176.22.78</t>
  </si>
  <si>
    <t>que es una empresa responsable na</t>
  </si>
  <si>
    <t>nada por qué es una empresa responsable y está pendientes de su personales</t>
  </si>
  <si>
    <t>Q es una empresa  responsable</t>
  </si>
  <si>
    <t>Nada xq es una empresa  q está pendiente con sus  personales</t>
  </si>
  <si>
    <t>Nada  todo es  una empresa q está. Pendiente de sus personales</t>
  </si>
  <si>
    <t>190.232.29.190</t>
  </si>
  <si>
    <t>Puntual en los pagos , capacitación constante ,</t>
  </si>
  <si>
    <t>190.239.67.42</t>
  </si>
  <si>
    <t>Que son puntuales en sus pagos buenos tratos</t>
  </si>
  <si>
    <t>Ser mas unidos</t>
  </si>
  <si>
    <t>181.176.92.208</t>
  </si>
  <si>
    <t>El ambiente laboral es idóneo para realizar mi trabajo .</t>
  </si>
  <si>
    <t>Más capacitación con respecto a la gestión de materiales.</t>
  </si>
  <si>
    <t>190.236.131.228</t>
  </si>
  <si>
    <t>Si por los beneficios  que brindan</t>
  </si>
  <si>
    <t>Mas capacitación  alos operarios</t>
  </si>
  <si>
    <t>179.6.72.223</t>
  </si>
  <si>
    <t>132.184.130.167</t>
  </si>
  <si>
    <t>Que se trabaja con mucho cuidado y responsabilidad</t>
  </si>
  <si>
    <t>Que nos envíen los materiales lo que se pide</t>
  </si>
  <si>
    <t>38.255.107.141</t>
  </si>
  <si>
    <t>Ser una empresa puntual y responsable</t>
  </si>
  <si>
    <t>Que nos siga capacitando en seguridad.</t>
  </si>
  <si>
    <t>190.239.73.170</t>
  </si>
  <si>
    <t>Trato excelente</t>
  </si>
  <si>
    <t>Capacitaciones constantes</t>
  </si>
  <si>
    <t>181.176.22.41</t>
  </si>
  <si>
    <t>Que son puntuales en todo referente a los materiales q necesitamos para trabajar</t>
  </si>
  <si>
    <t>Nada. Todo bien</t>
  </si>
  <si>
    <t>181.176.81.97</t>
  </si>
  <si>
    <t>Si todo bien</t>
  </si>
  <si>
    <t>Esta bien</t>
  </si>
  <si>
    <t>Si me siento bien</t>
  </si>
  <si>
    <t>Bueno todo va bien</t>
  </si>
  <si>
    <t>179.6.251.18</t>
  </si>
  <si>
    <t>Lo q destacamos de limtek es el buen grupo de trabajo</t>
  </si>
  <si>
    <t>Es buena empresa confiable</t>
  </si>
  <si>
    <t>181.176.101.185</t>
  </si>
  <si>
    <t>Ser puntual en sus deberes</t>
  </si>
  <si>
    <t>179.6.251.44</t>
  </si>
  <si>
    <t>Que es considerable y que nos recoce nuestro fuerzo de casa día haciendo lo mejor</t>
  </si>
  <si>
    <t>Más bonificación por qué no nos alcanza lo que resivimos</t>
  </si>
  <si>
    <t>179.7.88.164</t>
  </si>
  <si>
    <t>Que de canasta navideña</t>
  </si>
  <si>
    <t>181.176.22.169</t>
  </si>
  <si>
    <t>Para mi Limtek es es una empresa que me dio oportunidades y estoy agradecida con la empresa fue mi primer trabajo que me senté a gusto gracias Limtek por confiar en mi.</t>
  </si>
  <si>
    <t>Para mi todo está bien con la empresasolo que debe de haber un supervisor en la zona de Iquitos. Nos hace falta que nos de más orienyación. Gracias</t>
  </si>
  <si>
    <t>179.7.82.129</t>
  </si>
  <si>
    <t>Una buena imagen</t>
  </si>
  <si>
    <t>190.239.89.250</t>
  </si>
  <si>
    <t>Que ofrece todos los beneficios sociales y planilla completa desde el primer día, pagos puntuales, un excelente clima laboral y reales oportunidades de crecimiento y capacitación continua</t>
  </si>
  <si>
    <t>No tengo ningun inconveniente aserca de la empresa limtek</t>
  </si>
  <si>
    <t>190.239.72.39</t>
  </si>
  <si>
    <t>Mejorar cada día en el trabajo</t>
  </si>
  <si>
    <t>Tener un supervisor en ucayali</t>
  </si>
  <si>
    <t>200.62.220.101</t>
  </si>
  <si>
    <t>X que son muy puntuales en el pago</t>
  </si>
  <si>
    <t>Visitar más al personal en sus universidades lil</t>
  </si>
  <si>
    <t>190.234.23.243</t>
  </si>
  <si>
    <t>181.176.80.188</t>
  </si>
  <si>
    <t>Considero que es una empresa con buenos valores los cuales benefician al personal de trabajo</t>
  </si>
  <si>
    <t>En mi opinion seria una mejora q el Jefe encargado visite las areas de trabajo para supervisar al personal</t>
  </si>
  <si>
    <t>190.239.89.186</t>
  </si>
  <si>
    <t>Un a empresa confiable</t>
  </si>
  <si>
    <t>Más apoyo x parte de la jefa ejecutiva</t>
  </si>
  <si>
    <t>132.157.128.214</t>
  </si>
  <si>
    <t>esuna agencia de prestijio</t>
  </si>
  <si>
    <t>Contrato fio a sus trabajadores</t>
  </si>
  <si>
    <t>132.184.55.35</t>
  </si>
  <si>
    <t>Un buen equipo</t>
  </si>
  <si>
    <t>45.5.56.194</t>
  </si>
  <si>
    <t>Es una empresa muy cumplido con la diciplina y ordenado con sus trabajadores</t>
  </si>
  <si>
    <t>Que haiga mas capacitaciones de los insumos</t>
  </si>
  <si>
    <t>191.52.214.71</t>
  </si>
  <si>
    <t>Es buena</t>
  </si>
  <si>
    <t>Buena</t>
  </si>
  <si>
    <t>Excelente</t>
  </si>
  <si>
    <t>132.184.55.96</t>
  </si>
  <si>
    <t>Muy buen ambiente laboral los jefes son muy capacitados</t>
  </si>
  <si>
    <t>Yo creo que nada</t>
  </si>
  <si>
    <t>132.251.1.93</t>
  </si>
  <si>
    <t>Son puntuales en el pago y solucionan los problemas que tengamos</t>
  </si>
  <si>
    <t>En la de contratar gente que quiera trabajar</t>
  </si>
  <si>
    <t>190.234.23.143</t>
  </si>
  <si>
    <t>El buen trato al personal</t>
  </si>
  <si>
    <t>Que vuelvan los campeonatos</t>
  </si>
  <si>
    <t>181.176.86.107</t>
  </si>
  <si>
    <t>todos</t>
  </si>
  <si>
    <t>puntualidad pagos</t>
  </si>
  <si>
    <t>selección personal</t>
  </si>
  <si>
    <t>181.176.87.59</t>
  </si>
  <si>
    <t>Que regrese la estabilidad laboral</t>
  </si>
  <si>
    <t>132.157.128.233</t>
  </si>
  <si>
    <t>Que sean más generosos con las canastas</t>
  </si>
  <si>
    <t>190.239.68.86</t>
  </si>
  <si>
    <t>Las canastas</t>
  </si>
  <si>
    <t>181.176.107.129</t>
  </si>
  <si>
    <t>Que consideren más en las utilidades</t>
  </si>
  <si>
    <t>179.7.67.16</t>
  </si>
  <si>
    <t>En todo</t>
  </si>
  <si>
    <t>Que hagan mas premios</t>
  </si>
  <si>
    <t>181.176.90.214</t>
  </si>
  <si>
    <t>179.7.64.91</t>
  </si>
  <si>
    <t>Todocallao</t>
  </si>
  <si>
    <t>132.191.0.115</t>
  </si>
  <si>
    <t>da oportunidades a los. Jovenes</t>
  </si>
  <si>
    <t>Tiene que dar uniforne</t>
  </si>
  <si>
    <t>179.6.56.104</t>
  </si>
  <si>
    <t>Cómo empresa si</t>
  </si>
  <si>
    <t>En la contratación de personas responsables</t>
  </si>
  <si>
    <t>TACNA</t>
  </si>
  <si>
    <t>132.157.129.34</t>
  </si>
  <si>
    <t>es una buena empresa</t>
  </si>
  <si>
    <t>Trabajando iguak y mejor</t>
  </si>
  <si>
    <t>Es una buena.empresa</t>
  </si>
  <si>
    <t>seguir trabajando mas</t>
  </si>
  <si>
    <t>38.250.157.174</t>
  </si>
  <si>
    <t>la puntualidad</t>
  </si>
  <si>
    <t>La calidad del uniforme</t>
  </si>
  <si>
    <t>En la calidad del uniforme Area</t>
  </si>
  <si>
    <t>190.236.2.156</t>
  </si>
  <si>
    <t>Por su buen trato y sus puntualidad en el pago</t>
  </si>
  <si>
    <t>Estoy en todo d acuerdo todo bien</t>
  </si>
  <si>
    <t>179.6.145.182</t>
  </si>
  <si>
    <t>Un ambiente tranquilo y armónico para trabajar.</t>
  </si>
  <si>
    <t>Que cuando tengamos una emergencia, tuvieran mayor comprensión en los trabajadores, y estén cómodos.</t>
  </si>
  <si>
    <t>179.7.102.188</t>
  </si>
  <si>
    <t>190.236.5.17</t>
  </si>
  <si>
    <t>Reconocen el esfuerzo brindado por su personal a través de los años, en lo particular recibí un premio por mis años de servicio y me sentí muy motivada</t>
  </si>
  <si>
    <t>Considero ya que es un buen lugar para trabajar, además de ser puntuales en los pagos lo que hace que motive a su personal</t>
  </si>
  <si>
    <t>190.236.11.192</t>
  </si>
  <si>
    <t>Buena empresa, lo mejor</t>
  </si>
  <si>
    <t>132.184.160.218</t>
  </si>
  <si>
    <t>Es una buena empresa responsable</t>
  </si>
  <si>
    <t>Que al cliente deben dar  una solución</t>
  </si>
  <si>
    <t>Su personal y su manera de tratar a su gente</t>
  </si>
  <si>
    <t>TEMPLO DE TRUJILLO ASPERSUD</t>
  </si>
  <si>
    <t>200.41.87.106</t>
  </si>
  <si>
    <t>Puntualidad</t>
  </si>
  <si>
    <t>190.235.185.165</t>
  </si>
  <si>
    <t>La coordinación y comunicación</t>
  </si>
  <si>
    <t>Información</t>
  </si>
  <si>
    <t>190.238.136.51</t>
  </si>
  <si>
    <t>Los tratos</t>
  </si>
  <si>
    <t>179.6.43.144</t>
  </si>
  <si>
    <t>Que se preocupan por la salud del trabajo</t>
  </si>
  <si>
    <t>Fomentar la unión entre los trabajadores</t>
  </si>
  <si>
    <t>186.163.10.34</t>
  </si>
  <si>
    <t>loa.utinzilio</t>
  </si>
  <si>
    <t>materiales</t>
  </si>
  <si>
    <t>190.236.7.30</t>
  </si>
  <si>
    <t>Es serio y responsable con su personal</t>
  </si>
  <si>
    <t>Pienso que nada</t>
  </si>
  <si>
    <t>179.6.80.31</t>
  </si>
  <si>
    <t>Todo está en total acuerdo</t>
  </si>
  <si>
    <t>45.173.200.134</t>
  </si>
  <si>
    <t>Porque cumple todo</t>
  </si>
  <si>
    <t>Todo hase bien</t>
  </si>
  <si>
    <t>179.6.72.172</t>
  </si>
  <si>
    <t>Alimentación</t>
  </si>
  <si>
    <t>Somos capacitados mensual</t>
  </si>
  <si>
    <t>38.56.112.130</t>
  </si>
  <si>
    <t>Paga puntual</t>
  </si>
  <si>
    <t>Los encargadas no deberían gritar al personal ni siquiera los supervisores lo hacen</t>
  </si>
  <si>
    <t>132.184.128.189</t>
  </si>
  <si>
    <t>Compañerismo y hostigamiento laboral</t>
  </si>
  <si>
    <t>En por lo menos darnos algo para navidad (canasta) y reconocimiento cuando cumplimos con todo lo que nos dicen (charlas, no faltas) un compartir</t>
  </si>
  <si>
    <t>181.176.104.89</t>
  </si>
  <si>
    <t>Buen lugar</t>
  </si>
  <si>
    <t>Ambiente laboral</t>
  </si>
  <si>
    <t>HUANUCO</t>
  </si>
  <si>
    <t>179.6.138.207</t>
  </si>
  <si>
    <t>Buenas empressa</t>
  </si>
  <si>
    <t>Nos incentibe mas para mejorar</t>
  </si>
  <si>
    <t>132.184.160.185</t>
  </si>
  <si>
    <t>Preocuparse de sus trabajadores</t>
  </si>
  <si>
    <t>Contratar buenos aperarias y sean responsables</t>
  </si>
  <si>
    <t>38.250.153.6</t>
  </si>
  <si>
    <t>Que debemos ser responsables y puntuales.</t>
  </si>
  <si>
    <t>Los materiales de limpieza que sean los adecuado.</t>
  </si>
  <si>
    <t>181.176.41.208</t>
  </si>
  <si>
    <t>Su puntualidad en el pago y proveer material</t>
  </si>
  <si>
    <t>Q haya más puesto d trabajo, canasta en navidad</t>
  </si>
  <si>
    <t>181.176.43.99</t>
  </si>
  <si>
    <t>Es muy buena empresa</t>
  </si>
  <si>
    <t>Buenas capacitaciones para nuestro bienestar</t>
  </si>
  <si>
    <t>181.176.22.199</t>
  </si>
  <si>
    <t>Es un buen empleador</t>
  </si>
  <si>
    <t>190.236.24.29</t>
  </si>
  <si>
    <t>El compañerismo en equipo</t>
  </si>
  <si>
    <t>Creo nada está todo conforme</t>
  </si>
  <si>
    <t>179.7.72.60</t>
  </si>
  <si>
    <t>Me gusta su puntualidad</t>
  </si>
  <si>
    <t>Que nos apoyen mucho mas</t>
  </si>
  <si>
    <t>190.237.108.147</t>
  </si>
  <si>
    <t>Las capacitaciones diarias</t>
  </si>
  <si>
    <t>Nda</t>
  </si>
  <si>
    <t>179.7.114.32</t>
  </si>
  <si>
    <t>Sus capacitaciones virtuales</t>
  </si>
  <si>
    <t>181.176.123.97</t>
  </si>
  <si>
    <t>Motivación personal</t>
  </si>
  <si>
    <t>Buen trato al personal</t>
  </si>
  <si>
    <t>Motivar al trabajador</t>
  </si>
  <si>
    <t>138.59.64.238</t>
  </si>
  <si>
    <t>Que el personal no faltelima</t>
  </si>
  <si>
    <t>190.236.26.202</t>
  </si>
  <si>
    <t>Qe es una empresa respomsable</t>
  </si>
  <si>
    <t>Se que como viene trabajando</t>
  </si>
  <si>
    <t>179.6.34.75</t>
  </si>
  <si>
    <t>ERGONOMIA</t>
  </si>
  <si>
    <t>PAGA PUNTUAL</t>
  </si>
  <si>
    <t>QUE NO ENVIEN MUCHO MATERIAL, YA QUE AL ALMACEN ES PEQUEÑO</t>
  </si>
  <si>
    <t>179.6.75.229</t>
  </si>
  <si>
    <t>Lo considero de limtek de muchas empresas que tiene limtek contratos en diferentes distrito de lima y provincia</t>
  </si>
  <si>
    <t>Mejor muchas cosas por ejemplo capacitación bien al personal nuevo que ingresan ala empresa Limtek</t>
  </si>
  <si>
    <t>SU CALIDEZ DE EQUIPO</t>
  </si>
  <si>
    <t>QUE ENVIEN MAS MATERIAL</t>
  </si>
  <si>
    <t>190.236.11.243</t>
  </si>
  <si>
    <t>168.194.102.163</t>
  </si>
  <si>
    <t>Prioriza el bien estar de operario, confianza y respeto ofrece salarios justos y beneficios competitivos.</t>
  </si>
  <si>
    <t>Para mí está bien, considero un buen lugar para trabajar.</t>
  </si>
  <si>
    <t>179.7.73.110</t>
  </si>
  <si>
    <t>Mís materiales</t>
  </si>
  <si>
    <t>Más materiales de trabajo</t>
  </si>
  <si>
    <t>Destaco el compañerismo y el compromiso de trabajar</t>
  </si>
  <si>
    <t>El pago, ya que el trabajo de Limpieza es muy cansado</t>
  </si>
  <si>
    <t>179.7.72.104</t>
  </si>
  <si>
    <t>Materiales de limpieza</t>
  </si>
  <si>
    <t>181.176.125.240</t>
  </si>
  <si>
    <t>132.191.2.124</t>
  </si>
  <si>
    <t>El buen trato por parte de los supervisores/ jefes</t>
  </si>
  <si>
    <t>132.184.129.4</t>
  </si>
  <si>
    <t>En que trata bien al personal en solucionar algún problema que aya en el trabajo</t>
  </si>
  <si>
    <t>Por el momento esta bien en todo aspecto</t>
  </si>
  <si>
    <t>190.239.94.46</t>
  </si>
  <si>
    <t>El ambiente</t>
  </si>
  <si>
    <t>Las navidades</t>
  </si>
  <si>
    <t>179.7.16.100</t>
  </si>
  <si>
    <t>Q SON CONSIENTES</t>
  </si>
  <si>
    <t>SU INFRAESTRUCTURA</t>
  </si>
  <si>
    <t>179.6.251.25</t>
  </si>
  <si>
    <t>181.176.80.47</t>
  </si>
  <si>
    <t>Él buen trató y Él adecuado implementacion en él trabajó</t>
  </si>
  <si>
    <t>Para mi todo es bien</t>
  </si>
  <si>
    <t>190.239.94.37</t>
  </si>
  <si>
    <t>Organización  y buena comunicacion</t>
  </si>
  <si>
    <t>181.176.22.122</t>
  </si>
  <si>
    <t>lo..primordiar..trabajar..bien..para..todos</t>
  </si>
  <si>
    <t>primero..es.que..nos..traigan..los..insumos..tal..como.se.pide.</t>
  </si>
  <si>
    <t>190.239.91.0</t>
  </si>
  <si>
    <t>Compañerismo y buen trato</t>
  </si>
  <si>
    <t>Todo está conforme</t>
  </si>
  <si>
    <t>179.7.73.5</t>
  </si>
  <si>
    <t>El pago puntual</t>
  </si>
  <si>
    <t>179.6.75.184</t>
  </si>
  <si>
    <t>Ke es un buen  trabajo y ke gracias a eso puedo generar dinero y saber una unión entre compañeros ke somos unidos</t>
  </si>
  <si>
    <t>Bueno yo estoy conforme a los reglamentos ke me brindan en el trabajo</t>
  </si>
  <si>
    <t>179.1.145.76</t>
  </si>
  <si>
    <t>Da buenas charlas</t>
  </si>
  <si>
    <t>Dar cts a los par time que trabajan 4 horas</t>
  </si>
  <si>
    <t>132.251.2.30</t>
  </si>
  <si>
    <t>Los compañeros</t>
  </si>
  <si>
    <t>No da mucho a su personal</t>
  </si>
  <si>
    <t>186.148.196.153</t>
  </si>
  <si>
    <t>Empresa estable que cumple bien con sus trabajadores</t>
  </si>
  <si>
    <t>Trato más humanizado</t>
  </si>
  <si>
    <t>45.232.106.66</t>
  </si>
  <si>
    <t>190.239.92.175</t>
  </si>
  <si>
    <t>Llegan a tiempo los materiales</t>
  </si>
  <si>
    <t>Vacaciones a los q trabajamos medio tiempo</t>
  </si>
  <si>
    <t>179.6.43.74</t>
  </si>
  <si>
    <t>La empatía laboral</t>
  </si>
  <si>
    <t>Pago puntual del sueldo</t>
  </si>
  <si>
    <t>La rotación de turnos del personal para generar la empatía laboral</t>
  </si>
  <si>
    <t>HUANCAYO</t>
  </si>
  <si>
    <t>181.176.83.111</t>
  </si>
  <si>
    <t>Puntualidad de materiales</t>
  </si>
  <si>
    <t>201.230.81.147</t>
  </si>
  <si>
    <t>La comunicación entre el operario y supervisor</t>
  </si>
  <si>
    <t>Que nunca se pierda la comunicación en el centro de trabajo</t>
  </si>
  <si>
    <t>181.176.45.47</t>
  </si>
  <si>
    <t>Son muy necesarios todos  temas ...capacitarnos..</t>
  </si>
  <si>
    <t>Donde nos capacitan , me siento feliz de pertener  a limtek</t>
  </si>
  <si>
    <t>Mejorar con.las prendas por.que las prendas.no son tan de.buena calidad.</t>
  </si>
  <si>
    <t>38.158.82.128</t>
  </si>
  <si>
    <t>Es una empresa sería, un buen clima laboral</t>
  </si>
  <si>
    <t>Las motivaciónes a sus personales</t>
  </si>
  <si>
    <t>132.184.160.42</t>
  </si>
  <si>
    <t>Fomenta la Mejora continua  |n el desarrollo de nuestras  labores</t>
  </si>
  <si>
    <t>promover las capacitaciones presenciales y promover a su personal a otros niveles laborales</t>
  </si>
  <si>
    <t>RACIONALIZACION EMPRESARIAL S. A.</t>
  </si>
  <si>
    <t>RACIEMSA CARACOTO JULIACA-PUNO</t>
  </si>
  <si>
    <t>179.7.114.197</t>
  </si>
  <si>
    <t>Buen ambiente</t>
  </si>
  <si>
    <t>132.191.2.8</t>
  </si>
  <si>
    <t>No te ponen peros ni trabas para ingresar a la empresa</t>
  </si>
  <si>
    <t>Que al pedir epps no demoren tanto en entregarlos ni poner peros</t>
  </si>
  <si>
    <t>181.176.127.96</t>
  </si>
  <si>
    <t>Las charlas sobre seguridad</t>
  </si>
  <si>
    <t>190.12.77.27</t>
  </si>
  <si>
    <t>Que son puntuales con los pagos</t>
  </si>
  <si>
    <t>Que aiga campañas</t>
  </si>
  <si>
    <t>179.6.164.143</t>
  </si>
  <si>
    <t>Que todos trabajamos en equipo que hay un buen ambiente laboral</t>
  </si>
  <si>
    <t>Que nos capaciten más   que los consideren  más a los trabajadores</t>
  </si>
  <si>
    <t>179.6.74.81</t>
  </si>
  <si>
    <t>Totalmente de acuerdo q</t>
  </si>
  <si>
    <t>Que es una buena empresa ju</t>
  </si>
  <si>
    <t>179.7.102.47</t>
  </si>
  <si>
    <t>Es responsable con el trabajador</t>
  </si>
  <si>
    <t>Todo bien para el personal de trabajo</t>
  </si>
  <si>
    <t>Que me brinda todo los implementos de trabajo .y seguridad</t>
  </si>
  <si>
    <t>38.250.159.29</t>
  </si>
  <si>
    <t>Es un area donde tratan a todos por igual</t>
  </si>
  <si>
    <t>Nada,todo esta bien</t>
  </si>
  <si>
    <t>186.163.10.40</t>
  </si>
  <si>
    <t>Ambiente seguro, organizado y saludable</t>
  </si>
  <si>
    <t>Tecnología</t>
  </si>
  <si>
    <t>190.239.78.150</t>
  </si>
  <si>
    <t>Siempre esta capacitandonos en todo trabajo q realizamos</t>
  </si>
  <si>
    <t>Una oficina mas cerca a mi unidad de trabajo</t>
  </si>
  <si>
    <t>190.239.66.77</t>
  </si>
  <si>
    <t>Porque nos permite crecer como Persona como trabajador y porque vela por la seguridad y salud de sus operarios</t>
  </si>
  <si>
    <t>181.176.91.252</t>
  </si>
  <si>
    <t>Que vela por la seguridad y salud de sus operarios.</t>
  </si>
  <si>
    <t>143.105.157.116</t>
  </si>
  <si>
    <t>Que son amables y considerados</t>
  </si>
  <si>
    <t>Un buzon de sugerencias</t>
  </si>
  <si>
    <t>186.163.11.14</t>
  </si>
  <si>
    <t>38.190.126.166</t>
  </si>
  <si>
    <t>Sobre salir</t>
  </si>
  <si>
    <t>Más comunicacion</t>
  </si>
  <si>
    <t>181.176.111.153</t>
  </si>
  <si>
    <t>Que es una excelente empresa laboral</t>
  </si>
  <si>
    <t>Tener un poco más de comunicación con los operarios</t>
  </si>
  <si>
    <t>181.176.86.139</t>
  </si>
  <si>
    <t>K hay comunicación con el supervisor</t>
  </si>
  <si>
    <t>En la comunicación con el personal</t>
  </si>
  <si>
    <t>Reconocer el trabajo de los operarios y dar un reconocimiento</t>
  </si>
  <si>
    <t>179.6.72.117</t>
  </si>
  <si>
    <t>Que nos da las capacitaciones y charlas para poder aprender más.</t>
  </si>
  <si>
    <t>De mi parte nada que sigan tratando bien a los operarios y su apoyo que nos da a todos</t>
  </si>
  <si>
    <t>179.6.39.127</t>
  </si>
  <si>
    <t>El apoyo cuando necesitas o estas e circunstancias difíciles</t>
  </si>
  <si>
    <t>Nada...Solo aumentar puestos de trabajo en mi provincia</t>
  </si>
  <si>
    <t>Trabajar en equipoevitar</t>
  </si>
  <si>
    <t>Evitar las discordia</t>
  </si>
  <si>
    <t>190.236.8.168</t>
  </si>
  <si>
    <t>La discordia</t>
  </si>
  <si>
    <t>38.250.159.94</t>
  </si>
  <si>
    <t>Compromiso y responsabilidad</t>
  </si>
  <si>
    <t>nada todo está muy bien</t>
  </si>
  <si>
    <t>190.236.29.49</t>
  </si>
  <si>
    <t>Union y buen equipo</t>
  </si>
  <si>
    <t>38.250.153.31</t>
  </si>
  <si>
    <t>Una buena empresa con visión de crecimiento y que cumple con todas las expectativas y el cumplimiento  en la entrega de materiales en las fechas señaladas</t>
  </si>
  <si>
    <t>Más capacitaciones referente al  trabajo que realizamos dia a dia dia a dia</t>
  </si>
  <si>
    <t>38.25.57.92</t>
  </si>
  <si>
    <t>Usar Un coche para transportar escobas, mopas, recogedor, erizo, balde</t>
  </si>
  <si>
    <t>179.7.102.183</t>
  </si>
  <si>
    <t>Apoyo para el personal</t>
  </si>
  <si>
    <t>179.6.26.37</t>
  </si>
  <si>
    <t>Charlas de motivación laboral</t>
  </si>
  <si>
    <t>Ofrece beneficios sociales completos y un buen ambiente laboral</t>
  </si>
  <si>
    <t>Establecer canales de comunicación donde líderes saluden y escuchen activamente a los empleados generando confianza y respeto</t>
  </si>
  <si>
    <t>el ambiente</t>
  </si>
  <si>
    <t>a sus encargados .el encargado del turno de la mañana es muy ostigante .</t>
  </si>
  <si>
    <t>190.43.126.36</t>
  </si>
  <si>
    <t>Es un trabajo con sus benegicios</t>
  </si>
  <si>
    <t>Que nos capacite más</t>
  </si>
  <si>
    <t>190.119.161.20</t>
  </si>
  <si>
    <t>En uniformes porque somos una ciudad de calor</t>
  </si>
  <si>
    <t>190.236.29.116</t>
  </si>
  <si>
    <t>Aun falta mejorar</t>
  </si>
  <si>
    <t>Que sepan los procedimientos de trabajo en limpieza</t>
  </si>
  <si>
    <t>Es una empresa bien formal y da un buen trato a sus trabajadores</t>
  </si>
  <si>
    <t>Tiene que ver más capacitaciones</t>
  </si>
  <si>
    <t>190.236.7.78</t>
  </si>
  <si>
    <t>Puntualidad al pagar.</t>
  </si>
  <si>
    <t>Ser más empático con los colaboradores.</t>
  </si>
  <si>
    <t>Rambla Brasil</t>
  </si>
  <si>
    <t>Por sus buenos beneficios que da y el buen trato laboral.</t>
  </si>
  <si>
    <t>Más capacitaciones y qe sean gratuitas tomar exámenes ya sea escrita u oral en cada reunión.</t>
  </si>
  <si>
    <t>190.236.28.255</t>
  </si>
  <si>
    <t>Que es una empresa que te brinda oportunidades de desarrollo personal</t>
  </si>
  <si>
    <t>Que la comunicación se más fluida.</t>
  </si>
  <si>
    <t>179.6.80.150</t>
  </si>
  <si>
    <t>Por el ambiente</t>
  </si>
  <si>
    <t>Mayor coordinación</t>
  </si>
  <si>
    <t>190.239.74.177</t>
  </si>
  <si>
    <t>El almacén</t>
  </si>
  <si>
    <t>Más motivación así personal.</t>
  </si>
  <si>
    <t>181.176.45.26</t>
  </si>
  <si>
    <t>Mejorar con el personal</t>
  </si>
  <si>
    <t>181.176.43.170</t>
  </si>
  <si>
    <t>La puntualidad en el pago de planillas</t>
  </si>
  <si>
    <t>Que mejore la comunicación con el operario</t>
  </si>
  <si>
    <t>190.239.72.148</t>
  </si>
  <si>
    <t>La puntualidad en el salario....</t>
  </si>
  <si>
    <t>Es una buena empresa que se preocupa de los trabajadores</t>
  </si>
  <si>
    <t>Bueno para mi se encuentra bien</t>
  </si>
  <si>
    <t>132.191.0.85</t>
  </si>
  <si>
    <t>Incentivos canastas utilidades</t>
  </si>
  <si>
    <t>132.191.1.112</t>
  </si>
  <si>
    <t>La puntualidad en el pago</t>
  </si>
  <si>
    <t>Incentivos alos trabajadores puntuales y tb las canastas navideñas .</t>
  </si>
  <si>
    <t>179.6.74.50</t>
  </si>
  <si>
    <t>Es una empresa consolidada buen ambiente laboral ..el supervisor siempre nos capacita y los pagos muy puntuales</t>
  </si>
  <si>
    <t>186.163.11.55</t>
  </si>
  <si>
    <t>Las cspacitaciones que brindan son muy bien</t>
  </si>
  <si>
    <t>Al no hostigamiente entre compañeros de trabajo</t>
  </si>
  <si>
    <t>132.184.55.19</t>
  </si>
  <si>
    <t>Su manera de capacitar al operario</t>
  </si>
  <si>
    <t>Open piura</t>
  </si>
  <si>
    <t>179.7.65.54</t>
  </si>
  <si>
    <t>Celebrar cumpleaños a los operaios</t>
  </si>
  <si>
    <t>179.6.80.138</t>
  </si>
  <si>
    <t>Yo me siento muy a gusto de trabajar en limtek</t>
  </si>
  <si>
    <t>179.6.104.177</t>
  </si>
  <si>
    <t>Contratos estables</t>
  </si>
  <si>
    <t>179.7.92.119</t>
  </si>
  <si>
    <t>Todos somos equipo, entré compañeros</t>
  </si>
  <si>
    <t>Resaltó que hay una buena capacitación para los trabajadores</t>
  </si>
  <si>
    <t>Mejorar en tema de los materiales</t>
  </si>
  <si>
    <t>Se preocupan por el bienestar del operario</t>
  </si>
  <si>
    <t>Juegos dinámicos con los compañeros de ves en cuando</t>
  </si>
  <si>
    <t>190.239.95.158</t>
  </si>
  <si>
    <t>Es una buena empresa laboral</t>
  </si>
  <si>
    <t>Más apoyo Asu personal</t>
  </si>
  <si>
    <t>64.215.22.74</t>
  </si>
  <si>
    <t>Buena comunicación con mi jefa</t>
  </si>
  <si>
    <t>Estoy de acuerdo con todo la libertad</t>
  </si>
  <si>
    <t>Estar unidos todos como un equipo de trabajo</t>
  </si>
  <si>
    <t>190.232.53.21</t>
  </si>
  <si>
    <t>Cumplen con todo</t>
  </si>
  <si>
    <t>179.7.83.127</t>
  </si>
  <si>
    <t>Tranquilidad</t>
  </si>
  <si>
    <t>Que los capaciten en trabajar en equipo</t>
  </si>
  <si>
    <t>179.6.80.251</t>
  </si>
  <si>
    <t>La responsabilidad con los trabajadores y el respeto q tienen con los trabajadores</t>
  </si>
  <si>
    <t>Me parece q todo sta bien en el trabajo</t>
  </si>
  <si>
    <t>Son eficaz en varios aspectos</t>
  </si>
  <si>
    <t>Bueno x lo pronto todo bien</t>
  </si>
  <si>
    <t>190.234.82.35</t>
  </si>
  <si>
    <t>Por ser una empresa responsable con sus trabajadores</t>
  </si>
  <si>
    <t>Seguridad y herramientas adecuadas para trabajar</t>
  </si>
  <si>
    <t>132.184.55.40</t>
  </si>
  <si>
    <t>Son muchas cualidades que tiene Limtek, ser un apoyo para poder destacar en el trabajo y como ser humano, estoy muy agradecida por ser parte de la gran familia de Limtek</t>
  </si>
  <si>
    <t>Estoy muy satisfecha con todo lo que estoy recibiendo por parte de la empresa Limtek especialmente que el trato es todo por igual</t>
  </si>
  <si>
    <t>179.6.7.31</t>
  </si>
  <si>
    <t>El orden</t>
  </si>
  <si>
    <t>Mejorar la calidad de servicio a nuestros clientes de limpieza</t>
  </si>
  <si>
    <t>181.176.91.170</t>
  </si>
  <si>
    <t>Más q nada hay compañerismo en el trabajo y mucho apoyo con todos</t>
  </si>
  <si>
    <t>Con los materiales de trabajo</t>
  </si>
  <si>
    <t>132.184.55.11</t>
  </si>
  <si>
    <t>De un buen ambiente laboral y puntualidad en los pagos</t>
  </si>
  <si>
    <t>Mejorar la comunicación interna</t>
  </si>
  <si>
    <t>132.184.55.33</t>
  </si>
  <si>
    <t>Los beneficios y la atención al personal</t>
  </si>
  <si>
    <t>Ser más claro en sus políticas cuando ingresa un personal</t>
  </si>
  <si>
    <t>190.234.82.38</t>
  </si>
  <si>
    <t>Una empresa responsable con sus trabajadores</t>
  </si>
  <si>
    <t>132.184.55.169</t>
  </si>
  <si>
    <t>El trabajo en equipo y las capacitaciones constantes</t>
  </si>
  <si>
    <t>Dar utilidades</t>
  </si>
  <si>
    <t>38.255.108.209</t>
  </si>
  <si>
    <t>Los logros</t>
  </si>
  <si>
    <t>179.7.16.34</t>
  </si>
  <si>
    <t>Que es una empresa que siempre esta pendiente de su personal</t>
  </si>
  <si>
    <t>En  lo personal estoy conforme en mi lugar de trabajo</t>
  </si>
  <si>
    <t>Q se entregen los materiales a tiempo</t>
  </si>
  <si>
    <t>Bueno para mí estoy muy bien con lo que está realizando</t>
  </si>
  <si>
    <t>Quesigua como está haciendo su trabajo</t>
  </si>
  <si>
    <t>Un buen clima laboraluna</t>
  </si>
  <si>
    <t>Una verasidad comunicacion</t>
  </si>
  <si>
    <t>Un ambiente laboral</t>
  </si>
  <si>
    <t>Una buena comunicación</t>
  </si>
  <si>
    <t>181.67.96.179</t>
  </si>
  <si>
    <t>Te apoyan en lo que pides Q te explique</t>
  </si>
  <si>
    <t>Yo creo que están bien</t>
  </si>
  <si>
    <t>190.237.178.159</t>
  </si>
  <si>
    <t>Nose</t>
  </si>
  <si>
    <t>K los supervisores nos visiten mas</t>
  </si>
  <si>
    <t>200.48.189.113</t>
  </si>
  <si>
    <t>El reconocimiento hacia el operario</t>
  </si>
  <si>
    <t>201.230.81.74</t>
  </si>
  <si>
    <t>200.123.7.196</t>
  </si>
  <si>
    <t>La comunicación con los operarios.</t>
  </si>
  <si>
    <t>179.6.75.122</t>
  </si>
  <si>
    <t>Por qué es una empresa reconocida por cumplir con sus trabajadores y brindar un servicio de Calidad</t>
  </si>
  <si>
    <t>Que el trabajador sea apoyado por los ejecutivos ante cualquier necesidad,como la salud o necesidad personal</t>
  </si>
  <si>
    <t>179.6.80.214</t>
  </si>
  <si>
    <t>Paga puntual a los trabajadores</t>
  </si>
  <si>
    <t>Uniforme cada tres meses</t>
  </si>
  <si>
    <t>132.157.129.86</t>
  </si>
  <si>
    <t>143.105.157.139</t>
  </si>
  <si>
    <t>Yo trabajo primera vez en la empresa bueno y desde q llegué a mina pues la confianza y el trato de la supervisora hizo q me sienta acogida en este trabajo</t>
  </si>
  <si>
    <t>Tal vez en capacitar de vez en cuando al personal  y aquí en mina considerar  adicionamos  los EPP</t>
  </si>
  <si>
    <t>181.66.150.94</t>
  </si>
  <si>
    <t>En jockey plaza torre 2 y torre nueva</t>
  </si>
  <si>
    <t>Respetar las normas</t>
  </si>
  <si>
    <t>132.184.161.129</t>
  </si>
  <si>
    <t>que trabajan en equipo</t>
  </si>
  <si>
    <t>escuchar las necesidades de cada trabajador</t>
  </si>
  <si>
    <t>190.239.70.107</t>
  </si>
  <si>
    <t>Es buena empresa</t>
  </si>
  <si>
    <t>Aumento de salario</t>
  </si>
  <si>
    <t>190.12.77.26</t>
  </si>
  <si>
    <t>El compañerismo y el apoyo</t>
  </si>
  <si>
    <t>Absolutamente todo</t>
  </si>
  <si>
    <t>190.102.144.205</t>
  </si>
  <si>
    <t>Escuchar al trabajador sus necesidades</t>
  </si>
  <si>
    <t>190.237.235.162</t>
  </si>
  <si>
    <t>Lo considero a Limtek para dar un buen trabajo alas empresas y brindar un buen servicio al cliente</t>
  </si>
  <si>
    <t>Mejorar no si no en mejorar y capasitar al personal que ingresan a trabajar</t>
  </si>
  <si>
    <t>132.184.160.55</t>
  </si>
  <si>
    <t>Apoyo entre compañeros</t>
  </si>
  <si>
    <t>179.7.64.57</t>
  </si>
  <si>
    <t>Una empresa seria</t>
  </si>
  <si>
    <t>Aumento salarial</t>
  </si>
  <si>
    <t>190.12.77.25</t>
  </si>
  <si>
    <t>190.236.4.248</t>
  </si>
  <si>
    <t>Una. Empresa seria</t>
  </si>
  <si>
    <t>K es una empresa seria</t>
  </si>
  <si>
    <t>132.251.2.184</t>
  </si>
  <si>
    <t>Siempre esta pendiente del personal</t>
  </si>
  <si>
    <t>179.6.72.131</t>
  </si>
  <si>
    <t>Recompensado</t>
  </si>
  <si>
    <t>Que nos motive más</t>
  </si>
  <si>
    <t>200.121.42.151</t>
  </si>
  <si>
    <t>Lo puntual q es en los pagos  y muy atentos con los requerimientos q nos facilitan</t>
  </si>
  <si>
    <t>Capacitaciones de nuevas emplementos</t>
  </si>
  <si>
    <t>181.176.123.249</t>
  </si>
  <si>
    <t>Es una empresa responsable con sus trabajadores</t>
  </si>
  <si>
    <t>Surmore</t>
  </si>
  <si>
    <t>Siempre  está pendiente del oetsobal operario</t>
  </si>
  <si>
    <t>179.7.92.114</t>
  </si>
  <si>
    <t>Evaluación de trabajo al personal (faltos bajo rendimiento)</t>
  </si>
  <si>
    <t>179.7.66.184</t>
  </si>
  <si>
    <t>Puntualidad con los pagos</t>
  </si>
  <si>
    <t>Me siento a gusto</t>
  </si>
  <si>
    <t>179.6.75.178</t>
  </si>
  <si>
    <t>38.25.29.158</t>
  </si>
  <si>
    <t>Pago de remuneraciones puntualmente</t>
  </si>
  <si>
    <t>Mejor calidad en los implementos de limpieza que utilizamos</t>
  </si>
  <si>
    <t>INMUEBLES LIMATAMBO S.A.</t>
  </si>
  <si>
    <t>179.6.6.14</t>
  </si>
  <si>
    <t>Una buena empresa que recaer servicio de linpieza</t>
  </si>
  <si>
    <t>Los insumos los materiales</t>
  </si>
  <si>
    <t>179.6.139.141</t>
  </si>
  <si>
    <t>Que es un lugar tranquilo y comodo</t>
  </si>
  <si>
    <t>Algunas cosas q le falte</t>
  </si>
  <si>
    <t>190.12.77.24</t>
  </si>
  <si>
    <t>Que cumple con los pagos</t>
  </si>
  <si>
    <t>181.176.98.91</t>
  </si>
  <si>
    <t>Que escuchen a sus trabajadores y hagan caso en lo que decimos para dar un buen servicio</t>
  </si>
  <si>
    <t>El pago de remuneraciones puntualmente</t>
  </si>
  <si>
    <t>Mejores equipos de trabajo</t>
  </si>
  <si>
    <t>190.236.3.184</t>
  </si>
  <si>
    <t>Es una empresa la cual siento que valora a cada unos de sus colaboradores</t>
  </si>
  <si>
    <t>Capacitar al empleador no solo verbal si no físicamente para los jefes vean sus capacidades</t>
  </si>
  <si>
    <t>Salaverry</t>
  </si>
  <si>
    <t>190.237.12.173</t>
  </si>
  <si>
    <t>La unión de los compañeros y el compañerismo que hay</t>
  </si>
  <si>
    <t>Qué no falte los materiales e implementación para poder trabajar y los Epps y los uniformes</t>
  </si>
  <si>
    <t>200.215.251.67</t>
  </si>
  <si>
    <t>Que me siento ha gusto con el trabajo</t>
  </si>
  <si>
    <t>190.235.44.43</t>
  </si>
  <si>
    <t>Bueno hacer bien su trabajo</t>
  </si>
  <si>
    <t>Hacer bien sus cosas</t>
  </si>
  <si>
    <t>liderasgo</t>
  </si>
  <si>
    <t>sus capasitadores</t>
  </si>
  <si>
    <t>181.176.81.165</t>
  </si>
  <si>
    <t>Pago es puntual</t>
  </si>
  <si>
    <t>Más campañas  escolares</t>
  </si>
  <si>
    <t>EPG Salaverry</t>
  </si>
  <si>
    <t>En capacitar más a los trabajadores</t>
  </si>
  <si>
    <t>181.176.42.195</t>
  </si>
  <si>
    <t>Su apoyo</t>
  </si>
  <si>
    <t>Más charlas y capacitaciones</t>
  </si>
  <si>
    <t>MOQUEGUA</t>
  </si>
  <si>
    <t>190.102.157.14</t>
  </si>
  <si>
    <t>Buena en presa</t>
  </si>
  <si>
    <t>Que contra personal, con experiencia</t>
  </si>
  <si>
    <t>179.6.144.3</t>
  </si>
  <si>
    <t>X que Meda facilidades</t>
  </si>
  <si>
    <t>Más capacitaciones sobre el uso de equipos y ensumos</t>
  </si>
  <si>
    <t>181.176.105.100</t>
  </si>
  <si>
    <t>Beneficios laborales, un entorno de trabajo estable</t>
  </si>
  <si>
    <t>Más comunicación entre operarios y gerencia, ofrecer más capacitación para mejorar las habilidades y conocimientos de los operarios</t>
  </si>
  <si>
    <t>190.235.229.61</t>
  </si>
  <si>
    <t>Es responsable y considerado con sus trabajadores falta más</t>
  </si>
  <si>
    <t>Falta  más motivar. Al equipo</t>
  </si>
  <si>
    <t>181.176.116.62</t>
  </si>
  <si>
    <t>Cumple con los pagos  puntualmente ,cada mes nos dad charla de seguridad   para prevenir :incidente, accidentes  considerado nuestro  bienestar.</t>
  </si>
  <si>
    <t>Que los supervisor  vengan más seguido a nuestro centro de trabajo</t>
  </si>
  <si>
    <t>38.250.157.75</t>
  </si>
  <si>
    <t>Es puntual en los pagosarequ</t>
  </si>
  <si>
    <t>Cambiar al personal que no aporta en el trabajo</t>
  </si>
  <si>
    <t>143.105.157.145</t>
  </si>
  <si>
    <t>Que existe respeto entre el personal, se brinda capacitación y se cuenta con los implementos necesarios para realizar el trabajo de forma segura.</t>
  </si>
  <si>
    <t>Que reconozcan la CTS a los trabajadores de medio tiempo.</t>
  </si>
  <si>
    <t>179.6.165.221</t>
  </si>
  <si>
    <t>La convivencia entre compañero y la práctica de empatía en el lugar del trabajo y el respeto mutuo entre compañeros</t>
  </si>
  <si>
    <t>El lugar del trabajo</t>
  </si>
  <si>
    <t>Fomentar el compañerismo</t>
  </si>
  <si>
    <t>132.191.0.184</t>
  </si>
  <si>
    <t>Es puntual pagando</t>
  </si>
  <si>
    <t>Brindar mas apoyo a los operarios</t>
  </si>
  <si>
    <t>190.239.78.74</t>
  </si>
  <si>
    <t>Que paga puntual</t>
  </si>
  <si>
    <t>Que siempre motive al trabajador</t>
  </si>
  <si>
    <t>132.191.0.51</t>
  </si>
  <si>
    <t>Porque es puntual en pagar</t>
  </si>
  <si>
    <t>Mejorar el sistema de pago</t>
  </si>
  <si>
    <t>161.132.216.3</t>
  </si>
  <si>
    <t>Xque tiene muchas sedes</t>
  </si>
  <si>
    <t>Comprendernos</t>
  </si>
  <si>
    <t>190.236.11.211</t>
  </si>
  <si>
    <t>Forma un equipo</t>
  </si>
  <si>
    <t>Charla</t>
  </si>
  <si>
    <t>El grupo</t>
  </si>
  <si>
    <t>Bueno</t>
  </si>
  <si>
    <t>190.239.65.152</t>
  </si>
  <si>
    <t>Comprensión</t>
  </si>
  <si>
    <t>181.176.114.4</t>
  </si>
  <si>
    <t>Mejorar en quien poner como supervisor (a)</t>
  </si>
  <si>
    <t>Total</t>
  </si>
  <si>
    <t>Mandar los materiales completos</t>
  </si>
  <si>
    <t>190.239.94.211</t>
  </si>
  <si>
    <t>Buen ambiente de trabajo y pago puntual</t>
  </si>
  <si>
    <t>Reconocimiento al esfuerzo</t>
  </si>
  <si>
    <t>179.7.92.7</t>
  </si>
  <si>
    <t>Oficina más suave</t>
  </si>
  <si>
    <t>Qe  meconsideren</t>
  </si>
  <si>
    <t>179.6.6.214</t>
  </si>
  <si>
    <t>La unión de los operarios y el apoyo del supervisor</t>
  </si>
  <si>
    <t>Seguir apoyando a los operarios</t>
  </si>
  <si>
    <t>190.232.27.183</t>
  </si>
  <si>
    <t>Al supervisor Dennis Paredes como único apoyo como supervisor</t>
  </si>
  <si>
    <t>Sacar a Elvio Coaguila porque siempre para hostigando e te invita a renunciar porque siempre hay gente que está de ti para tu puesto o te grita no tiene respeto a sus mayores</t>
  </si>
  <si>
    <t>190.237.10.102</t>
  </si>
  <si>
    <t>Su capacitación constante</t>
  </si>
  <si>
    <t>Sus horarios de capacitación</t>
  </si>
  <si>
    <t>38.250.157.185</t>
  </si>
  <si>
    <t>Nos da nuevas oportunidades de trabajo</t>
  </si>
  <si>
    <t>Sueld</t>
  </si>
  <si>
    <t>En el sueldo</t>
  </si>
  <si>
    <t>132.184.160.9</t>
  </si>
  <si>
    <t>No destaco algo muy Bueno</t>
  </si>
  <si>
    <t>No estressar mucho Al personal</t>
  </si>
  <si>
    <t>38.7.100.226</t>
  </si>
  <si>
    <t>Su pago es puntual</t>
  </si>
  <si>
    <t>Que valoren tu trabajo</t>
  </si>
  <si>
    <t>190.237.121.86</t>
  </si>
  <si>
    <t>Puntualidad en el pago</t>
  </si>
  <si>
    <t>Tener más consideración con los operarios</t>
  </si>
  <si>
    <t>132.184.161.21</t>
  </si>
  <si>
    <t>179.6.145.226</t>
  </si>
  <si>
    <t>En la. Utp</t>
  </si>
  <si>
    <t>Más comunicación</t>
  </si>
  <si>
    <t>201.230.205.155</t>
  </si>
  <si>
    <t>Por siempre tiene puertas abiertas a los que desean trabajar</t>
  </si>
  <si>
    <t>Que a sus trabajadores lo reconozca y premie</t>
  </si>
  <si>
    <t>190.237.184.31</t>
  </si>
  <si>
    <t>Considero que tiene fortalezas como su responsabilidad y compromiso tanto para el cliente como para los trabajadores, pues no solo cumplimos metas diarias sino también se maneja un buen ambiente laboral y capacitación continua.</t>
  </si>
  <si>
    <t>Mayor personal capacitado</t>
  </si>
  <si>
    <t>132.251.2.195</t>
  </si>
  <si>
    <t>Son muy responsables con el personal</t>
  </si>
  <si>
    <t>Cuando hay reducción, en algunas unidades , ser mas empáticos , con los dos turnos</t>
  </si>
  <si>
    <t>181.176.90.152</t>
  </si>
  <si>
    <t>Me gusta  su trabajo. De limtek es todo  tranquilo</t>
  </si>
  <si>
    <t>Hacer todo  mi esfuerzo y mejorando  mucho</t>
  </si>
  <si>
    <t>38.25.26.58</t>
  </si>
  <si>
    <t>Unión</t>
  </si>
  <si>
    <t>Pago 😅</t>
  </si>
  <si>
    <t>38.25.51.178</t>
  </si>
  <si>
    <t>Bueno me gustaría que los uniformes sean material más fresco de algodón</t>
  </si>
  <si>
    <t>132.251.0.37</t>
  </si>
  <si>
    <t>Que te dejan trabajar tranquilo</t>
  </si>
  <si>
    <t>En mejorar en los EPP</t>
  </si>
  <si>
    <t>190.234.182.80</t>
  </si>
  <si>
    <t>En los implementos de trabajo</t>
  </si>
  <si>
    <t>132.191.1.217</t>
  </si>
  <si>
    <t>El tiempo</t>
  </si>
  <si>
    <t>190.239.89.190</t>
  </si>
  <si>
    <t>Una empresa serio que nos brenda el trabajo y con su puntualidad de pagos</t>
  </si>
  <si>
    <t>Tendría que mejorar seleccionar bien los operarios</t>
  </si>
  <si>
    <t>38.250.157.97</t>
  </si>
  <si>
    <t>Que nos da la oportunidad y la conprención de seguir trabajando y se preocupa por Nuestro bienestar gracias</t>
  </si>
  <si>
    <t>Ya lo es un buen lugar de trabajo lo único que puedo decir es de algunis de nuestros supervisores que vean nuestro trabajo y no nos descargen mas de lo que podemos se nos pide ó se amenaza gracias</t>
  </si>
  <si>
    <t>132.184.160.150</t>
  </si>
  <si>
    <t>Una empresa empática y justa</t>
  </si>
  <si>
    <t>Seleccionar mejor a su personal</t>
  </si>
  <si>
    <t>179.6.73.94</t>
  </si>
  <si>
    <t>Lo q paga puntual</t>
  </si>
  <si>
    <t>Tener en consideración a los trabajadores antes el limtek trataba vien a sus trabajadores con unas buenas recompensas</t>
  </si>
  <si>
    <t>38.255.105.42</t>
  </si>
  <si>
    <t>La remuneracion</t>
  </si>
  <si>
    <t>Ser mas equitativo con todo el personal</t>
  </si>
  <si>
    <t>132.157.128.234</t>
  </si>
  <si>
    <t>El trabajo seguro y en equipo que brindamos</t>
  </si>
  <si>
    <t>Realizar eventos para poder relacionarnos con los demás compañeros de las demás sedes y ser un solo grupo con un solo fin</t>
  </si>
  <si>
    <t>38.252.218.90</t>
  </si>
  <si>
    <t>es puntual  con  sus  trabajadores  en  los  pagos.</t>
  </si>
  <si>
    <t>yo  personalmente  me  siento  muy  agusto con  limtek</t>
  </si>
  <si>
    <t>179.7.180.64</t>
  </si>
  <si>
    <t>Son puntuales con el salarionada</t>
  </si>
  <si>
    <t>190.236.30.232</t>
  </si>
  <si>
    <t>Que nos da todo los beneficios</t>
  </si>
  <si>
    <t>181.176.126.220</t>
  </si>
  <si>
    <t>totalmente de acuerdo</t>
  </si>
  <si>
    <t>un ambiente mejor y seguro</t>
  </si>
  <si>
    <t>190.236.31.49</t>
  </si>
  <si>
    <t>Tener un buen actitud</t>
  </si>
  <si>
    <t>Todo bien para mi</t>
  </si>
  <si>
    <t>179.7.180.13</t>
  </si>
  <si>
    <t>132.191.0.34</t>
  </si>
  <si>
    <t>Responsable en los pagos</t>
  </si>
  <si>
    <t>Dar atención en oficina</t>
  </si>
  <si>
    <t>190.236.2.194</t>
  </si>
  <si>
    <t>Poner un encargado para cada sede</t>
  </si>
  <si>
    <t>38.253.189.165</t>
  </si>
  <si>
    <t>la amabilidad de mi supervisora</t>
  </si>
  <si>
    <t>más capacitaciones para el personal que están a cargo en su trato con sus demás compañeros</t>
  </si>
  <si>
    <t>190.239.93.153</t>
  </si>
  <si>
    <t>Pagan puntual trato ambientetal</t>
  </si>
  <si>
    <t>Un trato por igual para todos</t>
  </si>
  <si>
    <t>Pangan puntual trato ambientetal</t>
  </si>
  <si>
    <t>190.236.195.163</t>
  </si>
  <si>
    <t>Me parece bien en todos los aspectos.</t>
  </si>
  <si>
    <t>190.108.93.214</t>
  </si>
  <si>
    <t>Es una empresa que se brinda seguridad a sus trabajadores.</t>
  </si>
  <si>
    <t>Mi opinion personal ,todo conforme.</t>
  </si>
  <si>
    <t>132.157.130.105</t>
  </si>
  <si>
    <t>El apoyo en equipo</t>
  </si>
  <si>
    <t>Que mejore el ambiente laboral</t>
  </si>
  <si>
    <t>Mas beneficios</t>
  </si>
  <si>
    <t>190.42.33.72</t>
  </si>
  <si>
    <t>Nos brindan todo su apoyo nesesario</t>
  </si>
  <si>
    <t>Vacaciones puntuales</t>
  </si>
  <si>
    <t>181.176.40.161</t>
  </si>
  <si>
    <t>Nada su servicio es muy bueno</t>
  </si>
  <si>
    <t>38.56.223.114</t>
  </si>
  <si>
    <t>Constante capacitación y bue trato</t>
  </si>
  <si>
    <t>Recordar las fechas festivas</t>
  </si>
  <si>
    <t>181.176.45.215</t>
  </si>
  <si>
    <t>Por que son puntuales  en nuestros pagos</t>
  </si>
  <si>
    <t>nada</t>
  </si>
  <si>
    <t>Vacaciones puntuales y capacitar a los encargados</t>
  </si>
  <si>
    <t>Puntual</t>
  </si>
  <si>
    <t>La canasta en fin de año</t>
  </si>
  <si>
    <t>181.176.110.27</t>
  </si>
  <si>
    <t>Unión  de compañeros en el trabajo</t>
  </si>
  <si>
    <t>179.7.80.136</t>
  </si>
  <si>
    <t>Siempre te capacita</t>
  </si>
  <si>
    <t>Su apollo incondicional CIEMPRE y más mis 21 años aproximadamente d esperifncia al servicio</t>
  </si>
  <si>
    <t>Un incentivo ..más económico..prestamos ..P gastos urgentes</t>
  </si>
  <si>
    <t>132.191.2.222</t>
  </si>
  <si>
    <t>Dar vacaciones a tiempo</t>
  </si>
  <si>
    <t>190.236.27.193</t>
  </si>
  <si>
    <t>Siempre nos capacitan, es muy importante.</t>
  </si>
  <si>
    <t>Estoy conforme con Limtek</t>
  </si>
  <si>
    <t>132.184.55.73</t>
  </si>
  <si>
    <t>Confianza</t>
  </si>
  <si>
    <t>Liderazgo</t>
  </si>
  <si>
    <t>132.251.1.91</t>
  </si>
  <si>
    <t>Puntual en los pagos</t>
  </si>
  <si>
    <t>Que cumplan con los pagos dobles cuando uno labora los feriados</t>
  </si>
  <si>
    <t>38.25.52.13</t>
  </si>
  <si>
    <t>Implementar otro juego de vestimenta</t>
  </si>
  <si>
    <t>179.7.88.42</t>
  </si>
  <si>
    <t>Que sea seguro</t>
  </si>
  <si>
    <t>Que las vacaciones te den cuando uno lo solicito</t>
  </si>
  <si>
    <t>Darnos más apoyo</t>
  </si>
  <si>
    <t>38.224.65.82</t>
  </si>
  <si>
    <t>Son muy cumplidos con los pagos de sus trabajadores</t>
  </si>
  <si>
    <t>38.226.24.132</t>
  </si>
  <si>
    <t>Por la puntualidad en los pagos y la atención inmediata</t>
  </si>
  <si>
    <t>Nivelar en los aumentos de sueldo como las demás empresas</t>
  </si>
  <si>
    <t>181.176.114.143</t>
  </si>
  <si>
    <t>Mi proactividad en mi área de trabajo</t>
  </si>
  <si>
    <t>Mi productividad en mi área</t>
  </si>
  <si>
    <t>La acción que tiene con sus trabajadores</t>
  </si>
  <si>
    <t>Un poco más de comunicación</t>
  </si>
  <si>
    <t>132.251.2.84</t>
  </si>
  <si>
    <t>Bonos y canastas por fiestas</t>
  </si>
  <si>
    <t>181.176.89.10</t>
  </si>
  <si>
    <t>La puntualidad en sus pagos</t>
  </si>
  <si>
    <t>Algunos beneficios</t>
  </si>
  <si>
    <t>132.184.55.235</t>
  </si>
  <si>
    <t>Porque es una empresa, que brinda seguridad, bienestar</t>
  </si>
  <si>
    <t>181.176.41.209</t>
  </si>
  <si>
    <t>los pagos  puntuales</t>
  </si>
  <si>
    <t>que  insentiva a  su personal</t>
  </si>
  <si>
    <t>190.236.11.165</t>
  </si>
  <si>
    <t>Puntual es los pagos</t>
  </si>
  <si>
    <t>Tener más comunicación con el personal operativo</t>
  </si>
  <si>
    <t>179.6.138.110</t>
  </si>
  <si>
    <t>Buen trato y pago puntual</t>
  </si>
  <si>
    <t>Un bono extra</t>
  </si>
  <si>
    <t>179.7.180.180</t>
  </si>
  <si>
    <t>Q se preocupa por los compañeros de trabajo</t>
  </si>
  <si>
    <t>En brindarnos siempre lo necesario como bloqueador ropa de abrigo como y gorros de ala ancha y darnos siempre charlas virtuales aunque sea de seguridad</t>
  </si>
  <si>
    <t>179.6.137.191</t>
  </si>
  <si>
    <t>Más personal de trabajo</t>
  </si>
  <si>
    <t>179.6.137.125</t>
  </si>
  <si>
    <t>Que es una empresa q nos da trabajococ</t>
  </si>
  <si>
    <t>Consideraciones por el día de la madre</t>
  </si>
  <si>
    <t>190.234.23.106</t>
  </si>
  <si>
    <t>Que es puntual en el pago</t>
  </si>
  <si>
    <t>Tener buen encargada</t>
  </si>
  <si>
    <t>Ser mas considerado con el trabajador</t>
  </si>
  <si>
    <t>179.6.74.10</t>
  </si>
  <si>
    <t>Usi</t>
  </si>
  <si>
    <t>Su pago puntual</t>
  </si>
  <si>
    <t>Más capacitados</t>
  </si>
  <si>
    <t>Me pagan puntual</t>
  </si>
  <si>
    <t>Que me de más charla</t>
  </si>
  <si>
    <t>190.234.23.136</t>
  </si>
  <si>
    <t>Insentivarnos con algo</t>
  </si>
  <si>
    <t>Puntual con los pagos</t>
  </si>
  <si>
    <t>179.6.144.197</t>
  </si>
  <si>
    <t>El diálogo</t>
  </si>
  <si>
    <t>190.239.69.137</t>
  </si>
  <si>
    <t>Ganar expeeriencias</t>
  </si>
  <si>
    <t>Q den insentivos.. Como el mejor operario</t>
  </si>
  <si>
    <t>181.176.100.254</t>
  </si>
  <si>
    <t>Aprendiendo cosas nuevas</t>
  </si>
  <si>
    <t>Que nos brinden ensentivos como un premio</t>
  </si>
  <si>
    <t>Aprendiendo nuevas cosas.</t>
  </si>
  <si>
    <t>Q nos brinden insentivos.. Como premio.</t>
  </si>
  <si>
    <t>45.171.166.175</t>
  </si>
  <si>
    <t>Son puntuales en los pagos ..</t>
  </si>
  <si>
    <t>Cuando por ejem ,un personal ,tenga que ,hacer un cambio de zapatos ,o cualquier tipo de eepp .esten mas pendiente ...de ello</t>
  </si>
  <si>
    <t>Vacaciones atrasadas</t>
  </si>
  <si>
    <t>181.176.84.94</t>
  </si>
  <si>
    <t>La puntualidad de pago</t>
  </si>
  <si>
    <t>Más diálogo con los operarios para ver inconvenientes con los compañeros y acerca del servicio</t>
  </si>
  <si>
    <t>Es una buena empresa y tengo un buen puesto de trabajo</t>
  </si>
  <si>
    <t>170.239.103.81</t>
  </si>
  <si>
    <t>Equipo</t>
  </si>
  <si>
    <t>Mejor unifprme</t>
  </si>
  <si>
    <t>132.184.55.79</t>
  </si>
  <si>
    <t>Es muy puntual en sus pagos, nos brindan buenos uniformes y zapatos, y  buenas herramientas como lo son los EPP.</t>
  </si>
  <si>
    <t>Nada, todo es muy bueno hasta ahora.</t>
  </si>
  <si>
    <t>Caja Piura principal ex sullana plaza de armas.</t>
  </si>
  <si>
    <t>179.6.137.190</t>
  </si>
  <si>
    <t>Buenos ambientes laborales</t>
  </si>
  <si>
    <t>179.7.88.20</t>
  </si>
  <si>
    <t>Cumplen con el pago , son responsables.</t>
  </si>
  <si>
    <t>Tener en cuenta a los trabajadores .</t>
  </si>
  <si>
    <t>132.191.0.105</t>
  </si>
  <si>
    <t>190.237.12.214</t>
  </si>
  <si>
    <t>Porque los pagos son puntuales</t>
  </si>
  <si>
    <t>Poner un encargado en las sede</t>
  </si>
  <si>
    <t>132.251.0.218</t>
  </si>
  <si>
    <t>181.176.102.253</t>
  </si>
  <si>
    <t>Pagas puntuales</t>
  </si>
  <si>
    <t>Dar vacaciones al cumplir em año de servicio</t>
  </si>
  <si>
    <t>179.7.92.43</t>
  </si>
  <si>
    <t>Su responsabilidad y puntualidad</t>
  </si>
  <si>
    <t>179.6.74.175</t>
  </si>
  <si>
    <t>Sus horas de pago</t>
  </si>
  <si>
    <t>Más refrigeradora</t>
  </si>
  <si>
    <t>179.7.106.108</t>
  </si>
  <si>
    <t>Seguridad y bienestar, cumplimiento puntual de remuneraciones y beneficios .</t>
  </si>
  <si>
    <t>Que regresen los eventos de confraternidad como los campeonatos que hacían por aniversario de la empresa</t>
  </si>
  <si>
    <t>Las pagas puntuales</t>
  </si>
  <si>
    <t>Dar vacaciones puntualmente</t>
  </si>
  <si>
    <t>132.251.2.57</t>
  </si>
  <si>
    <t>Puntual en su pagos</t>
  </si>
  <si>
    <t>Incentivar al trabajador</t>
  </si>
  <si>
    <t>Q todos deben trabajar en todas las areas ,no deben recargar a una sola persona yo creo q si limtek contrata a ese personal esta cien x ciento capacitado verdad</t>
  </si>
  <si>
    <t>Q es puntual en su pago pero en otras cosas tiene q mejorar,como en los uniformes ,insentivo  navideño</t>
  </si>
  <si>
    <t>Escuchar al trabajador, cumpleaños del trabajador</t>
  </si>
  <si>
    <t>132.191.2.59</t>
  </si>
  <si>
    <t>Su buen trato a todo el personal</t>
  </si>
  <si>
    <t>Nada, en mi opinión es muy buena empresa</t>
  </si>
  <si>
    <t>190.234.23.169</t>
  </si>
  <si>
    <t>Su puntualidad y responsabilidad   con el pago  de los trabajadores</t>
  </si>
  <si>
    <t>Yo concidero k es un buen lugar de trabajo</t>
  </si>
  <si>
    <t>190.239.76.34</t>
  </si>
  <si>
    <t>Nos considera los beneficios y la puntualidad en los pagos</t>
  </si>
  <si>
    <t>Cuando falte un personal cumplan con enviarlo hay ocasiones que no envian</t>
  </si>
  <si>
    <t>190.237.121.129</t>
  </si>
  <si>
    <t>Responsable</t>
  </si>
  <si>
    <t>Considerarnos canastas navideña</t>
  </si>
  <si>
    <t>179.6.139.218</t>
  </si>
  <si>
    <t>No descrimina</t>
  </si>
  <si>
    <t>Concidera las canastas navideñas</t>
  </si>
  <si>
    <t>190.236.6.194</t>
  </si>
  <si>
    <t>Considerarnos  los navideños</t>
  </si>
  <si>
    <t>190.235.47.70</t>
  </si>
  <si>
    <t>Conpañerismo</t>
  </si>
  <si>
    <t>Todo est bien</t>
  </si>
  <si>
    <t>Q sea rotativo el trabajo</t>
  </si>
  <si>
    <t>132.184.161.208</t>
  </si>
  <si>
    <t>Por el horario</t>
  </si>
  <si>
    <t>Los materiales q nos dan</t>
  </si>
  <si>
    <t>168.181.9.98</t>
  </si>
  <si>
    <t>La union</t>
  </si>
  <si>
    <t>179.6.164.195</t>
  </si>
  <si>
    <t>Los valores en el ámbito laboral</t>
  </si>
  <si>
    <t>El ambiente es bueno,te capacitan ,para q no ocurran accidentes,riesgo peligro el ambiente laboral es bueno</t>
  </si>
  <si>
    <t>Tiene que tener un retén,para cubrir faltas ,las personas q renuncia debería de dar su carta con anticipación así no habría falta de personal,y así la carga de todo el trabajo no sería para los demás q estamos trabajando sin faltar ni un día, también mejorar el aplicativo para ver las boletas,en el working no se puede acceder a ver las boletas,</t>
  </si>
  <si>
    <t>181.176.127.201</t>
  </si>
  <si>
    <t>La buena relacuon y trabajo en equipo que realizó con mis compañeros de turno</t>
  </si>
  <si>
    <t>Comunicación del supervisor con equipo de noche</t>
  </si>
  <si>
    <t>190.42.172.22</t>
  </si>
  <si>
    <t>Sin comentarios</t>
  </si>
  <si>
    <t>132.251.65.112</t>
  </si>
  <si>
    <t>Manejos de primeros auxilios</t>
  </si>
  <si>
    <t>Todo esta ok</t>
  </si>
  <si>
    <t>132.191.1.188</t>
  </si>
  <si>
    <t>El lugar donde trabajo tiene buen ambiente laboral</t>
  </si>
  <si>
    <t>Que nos incentiven con premios</t>
  </si>
  <si>
    <t>179.6.145.169</t>
  </si>
  <si>
    <t>La charlas de seguridad</t>
  </si>
  <si>
    <t>Mas personal nunca estamos completos</t>
  </si>
  <si>
    <t>179.6.138.87</t>
  </si>
  <si>
    <t>Los supervisores nos dejan trabajar en paz y tranquilidad</t>
  </si>
  <si>
    <t>Cubrir puestos pendientes</t>
  </si>
  <si>
    <t>190.239.79.151</t>
  </si>
  <si>
    <t>Solucionar algún inconveniente que tenga</t>
  </si>
  <si>
    <t>132.251.1.96</t>
  </si>
  <si>
    <t>De todo un poco.</t>
  </si>
  <si>
    <t>Falta la canasta navideña</t>
  </si>
  <si>
    <t>179.6.139.86</t>
  </si>
  <si>
    <t>Ser mas insentivador</t>
  </si>
  <si>
    <t>179.6.138.171</t>
  </si>
  <si>
    <t>Clientes</t>
  </si>
  <si>
    <t>Pagos y bonos</t>
  </si>
  <si>
    <t>Considerar al personal reconocimiento por su desempeño</t>
  </si>
  <si>
    <t>Ser mas insentivador co el personal</t>
  </si>
  <si>
    <t>181.176.115.253</t>
  </si>
  <si>
    <t>Algo normal más apoyo de los jefes</t>
  </si>
  <si>
    <t>Más apoyo de los jefes no del súper pxq de el tenemos bastante apoyo</t>
  </si>
  <si>
    <t>Que nos atiendan cuando queremos que nos solucionar algún inconveniente</t>
  </si>
  <si>
    <t>132.157.130.250</t>
  </si>
  <si>
    <t>Cómo un centro labora y como unA familia</t>
  </si>
  <si>
    <t>Comprension</t>
  </si>
  <si>
    <t>132.157.130.153</t>
  </si>
  <si>
    <t>Coordinación con el personal</t>
  </si>
  <si>
    <t>132.191.0.216</t>
  </si>
  <si>
    <t>Reconocer algunos trabajos que no sea limpieza</t>
  </si>
  <si>
    <t>132.251.2.56</t>
  </si>
  <si>
    <t>La unión en equipo</t>
  </si>
  <si>
    <t>190.239.74.219</t>
  </si>
  <si>
    <t>Que es una de las empresas serias en el ruglo</t>
  </si>
  <si>
    <t>La motivación al trabajador</t>
  </si>
  <si>
    <t>190.239.64.222</t>
  </si>
  <si>
    <t>Ser puntuales en la vacaciones</t>
  </si>
  <si>
    <t>179.6.139.158</t>
  </si>
  <si>
    <t>Su puntualidad en la seguridad</t>
  </si>
  <si>
    <t>Mejorar en las vacaciones</t>
  </si>
  <si>
    <t>179.6.137.102</t>
  </si>
  <si>
    <t>Pagos</t>
  </si>
  <si>
    <t>Atención al operario</t>
  </si>
  <si>
    <t>Son puntuales en los materiales que requerimos</t>
  </si>
  <si>
    <t>Deberían ser puntuales con las vacaciones de los trabajadores</t>
  </si>
  <si>
    <t>181.176.98.98</t>
  </si>
  <si>
    <t>Pago puntual, oportunidad para personas mayores.</t>
  </si>
  <si>
    <t>Cumplimiento por parte de los operarios a las indicaciones de los supervisores y coordinación entre los supervisores.</t>
  </si>
  <si>
    <t>179.6.165.139</t>
  </si>
  <si>
    <t>Mejorar para marcar asistencia</t>
  </si>
  <si>
    <t>181.224.39.22</t>
  </si>
  <si>
    <t>Preparacion del personal a ser responsables no faltar y trabajar  consciente llegar a todos los puntos</t>
  </si>
  <si>
    <t>Incentivar al operario Esta Navidad solo fue sorteo para 6 de 50 k eramos</t>
  </si>
  <si>
    <t>179.6.43.166</t>
  </si>
  <si>
    <t>Nos facilitan en todo como capasitaciones qué es lo primero para el desarrollo</t>
  </si>
  <si>
    <t>Capacitar sobre el uso de insumos</t>
  </si>
  <si>
    <t>190.237.23.168</t>
  </si>
  <si>
    <t>Que  siga  en sus lugares de trabajo  y nos ayude</t>
  </si>
  <si>
    <t>Que no se   olviden de sus operario</t>
  </si>
  <si>
    <t>38.56.217.233</t>
  </si>
  <si>
    <t>La seguridad</t>
  </si>
  <si>
    <t>38.25.29.115</t>
  </si>
  <si>
    <t>Porque consideran mucho las personas</t>
  </si>
  <si>
    <t>Que esté en todo los distritos</t>
  </si>
  <si>
    <t>San Miguel</t>
  </si>
  <si>
    <t>45.230.251.82</t>
  </si>
  <si>
    <t>Elpago puntual</t>
  </si>
  <si>
    <t>La atención necesaria hacia sus trabajores ante pedidos de reclamos o sugerencias</t>
  </si>
  <si>
    <t>Valoran mucho al personal operario</t>
  </si>
  <si>
    <t>Qué Limtek este en otros distrit</t>
  </si>
  <si>
    <t>190.237.255.196</t>
  </si>
  <si>
    <t>El consejo de nuestra líder</t>
  </si>
  <si>
    <t>Los encargados sepan tratar bien al ersomal</t>
  </si>
  <si>
    <t>132.251.0.34</t>
  </si>
  <si>
    <t>Sus ejecutivos y supervisores</t>
  </si>
  <si>
    <t>Los uniformes</t>
  </si>
  <si>
    <t>181.67.122.5</t>
  </si>
  <si>
    <t>Bueno es puntual en los pagos</t>
  </si>
  <si>
    <t>Bueno que es puntual en los pagos</t>
  </si>
  <si>
    <t>190.236.179.253</t>
  </si>
  <si>
    <t>Mi salario es muy puntual</t>
  </si>
  <si>
    <t>En mi opinión canastas para todos</t>
  </si>
  <si>
    <t>38.250.154.205</t>
  </si>
  <si>
    <t>Cumple en la forma de trabajo</t>
  </si>
  <si>
    <t>Que escuche a sus trabajores y puedan disponer las bestimentas</t>
  </si>
  <si>
    <t>132.184.128.47</t>
  </si>
  <si>
    <t>Siempre nos das oportunidades</t>
  </si>
  <si>
    <t>Dar incentivo x fiestas</t>
  </si>
  <si>
    <t>132.251.2.249</t>
  </si>
  <si>
    <t>que pagan a tiempo</t>
  </si>
  <si>
    <t>que incentivos</t>
  </si>
  <si>
    <t>Paga a tiempo</t>
  </si>
  <si>
    <t>Q siempre se preocupe por sus trabajadores y den incentivos</t>
  </si>
  <si>
    <t>179.7.67.36</t>
  </si>
  <si>
    <t>paga puntual</t>
  </si>
  <si>
    <t>Los beneficios sean mejor cada año</t>
  </si>
  <si>
    <t>38.250.157.119</t>
  </si>
  <si>
    <t>De que no hay discriminación con el personal</t>
  </si>
  <si>
    <t>Los uniformes de trabajo mejorarlos</t>
  </si>
  <si>
    <t>181.176.84.16</t>
  </si>
  <si>
    <t>Mejorar</t>
  </si>
  <si>
    <t>179.6.1.220</t>
  </si>
  <si>
    <t>Destaco que si lintek es lugar de trabajo que si paga puntual</t>
  </si>
  <si>
    <t>En su mejora tendria sus materiales que llegue a sus fechas de entrega a la unidad</t>
  </si>
  <si>
    <t>Jockey plaza</t>
  </si>
  <si>
    <t>132.191.0.20</t>
  </si>
  <si>
    <t>Limtek necesito que se preocupe por el personal que el supervisor tenga comunicación y apoyo</t>
  </si>
  <si>
    <t>132.191.1.110</t>
  </si>
  <si>
    <t>Que limtek siempre nos el apoyo que necesitamosito</t>
  </si>
  <si>
    <t>Que contesten el teléfono cuando solicitemos hablar con el los administrativos</t>
  </si>
  <si>
    <t>132.191.1.216</t>
  </si>
  <si>
    <t>Cumple con todo</t>
  </si>
  <si>
    <t>Atender al personal</t>
  </si>
  <si>
    <t>181.176.119.95</t>
  </si>
  <si>
    <t>Paz emocional en el entorno del trqbjo como equipo</t>
  </si>
  <si>
    <t>Es bueno pero lo supervisores</t>
  </si>
  <si>
    <t>Tener buenos supervisores q comprendan la situación. Del personal no amenarzar</t>
  </si>
  <si>
    <t>181.176.123.111</t>
  </si>
  <si>
    <t>Bueno en mi  son oficinas</t>
  </si>
  <si>
    <t>Tener más personal preparados</t>
  </si>
  <si>
    <t>179.7.102.103</t>
  </si>
  <si>
    <t>Puntualidad con los pagos/ Capacitaciones constantes.</t>
  </si>
  <si>
    <t>Premiar a sus colaboradores. Escuchar nuestros reclamos</t>
  </si>
  <si>
    <t>190.235.46.254</t>
  </si>
  <si>
    <t>Un tratoli</t>
  </si>
  <si>
    <t>181.176.84.253</t>
  </si>
  <si>
    <t>Por la zona</t>
  </si>
  <si>
    <t>Capacitacion</t>
  </si>
  <si>
    <t>132.191.0.36</t>
  </si>
  <si>
    <t>que me tocó buenos compañeros de trabajo y nos apoyamos siempre.</t>
  </si>
  <si>
    <t>para mi los horarios de trabajo, de los días sábados</t>
  </si>
  <si>
    <t>132.157.129.143</t>
  </si>
  <si>
    <t>Mejor atención a sus empleados por parte de la sede y los ejecutivos</t>
  </si>
  <si>
    <t>132.251.0.11</t>
  </si>
  <si>
    <t>Te ofrece los insumos y elementos para trabajar tranquilamente y el uniforme adecuado</t>
  </si>
  <si>
    <t>Dar una motivación a los que siempre llegan puntual y los que nunca faltan</t>
  </si>
  <si>
    <t>Como uno se siente en el trabajo cuando se pida una emergencia sepan entender comprender al personal .sabiendo q nunca le piden de esa manera .considerar el trabajo q uno hace demostrando la camiseta de lintex q se pone para demostrar el trabajo al cliente</t>
  </si>
  <si>
    <t>Q valoren ala personal q tanto años trabaja .y comprender la situación q esta pasando .y paz emocional y q escuche el encargado q es supervisor o jefe</t>
  </si>
  <si>
    <t>Que considere y valore al personal q tanto años tiene y paz emocional</t>
  </si>
  <si>
    <t>179.6.137.113</t>
  </si>
  <si>
    <t>Se preocupa por los colaboradores y clientes, como estar pendientes de su desempeño</t>
  </si>
  <si>
    <t>Mejorar un poquito el tema salarial</t>
  </si>
  <si>
    <t>Larcomar</t>
  </si>
  <si>
    <t>179.6.73.147</t>
  </si>
  <si>
    <t>Si un buen lugar</t>
  </si>
  <si>
    <t>El apoyo de los área administrativa y de los supervisores</t>
  </si>
  <si>
    <t>190.236.10.117</t>
  </si>
  <si>
    <t>El apoyo de los áreas administrativa y de los supervisores</t>
  </si>
  <si>
    <t>38.253.147.19</t>
  </si>
  <si>
    <t>Mas incentivos o concursos para seguir trabajando en limtek</t>
  </si>
  <si>
    <t>132.251.2.188</t>
  </si>
  <si>
    <t>Puntuales en su pago</t>
  </si>
  <si>
    <t>Mas comunicación</t>
  </si>
  <si>
    <t>179.6.138.212</t>
  </si>
  <si>
    <t>Buen trato respecto y mucha comunicación</t>
  </si>
  <si>
    <t>Mejorar en dar un mejor trato de los supervisores y tener encuenta nuestras sugerencias</t>
  </si>
  <si>
    <t>132.251.1.61</t>
  </si>
  <si>
    <t>Te apoyan y hay buen ambiente laboral</t>
  </si>
  <si>
    <t>Q hayan mejores herramientas de trabajo</t>
  </si>
  <si>
    <t>38.25.29.79</t>
  </si>
  <si>
    <t>Buen ambiente de trabajo puntales en los pagos y siempre mi supervisor apoyandome</t>
  </si>
  <si>
    <t>Nada yo lo veo al 100</t>
  </si>
  <si>
    <t>190.237.235.136</t>
  </si>
  <si>
    <t>190.239.64.107</t>
  </si>
  <si>
    <t>Puntualidad en los materiales</t>
  </si>
  <si>
    <t>Centro civico</t>
  </si>
  <si>
    <t>Exelente</t>
  </si>
  <si>
    <t>El trato respetuoso del supervisor</t>
  </si>
  <si>
    <t>181.78.92.234</t>
  </si>
  <si>
    <t>Más motivación al operario</t>
  </si>
  <si>
    <t>Traer a tiempo los materiales, bolsas, ambientador,etc</t>
  </si>
  <si>
    <t>190.235.46.191</t>
  </si>
  <si>
    <t>El sueldo puntual</t>
  </si>
  <si>
    <t>Los uniformes y canasta x navidad</t>
  </si>
  <si>
    <t>132.157.129.32</t>
  </si>
  <si>
    <t>No es un bueno lugar debtrabajo por que  ni se preocupan por sus trabajadores</t>
  </si>
  <si>
    <t>Que se preocupen en sus trabajadores</t>
  </si>
  <si>
    <t>179.6.72.189</t>
  </si>
  <si>
    <t>Respeto y puntualidad</t>
  </si>
  <si>
    <t>Que sigan así como empresa responsable</t>
  </si>
  <si>
    <t>179.6.137.93</t>
  </si>
  <si>
    <t>Comunicación y respeto y apoyo entre compañeros</t>
  </si>
  <si>
    <t>Buen equipo</t>
  </si>
  <si>
    <t>190.239.71.106</t>
  </si>
  <si>
    <t>38.253.148.33</t>
  </si>
  <si>
    <t>Buen trato asia su personal</t>
  </si>
  <si>
    <t>Más capacitación al personal</t>
  </si>
  <si>
    <t>190.239.90.53</t>
  </si>
  <si>
    <t>Un buen trato asía su personal</t>
  </si>
  <si>
    <t>Más capacitaciones al personal</t>
  </si>
  <si>
    <t>132.191.2.254</t>
  </si>
  <si>
    <t>Reconocer el trabajo del operario</t>
  </si>
  <si>
    <t>132.191.2.122</t>
  </si>
  <si>
    <t>Que son putales de pago</t>
  </si>
  <si>
    <t>Quiero que den canasta</t>
  </si>
  <si>
    <t>190.233.206.33</t>
  </si>
  <si>
    <t>Que me da la oportunidad de trabajo</t>
  </si>
  <si>
    <t>Que todos los trabajadores nos tomarán en cuenta , ya sea día de la madre  del padre navidad etc</t>
  </si>
  <si>
    <t>Agustino</t>
  </si>
  <si>
    <t>Que es una empresa  de acuerdo a ley y son puntuales en los pagos</t>
  </si>
  <si>
    <t>Que  se amos considerados en la navidad con nuestras canastas</t>
  </si>
  <si>
    <t>132.251.2.6</t>
  </si>
  <si>
    <t>Mas benificios en época de navidad</t>
  </si>
  <si>
    <t>190.235.44.198</t>
  </si>
  <si>
    <t>En to</t>
  </si>
  <si>
    <t>181.176.87.52</t>
  </si>
  <si>
    <t>𝐸𝑙 𝑐𝑜𝑛𝑝𝑎𝑛𝑒𝑟𝑖𝑠𝑚𝑜𝑠𝐸𝑙</t>
  </si>
  <si>
    <t>𝐸𝑙 𝑠𝑢𝑒𝑙𝑑𝑜</t>
  </si>
  <si>
    <t>132.251.0.61</t>
  </si>
  <si>
    <t>Aumentar el sueldo</t>
  </si>
  <si>
    <t>200.123.12.206</t>
  </si>
  <si>
    <t>Considero  un buen trato</t>
  </si>
  <si>
    <t>Se tiene q mejorar</t>
  </si>
  <si>
    <t>190.234.23.241</t>
  </si>
  <si>
    <t>Que trabajos no me corresponde hacer para el cliente</t>
  </si>
  <si>
    <t>Tener una buena supervisora(or) que sepa manejar al personal con respeto.</t>
  </si>
  <si>
    <t>Plaza Norte</t>
  </si>
  <si>
    <t>181.176.120.198</t>
  </si>
  <si>
    <t>Contra incendios</t>
  </si>
  <si>
    <t>Empresa formal  cumple  con la política  de tra</t>
  </si>
  <si>
    <t>Estar pendiente del trabajador acudir a cualquier  llamado hacer respetar al trabajador  con  el cliente según las cláusulas del contrato cuaderno de renglamento interno</t>
  </si>
  <si>
    <t>𝐸𝑙 𝑐𝑜𝑛𝑝𝑎𝑛𝑒𝑟𝑖𝑠𝑚𝑜</t>
  </si>
  <si>
    <t>La unión personl</t>
  </si>
  <si>
    <t>Mas capacitación</t>
  </si>
  <si>
    <t>Subirnos el sueldo</t>
  </si>
  <si>
    <t>179.6.144.52</t>
  </si>
  <si>
    <t>Mas capacitación  y reposición de  materiales</t>
  </si>
  <si>
    <t>190.239.67.85</t>
  </si>
  <si>
    <t>Q paga puntual</t>
  </si>
  <si>
    <t>Remuraciones conteste</t>
  </si>
  <si>
    <t>190.239.73.135</t>
  </si>
  <si>
    <t>Cumple con los pagos y beneficios</t>
  </si>
  <si>
    <t>Más atención en los lugares peligrosos y mandar a  expertos con sus respectivos implementos de seguridad...</t>
  </si>
  <si>
    <t>Más empatía con los trabajadores</t>
  </si>
  <si>
    <t>Q numeración conteste</t>
  </si>
  <si>
    <t>Que son puntuales en los pagos y brindan los uniformes puntualmente</t>
  </si>
  <si>
    <t>Que a los operarios los capacite mejor</t>
  </si>
  <si>
    <t>179.6.145.98</t>
  </si>
  <si>
    <t>La unión que fortalece a nuestro equipo</t>
  </si>
  <si>
    <t>Más capacitación.repocicion de materiales</t>
  </si>
  <si>
    <t>179.6.144.54</t>
  </si>
  <si>
    <t>El compañerosmo  la unión del grupo</t>
  </si>
  <si>
    <t>Considerar la reposición de materiales</t>
  </si>
  <si>
    <t>La union de conpañeras</t>
  </si>
  <si>
    <t>Mas capacitacion.reposicion de materiales</t>
  </si>
  <si>
    <t>El trabajo que se realiza en equipo</t>
  </si>
  <si>
    <t>Mas capacitaciones y reposición de materiales</t>
  </si>
  <si>
    <t>38.252.212.23</t>
  </si>
  <si>
    <t>Más que un trabajo es mi segundo hogar.</t>
  </si>
  <si>
    <t>Que reconozca el esfuerzo de los trabajadores y nos de incentivos.</t>
  </si>
  <si>
    <t>179.7.66.213</t>
  </si>
  <si>
    <t>El ambiente y los pagos puntuales</t>
  </si>
  <si>
    <t>Mejoramiento de beneficios</t>
  </si>
  <si>
    <t>132.191.2.162</t>
  </si>
  <si>
    <t>La comunicacion dentro del trabajo</t>
  </si>
  <si>
    <t>200.123.10.28</t>
  </si>
  <si>
    <t>Seguridad contra incendio</t>
  </si>
  <si>
    <t>Formación técnicas a los todistas (tecnicos)</t>
  </si>
  <si>
    <t>179.6.73.118</t>
  </si>
  <si>
    <t>190.236.12.187</t>
  </si>
  <si>
    <t>181.176.40.213</t>
  </si>
  <si>
    <t>En su personal de trabajo</t>
  </si>
  <si>
    <t>190.234.23.60</t>
  </si>
  <si>
    <t>estoy contento en limtek</t>
  </si>
  <si>
    <t>al jefe de grupo deben de capasitarlo</t>
  </si>
  <si>
    <t>132.251.1.151</t>
  </si>
  <si>
    <t>Seguridad</t>
  </si>
  <si>
    <t>Ya es un buen lugar</t>
  </si>
  <si>
    <t>179.7.64.150</t>
  </si>
  <si>
    <t>Totalmente acuerdo para trabajar</t>
  </si>
  <si>
    <t>179.6.75.25</t>
  </si>
  <si>
    <t>Sus insumos son de buena calidad y el cliente en donde me encuentro laborando reconoce mi trabajo</t>
  </si>
  <si>
    <t>La comunión</t>
  </si>
  <si>
    <t>179.7.65.76</t>
  </si>
  <si>
    <t>Esta bien en todo</t>
  </si>
  <si>
    <t>181.176.113.215</t>
  </si>
  <si>
    <t>Son responsables con los pagos a sus trabajadores</t>
  </si>
  <si>
    <t>Considerar a sus trabajadores en fechas navideñas</t>
  </si>
  <si>
    <t>179.7.92.162</t>
  </si>
  <si>
    <t>Es perfecto</t>
  </si>
  <si>
    <t>181.176.107.39</t>
  </si>
  <si>
    <t>Excelente agencia de trabajo</t>
  </si>
  <si>
    <t>132.251.1.104</t>
  </si>
  <si>
    <t>Q es un lugar agradable</t>
  </si>
  <si>
    <t>Se sintió dastefechosueldo</t>
  </si>
  <si>
    <t>Bono</t>
  </si>
  <si>
    <t>179.7.65.255</t>
  </si>
  <si>
    <t>Que tengan mas  cosideracion com sus operarios</t>
  </si>
  <si>
    <t>132.251.0.246</t>
  </si>
  <si>
    <t>Con el pago puntual</t>
  </si>
  <si>
    <t>Capacitar a los jefes de grupo</t>
  </si>
  <si>
    <t>190.236.10.120</t>
  </si>
  <si>
    <t>Capacitar más</t>
  </si>
  <si>
    <t>132.251.2.93</t>
  </si>
  <si>
    <t>Aprendo más cosas</t>
  </si>
  <si>
    <t>Capacitarnos mucho más en tema de limpieza</t>
  </si>
  <si>
    <t>179.6.73.27</t>
  </si>
  <si>
    <t>Por las capacitaciones permanente que dan eso ayuda mucho al personal a aprender y mejorar cada día mas</t>
  </si>
  <si>
    <t>Considerar y dar más incentivos al personal como lo hacía antes el operario del mes por su trabajo y buen desempeño en el .</t>
  </si>
  <si>
    <t>132.191.2.90</t>
  </si>
  <si>
    <t>Compromiso</t>
  </si>
  <si>
    <t>132.157.130.1</t>
  </si>
  <si>
    <t>Es una excelente empresa</t>
  </si>
  <si>
    <t>Algunas cosas</t>
  </si>
  <si>
    <t>132.157.129.199</t>
  </si>
  <si>
    <t>Nos brinda seguridad en el trabajo</t>
  </si>
  <si>
    <t>Siempre  que nos apoyen</t>
  </si>
  <si>
    <t>Real plaza salaverry</t>
  </si>
  <si>
    <t>132.191.1.232</t>
  </si>
  <si>
    <t>Yo considero que lintek es un buen lugar para trabajar</t>
  </si>
  <si>
    <t>Mega plaza  independencia</t>
  </si>
  <si>
    <t>132.251.0.131</t>
  </si>
  <si>
    <t>La Oportunidad de dar trabajo</t>
  </si>
  <si>
    <t>Más capacitación y Mejorar el trabajo en equipo 🥺</t>
  </si>
  <si>
    <t>CALL CENTER  DE LIMA CENTRO</t>
  </si>
  <si>
    <t>CAMANÁ</t>
  </si>
  <si>
    <t>179.7.92.12</t>
  </si>
  <si>
    <t>Nos brindan apoyo,tienen empatía cumplidos con lo principal ,la salud,y el pago</t>
  </si>
  <si>
    <t>Mejorar en que los supervisores escuchen más a los operarios que a sus encargados.</t>
  </si>
  <si>
    <t>Mall comas</t>
  </si>
  <si>
    <t>45.169.95.190</t>
  </si>
  <si>
    <t>Es  una empresa que motiva a los trabajadores en todo, sentido,</t>
  </si>
  <si>
    <t>Trabajar en equipo y apoyarme mutuamente</t>
  </si>
  <si>
    <t>Foucett</t>
  </si>
  <si>
    <t>190.239.70.117</t>
  </si>
  <si>
    <t>es puntual para los pagos</t>
  </si>
  <si>
    <t>defender a sus operarios cuando necesitan ayuda por situaciones injustas</t>
  </si>
  <si>
    <t>190.119.190.217</t>
  </si>
  <si>
    <t>64.215.22.75</t>
  </si>
  <si>
    <t>Consideran a su personal</t>
  </si>
  <si>
    <t>Que haiga bonos</t>
  </si>
  <si>
    <t>Open atocongo</t>
  </si>
  <si>
    <t>179.6.136.188</t>
  </si>
  <si>
    <t>En los pagos son muy puntuales</t>
  </si>
  <si>
    <t>Incentivar más al personal</t>
  </si>
  <si>
    <t>Que nos birindan charlas d acuerdo a nuestra labor</t>
  </si>
  <si>
    <t>A mi opinion tdo bien</t>
  </si>
  <si>
    <t>Kids plaza norte y real plaza pro</t>
  </si>
  <si>
    <t>190.236.15.109</t>
  </si>
  <si>
    <t>Q una empresa muy reconocida q los jefes y compañeros son muy tratables y el clima laboral excelent</t>
  </si>
  <si>
    <t>Creo q nada xq son muy puntuales en sus pagos y beneficios</t>
  </si>
  <si>
    <t>132.191.0.58</t>
  </si>
  <si>
    <t>Más eventos de confraternidad</t>
  </si>
  <si>
    <t>132.191.0.47</t>
  </si>
  <si>
    <t>Que nos considere dándonos  bonos</t>
  </si>
  <si>
    <t>132.251.0.23</t>
  </si>
  <si>
    <t>Bueno que el supervisor esta pendiente de nuestra asisistencia y demás   necesidades en nuestro centro de trabajo</t>
  </si>
  <si>
    <t>Lo considero ya un buen servis</t>
  </si>
  <si>
    <t>Mall Plaza Angamos</t>
  </si>
  <si>
    <t>181.176.84.132</t>
  </si>
  <si>
    <t>Una  empresa.   Sería .</t>
  </si>
  <si>
    <t>Reconocimiento   hacia  el. Personal.</t>
  </si>
  <si>
    <t>181.176.96.166</t>
  </si>
  <si>
    <t>La forma de como trata a su personal</t>
  </si>
  <si>
    <t>Casi nada</t>
  </si>
  <si>
    <t>Santa Anita</t>
  </si>
  <si>
    <t>181.176.85.239</t>
  </si>
  <si>
    <t>Soy nueva todavía</t>
  </si>
  <si>
    <t>132.191.2.129</t>
  </si>
  <si>
    <t>Destaco la oportunidad de trabajo el aprendizaje</t>
  </si>
  <si>
    <t>El horario y el descanso</t>
  </si>
  <si>
    <t>179.6.137.68</t>
  </si>
  <si>
    <t>Cumple puntual con el pago</t>
  </si>
  <si>
    <t>Mas consideración con los retenes</t>
  </si>
  <si>
    <t>38.253.147.152</t>
  </si>
  <si>
    <t>179.6.137.153</t>
  </si>
  <si>
    <t>La respuesta rápida del supervisor, nos dan los maritales rápidamente y sin falta</t>
  </si>
  <si>
    <t>Más variedad en productos de limpieza, más uniformes</t>
  </si>
  <si>
    <t>Outlet Arauco Lurin</t>
  </si>
  <si>
    <t>181.176.96.66</t>
  </si>
  <si>
    <t>De no maletiarse</t>
  </si>
  <si>
    <t>181.176.95.3</t>
  </si>
  <si>
    <t>Que me motiva  a dar lo mejor de mi trajo ya que  no tengo. Problemas con mis pagos. Por qué son puntuales .</t>
  </si>
  <si>
    <t>Que. Haya charlas de seguridad.  Presencial para evitar accidentes .</t>
  </si>
  <si>
    <t>181.176.109.215</t>
  </si>
  <si>
    <t>Buen trato con el personal</t>
  </si>
  <si>
    <t>Seguir fortaleciendo la comunicación y los procesos internos para una mejor experiencia laboral.</t>
  </si>
  <si>
    <t>181.67.122.152</t>
  </si>
  <si>
    <t>Que brinda todos los materiales para laborar</t>
  </si>
  <si>
    <t>Brindar utilidades a sus trabajadores</t>
  </si>
  <si>
    <t>132.251.2.189</t>
  </si>
  <si>
    <t>Entregar canasta navideñas</t>
  </si>
  <si>
    <t>179.7.66.248</t>
  </si>
  <si>
    <t>Canastas navidad para todos el personal</t>
  </si>
  <si>
    <t>190.237.235.212</t>
  </si>
  <si>
    <t>Canasta navideña a los operarios</t>
  </si>
  <si>
    <t>Aprendizaje</t>
  </si>
  <si>
    <t>132.251.1.53</t>
  </si>
  <si>
    <t>Su puntuales en el pago</t>
  </si>
  <si>
    <t>Que los supervisores y administrativos nos tomen en cuenta cuando solicitamos algo como  cambiar de unidad pero a otras compañeras si le aceptan y a otras No</t>
  </si>
  <si>
    <t>Pagos puntuales siempre están en contacto con los operarios</t>
  </si>
  <si>
    <t>Más capacitación a los nuevos operarios</t>
  </si>
  <si>
    <t>179.6.73.244</t>
  </si>
  <si>
    <t>Es una empresa muy cerca y puntual</t>
  </si>
  <si>
    <t>132.191.0.99</t>
  </si>
  <si>
    <t>X por te da la oportunidad de ser un útil y x paga puntual asu personal</t>
  </si>
  <si>
    <t>Dar capacitación constante asu personal</t>
  </si>
  <si>
    <t>132.251.0.60</t>
  </si>
  <si>
    <t>Buen entorno laboral, compañeros agradables, compañerismo y solidaridad.</t>
  </si>
  <si>
    <t>Nada, todo está bien en el entorno laboral.</t>
  </si>
  <si>
    <t>179.7.66.62</t>
  </si>
  <si>
    <t>Considero que estén pendientes de sus trabajos, como nosotros.</t>
  </si>
  <si>
    <t>Estoy conforme.</t>
  </si>
  <si>
    <t>132.251.2.18</t>
  </si>
  <si>
    <t>Capacitar al personal de limpieza</t>
  </si>
  <si>
    <t>132.191.1.125</t>
  </si>
  <si>
    <t>Que siempre nos da charlas para poder aprender más sobre limpieza y hacer un bien trabajo para el cliente</t>
  </si>
  <si>
    <t>Dar más capacitación a los nuevos trabajadores y que sepan de mejorar dia a dia</t>
  </si>
  <si>
    <t>190.239.66.22</t>
  </si>
  <si>
    <t>Respuesta inmediata de remuneraciones</t>
  </si>
  <si>
    <t>190.236.9.178</t>
  </si>
  <si>
    <t>Respuesta de remuneraciones</t>
  </si>
  <si>
    <t>179.6.74.205</t>
  </si>
  <si>
    <t>El valor que le da al personal</t>
  </si>
  <si>
    <t>Todo esta perfecto</t>
  </si>
  <si>
    <t>Pagos y beneficios puntuales</t>
  </si>
  <si>
    <t>Que nos tomen en cuenta en los días festivos</t>
  </si>
  <si>
    <t>181.176.127.85</t>
  </si>
  <si>
    <t>179.6.137.220</t>
  </si>
  <si>
    <t>Que cumplen todo lo que te dicen al ingresar al trabajo desde el primer día.</t>
  </si>
  <si>
    <t>Que tenga un bono de alimentación</t>
  </si>
  <si>
    <t>190.119.245.122</t>
  </si>
  <si>
    <t>Q vengan más los supervisores y verificar el trabajo q uno hace y los mi seriales completos</t>
  </si>
  <si>
    <t>200.37.1.90</t>
  </si>
  <si>
    <t>Oportunidad de crecimiento profesional</t>
  </si>
  <si>
    <t>considerar constante capacitación y visita a la unidad</t>
  </si>
  <si>
    <t>181.176.100.241</t>
  </si>
  <si>
    <t>Beneficios y pago puntualmejo</t>
  </si>
  <si>
    <t>Que nos den reconocimiento en fechas especiales</t>
  </si>
  <si>
    <t>179.7.64.26</t>
  </si>
  <si>
    <t>181.176.86.164</t>
  </si>
  <si>
    <t>pago puntual</t>
  </si>
  <si>
    <t>canasta navideña</t>
  </si>
  <si>
    <t>190.239.76.203</t>
  </si>
  <si>
    <t>Que nos den algún reconocimiento en fechas especiales</t>
  </si>
  <si>
    <t>132.251.1.215</t>
  </si>
  <si>
    <t>Capacitacion lideres ,</t>
  </si>
  <si>
    <t>Capacitar a los encargados en el buen trato al personal acargo</t>
  </si>
  <si>
    <t>Capacitar a lo encargados</t>
  </si>
  <si>
    <t>190.239.71.33</t>
  </si>
  <si>
    <t>Pago puntual que capaciten Asus líderes</t>
  </si>
  <si>
    <t>Que capaciten Asus lideres</t>
  </si>
  <si>
    <t>Que capaciten a su lider para que no traten mal a su personal</t>
  </si>
  <si>
    <t>Capacitar más a los líderes,para poder llevar un ambiente armonioso</t>
  </si>
  <si>
    <t>132.191.1.180</t>
  </si>
  <si>
    <t>Que ubica al personal en unidades lo más Serca de tu distrito  donde vives</t>
  </si>
  <si>
    <t>Más capacitaciones con respecto a las máquinas que son utilizados en el trabajo</t>
  </si>
  <si>
    <t>143.105.157.76</t>
  </si>
  <si>
    <t>Responsabilidad y un buen ambiente</t>
  </si>
  <si>
    <t>38.250.153.47</t>
  </si>
  <si>
    <t>Excelentes beneficios y buen ambiente laboral</t>
  </si>
  <si>
    <t>179.6.164.128</t>
  </si>
  <si>
    <t>Brinda los beneficios y capacitaciones que corresponde</t>
  </si>
  <si>
    <t>Mejorar calidad de EPPs</t>
  </si>
  <si>
    <t>El apoyo del supervisor mejo</t>
  </si>
  <si>
    <t>Mejorar la ropa de trabajo para mayor comodidad</t>
  </si>
  <si>
    <t>Tenemos todos nuestros beneficios según ley</t>
  </si>
  <si>
    <t>179.6.57.204</t>
  </si>
  <si>
    <t>Que es una empresa confiable y respetuosa con sus trabajadores</t>
  </si>
  <si>
    <t>Más implemento de ropa de trabajo</t>
  </si>
  <si>
    <t>132.184.160.72</t>
  </si>
  <si>
    <t>Mejorar en más capacitaciones</t>
  </si>
  <si>
    <t>190.187.55.188</t>
  </si>
  <si>
    <t>todo excelente</t>
  </si>
  <si>
    <t>181.176.22.94</t>
  </si>
  <si>
    <t>Que nos permite tener permiso 3 dias</t>
  </si>
  <si>
    <t>38.25.16.38</t>
  </si>
  <si>
    <t>Sobre el ATS</t>
  </si>
  <si>
    <t>Tener consideraciones en fiestas navideñas</t>
  </si>
  <si>
    <t>132.184.161.191</t>
  </si>
  <si>
    <t>Porque son puntuales</t>
  </si>
  <si>
    <t>Uniforme</t>
  </si>
  <si>
    <t>190.233.181.62</t>
  </si>
  <si>
    <t>Porque el pago es puntual</t>
  </si>
  <si>
    <t>Que el encargado sea más objetivo al tomar desiciones y que no tenga afinidad a sus amistades.</t>
  </si>
  <si>
    <t>179.6.145.187</t>
  </si>
  <si>
    <t>Las charlas de seguridad</t>
  </si>
  <si>
    <t>179.7.92.138</t>
  </si>
  <si>
    <t>Capacitar a los supervisores y encargados</t>
  </si>
  <si>
    <t>38.252.222.98</t>
  </si>
  <si>
    <t>179.6.144.151</t>
  </si>
  <si>
    <t>La puntualidad  en el pago y los epps al dia</t>
  </si>
  <si>
    <t>190.234.21.135</t>
  </si>
  <si>
    <t>Coordinar vacaciones, tener vacaciones.</t>
  </si>
  <si>
    <t>Un excelente clima laboral</t>
  </si>
  <si>
    <t>132.184.128.148</t>
  </si>
  <si>
    <t>Respetuoso</t>
  </si>
  <si>
    <t>132.184.128.216</t>
  </si>
  <si>
    <t>Trabajar en equipo,la solidaridad y el respeto</t>
  </si>
  <si>
    <t>179.6.164.140</t>
  </si>
  <si>
    <t>Es una empresa segura.</t>
  </si>
  <si>
    <t>Más gente.</t>
  </si>
  <si>
    <t>Limpieza en general.</t>
  </si>
  <si>
    <t>179.6.144.244</t>
  </si>
  <si>
    <t>38.253.150.114</t>
  </si>
  <si>
    <t>Cómo mi hogar</t>
  </si>
  <si>
    <t>181.176.103.67</t>
  </si>
  <si>
    <t>Qué aya mejor ambiente laboral entre los compañeros de trabajo</t>
  </si>
  <si>
    <t>200.123.0.99</t>
  </si>
  <si>
    <t>El ambiente laboral entre compañeros</t>
  </si>
  <si>
    <t>190.187.33.243</t>
  </si>
  <si>
    <t>Q son puntual el pago</t>
  </si>
  <si>
    <t>Tendría q mejorar en tener más personal</t>
  </si>
  <si>
    <t>190.239.67.86</t>
  </si>
  <si>
    <t>Que tomen en cuenta a sus trabajadores</t>
  </si>
  <si>
    <t>181.176.112.76</t>
  </si>
  <si>
    <t>No lo considero xq nos quita los beneficios q nos corresponde como trabajadores de una empresa minera</t>
  </si>
  <si>
    <t>Q nos paguen todos nuestros beneficios y q nos suba el pago xq 500 soles no alcanza para nada y ya estamos con ese sueldo 5 años no mejoran en nada</t>
  </si>
  <si>
    <t>179.7.65.212</t>
  </si>
  <si>
    <t>Un buen anbiemte de trabajo</t>
  </si>
  <si>
    <t>181.176.119.38</t>
  </si>
  <si>
    <t>En las informaciones q nos brindan en el trabajo</t>
  </si>
  <si>
    <t>Que las encargadas dean un buen trato al personal  asu cargo</t>
  </si>
  <si>
    <t>38.250.157.120</t>
  </si>
  <si>
    <t>En qué son puntuales en su pago y tener un supervisor zonal que te escucha</t>
  </si>
  <si>
    <t>Al no maltrato al personal operarios como por ejemplo gritar las y que la ejecutiva no se crea dueña de limtek</t>
  </si>
  <si>
    <t>132.251.0.54</t>
  </si>
  <si>
    <t>Si me siento a gusto en lugares me destacan</t>
  </si>
  <si>
    <t>Seguridad salud  en el trabajo</t>
  </si>
  <si>
    <t>Si tiene buen sitio en entorno laboral</t>
  </si>
  <si>
    <t>Seguridad  y salud en nuestro trabajo u.t</t>
  </si>
  <si>
    <t>Q siempre dan nuevos charlas</t>
  </si>
  <si>
    <t>Oportunidades</t>
  </si>
  <si>
    <t>132.184.161.171</t>
  </si>
  <si>
    <t>Que tiene buen ambiente de trabajo</t>
  </si>
  <si>
    <t>Charlas motivacionales</t>
  </si>
  <si>
    <t>179.6.169.52</t>
  </si>
  <si>
    <t>Es una muy buena empresa</t>
  </si>
  <si>
    <t>Continuar con las capacitaciones</t>
  </si>
  <si>
    <t>179.6.164.69</t>
  </si>
  <si>
    <t>El abastecimiento de insumo y material</t>
  </si>
  <si>
    <t>190.239.92.15</t>
  </si>
  <si>
    <t>La comunicación con integrantes del equipo</t>
  </si>
  <si>
    <t>el ambiente laboral</t>
  </si>
  <si>
    <t>179.7.66.24</t>
  </si>
  <si>
    <t>Es muy puntual con su pago</t>
  </si>
  <si>
    <t>De buscar más clientes</t>
  </si>
  <si>
    <t>190.237.33.39</t>
  </si>
  <si>
    <t>más supervisión</t>
  </si>
  <si>
    <t>190.239.92.119</t>
  </si>
  <si>
    <t>Te brindan todos los beneficios y son puntuales.</t>
  </si>
  <si>
    <t>Mayor acercamiento con sus trabajadores.</t>
  </si>
  <si>
    <t>179.7.180.147</t>
  </si>
  <si>
    <t>Tengo muchos años trabajando y siempre se me ha tratado bien y también dan mucha informacion</t>
  </si>
  <si>
    <t>Al personal nuevo una buena inducción sobre el trabajo de limpieza y que tengan un poquito de experiencia</t>
  </si>
  <si>
    <t>Derechos laborales</t>
  </si>
  <si>
    <t>Son puntuales en el pago</t>
  </si>
  <si>
    <t>Estar más al pendiente de sus operarios, respecto a las  labores que realizan por ordenes de los superiores.</t>
  </si>
  <si>
    <t>38.253.189.122</t>
  </si>
  <si>
    <t>132.157.128.115</t>
  </si>
  <si>
    <t>Que hay compañerismo.</t>
  </si>
  <si>
    <t>Nada,yo lo considero un buen lugar de trabajo.</t>
  </si>
  <si>
    <t>190.42.172.113</t>
  </si>
  <si>
    <t>Tenemos un buen ambiente laboral y de mucha comunicación</t>
  </si>
  <si>
    <t>Un poco mas de orden</t>
  </si>
  <si>
    <t>179.6.145.31</t>
  </si>
  <si>
    <t>Qe te brinda las herramientas de trabajo necesesario</t>
  </si>
  <si>
    <t>Qe se diera cuenta si el personal se abastese o no</t>
  </si>
  <si>
    <t>190.237.25.154</t>
  </si>
  <si>
    <t>Insentivos</t>
  </si>
  <si>
    <t>181.176.84.21</t>
  </si>
  <si>
    <t>Prioridad y total respaldo para el trabajador</t>
  </si>
  <si>
    <t>179.7.92.233</t>
  </si>
  <si>
    <t>Estamos con planilla completa</t>
  </si>
  <si>
    <t>Formas para crecer y escalar en puestos de trabajo</t>
  </si>
  <si>
    <t>190.238.3.106</t>
  </si>
  <si>
    <t>La cooperación.</t>
  </si>
  <si>
    <t>Ya es un buen logar de trabajo.</t>
  </si>
  <si>
    <t>38.25.99.86</t>
  </si>
  <si>
    <t>Brindar materiales mas seguidos para poder trabajar bien</t>
  </si>
  <si>
    <t>190.236.25.236</t>
  </si>
  <si>
    <t>179.6.144.201</t>
  </si>
  <si>
    <t>38.25.53.190</t>
  </si>
  <si>
    <t>El ambiente el trato el compañerismo en mi zona de mi trabajo</t>
  </si>
  <si>
    <t>Q paga pontual</t>
  </si>
  <si>
    <t>Q ayga mas charla</t>
  </si>
  <si>
    <t>181.176.113.63</t>
  </si>
  <si>
    <t>Es buen lugar para trabajar</t>
  </si>
  <si>
    <t>Tratar de mejorar un clima laboral</t>
  </si>
  <si>
    <t>179.7.66.64</t>
  </si>
  <si>
    <t>Vinculo laboral</t>
  </si>
  <si>
    <t>179.7.92.236</t>
  </si>
  <si>
    <t>Que son puntuales en los pagos y las capacitaciones</t>
  </si>
  <si>
    <t>Que la supervisora debería ser capacidad que no solo debería tener la razón el cliente si también el colaborador  y no sacarnos teniendo aun contrato deben de respetar y la evaluación escoger a los colaboradores deben ser parcial sin preferencias ...soy personal q no falta o llega tarde hago bien mi trabajo no fui evaluada para quedarme xq no le caigo a encargada y eso le da el respaldo la supervisora cuando en cualq trabajo siempre hay libertad de expresión</t>
  </si>
  <si>
    <t>132.191.1.90</t>
  </si>
  <si>
    <t>Son puntuales en el pago y tienen varias empresas</t>
  </si>
  <si>
    <t>Tratar de tener un buen clima laboral</t>
  </si>
  <si>
    <t>190.239.89.13</t>
  </si>
  <si>
    <t>No opino</t>
  </si>
  <si>
    <t>Contar con personal disponible para cual quier emergencia</t>
  </si>
  <si>
    <t>Mejorar el tema</t>
  </si>
  <si>
    <t>179.6.144.60</t>
  </si>
  <si>
    <t>Que nos den incentivo navideño</t>
  </si>
  <si>
    <t>45.189.109.30</t>
  </si>
  <si>
    <t>Las charlas diarias</t>
  </si>
  <si>
    <t>Nada.</t>
  </si>
  <si>
    <t>179.6.145.180</t>
  </si>
  <si>
    <t>Si lo considero</t>
  </si>
  <si>
    <t>Trabajo sea con capacitaciones constantes</t>
  </si>
  <si>
    <t>179.6.164.189</t>
  </si>
  <si>
    <t>Preocupacion por sus empleados</t>
  </si>
  <si>
    <t>Darle mas enfasis a quien colocan como supervisores de equipo, pero hablo de los supervisores de los grupo pequeños de trabajo dentr, el Señor Angelo es lo maximo</t>
  </si>
  <si>
    <t>190.234.20.155</t>
  </si>
  <si>
    <t>Su ambiente laboral y su buen equipo de trabajo</t>
  </si>
  <si>
    <t>Los apoyos del turno noche</t>
  </si>
  <si>
    <t>132.184.161.12</t>
  </si>
  <si>
    <t>Cumple con los acuerdos</t>
  </si>
  <si>
    <t>Otorgar un seguro más completó a sus trabajadores</t>
  </si>
  <si>
    <t>179.6.164.6</t>
  </si>
  <si>
    <t>Las capacitaciones del supervisor</t>
  </si>
  <si>
    <t>Brinda los beneficios que corresponde y el ambiente laboral</t>
  </si>
  <si>
    <t>Epp para laborar en campo abierto y bajo el sol</t>
  </si>
  <si>
    <t>181.233.24.212</t>
  </si>
  <si>
    <t>Trabajo en equipo y tomar en práctica dando el ejemplo por las encomiendas</t>
  </si>
  <si>
    <t>Que están capasitandono a diario y ser responsable con el cuydate de sus trabajadores</t>
  </si>
  <si>
    <t>Capacitar a la supervisora y personas que ponen  de encargado para que traten de la mejor manera a los trabajadores y haya unión laboral</t>
  </si>
  <si>
    <t>132.184.160.84</t>
  </si>
  <si>
    <t>Cumple con sus pagos</t>
  </si>
  <si>
    <t>Que cada navidad brinde canasta</t>
  </si>
  <si>
    <t>132.191.2.93</t>
  </si>
  <si>
    <t>Sus constantes capacitaciones</t>
  </si>
  <si>
    <t>Mayor organizacion y comunicación entre sus jefes directos y con los operarios</t>
  </si>
  <si>
    <t>Ay buena comunicación e información</t>
  </si>
  <si>
    <t>38.190.100.118</t>
  </si>
  <si>
    <t>Me siento comodo trabajando en la empresa</t>
  </si>
  <si>
    <t>179.6.171.78</t>
  </si>
  <si>
    <t>Normal,es un trabajo exigente</t>
  </si>
  <si>
    <t>Mejorar el abastecimiento de herramienta de trabajo</t>
  </si>
  <si>
    <t>190.232.176.53</t>
  </si>
  <si>
    <t>132.251.2.91</t>
  </si>
  <si>
    <t>Más comunicación con el cliente</t>
  </si>
  <si>
    <t>132.251.0.161</t>
  </si>
  <si>
    <t>Por que  tratan bien a las personas  y a las personas nuevas los enseñan como se tarbaaj</t>
  </si>
  <si>
    <t>Hacer un presente  a todos sus trabajadores por igual</t>
  </si>
  <si>
    <t>190.236.3.11</t>
  </si>
  <si>
    <t>38.224.230.69</t>
  </si>
  <si>
    <t>Es una buena empresa  están pendiente d sus trabajadores y siempre recibimos charlas para no tener accidentes en el trabajo</t>
  </si>
  <si>
    <t>Más   charlas y  reconocimiento para los trabajadores</t>
  </si>
  <si>
    <t>181.66.177.139</t>
  </si>
  <si>
    <t>Que siempre piensa en capacitar a su personal para ofrecer un mejor servicio.</t>
  </si>
  <si>
    <t>132.251.1.244</t>
  </si>
  <si>
    <t>La unión en equipo de los trabajadores</t>
  </si>
  <si>
    <t>45.189.109.7</t>
  </si>
  <si>
    <t>K siempre nos pagan puntual</t>
  </si>
  <si>
    <t>K deben darnos las canastas navideñas como antes</t>
  </si>
  <si>
    <t>132.184.55.191</t>
  </si>
  <si>
    <t>181.176.115.149</t>
  </si>
  <si>
    <t>Pq nos brinda trabajar lo mas serca ah nuestro distrito donde vivimos</t>
  </si>
  <si>
    <t>Falta de insentivacion al personal ... por ejemplo ... entregar  blo quedor solar y gorras  con tapanucas</t>
  </si>
  <si>
    <t>181.67.2.16</t>
  </si>
  <si>
    <t>Trabajos en altura</t>
  </si>
  <si>
    <t>Cumple con el compromiso con el trbajador</t>
  </si>
  <si>
    <t>Tenga mas atencion con las remuneraciones</t>
  </si>
  <si>
    <t>132.191.0.67</t>
  </si>
  <si>
    <t>Que da oportunidades de trabajo a las personas que lo necesitan</t>
  </si>
  <si>
    <t>La verdad para está correcto todo</t>
  </si>
  <si>
    <t>181.176.126.14</t>
  </si>
  <si>
    <t>Trabajo en unión y en equipo.</t>
  </si>
  <si>
    <t>Tener una buena carisma hace elpersonal de trabajo.</t>
  </si>
  <si>
    <t>132.184.129.236</t>
  </si>
  <si>
    <t>No tengo algo específico</t>
  </si>
  <si>
    <t>Mejorar en los EPP'S</t>
  </si>
  <si>
    <t>190.236.25.197</t>
  </si>
  <si>
    <t>Es un buen ambiente de trabajo</t>
  </si>
  <si>
    <t>179.7.92.163</t>
  </si>
  <si>
    <t>El trabajo en grupo y el buen ambiente laboral</t>
  </si>
  <si>
    <t>Me parece que por ahora está bien todo</t>
  </si>
  <si>
    <t>179.7.67.132</t>
  </si>
  <si>
    <t>Su clima laboral y su interés x el operario</t>
  </si>
  <si>
    <t>132.251.0.240</t>
  </si>
  <si>
    <t>La puntualidad en todo sus veneficiosser</t>
  </si>
  <si>
    <t>Ser como antes i revivir personal capacitado</t>
  </si>
  <si>
    <t>181.176.100.88</t>
  </si>
  <si>
    <t>El apoyo o equipo al realizar el trabajo en el área</t>
  </si>
  <si>
    <t>Premios para el trabajador del mes</t>
  </si>
  <si>
    <t>201.240.76.132</t>
  </si>
  <si>
    <t>Por cer puntual en su pagoensintibar asu trabajadoras</t>
  </si>
  <si>
    <t>Incentivar  asu trabajadoras</t>
  </si>
  <si>
    <t>190.236.25.110</t>
  </si>
  <si>
    <t>Que es una empresa que te brinda confianza y apoyo a sus colaboradores</t>
  </si>
  <si>
    <t>Que el día de tu cumpleaños tengas un día libre</t>
  </si>
  <si>
    <t>179.6.145.138</t>
  </si>
  <si>
    <t>Su manejo de personal</t>
  </si>
  <si>
    <t>Que limtek son puntuales en sus pagos</t>
  </si>
  <si>
    <t>Que deben de reconocer más al trabajador en cuanto a sus desempeño laboral que estén pendientes de nosotros</t>
  </si>
  <si>
    <t>190.235.116.99</t>
  </si>
  <si>
    <t>La fecha de pago es puntual</t>
  </si>
  <si>
    <t>Mejorar el pagó salario</t>
  </si>
  <si>
    <t>179.7.92.240</t>
  </si>
  <si>
    <t>Son puntuales</t>
  </si>
  <si>
    <t>Cuando aya fechas importantes se nos remunere</t>
  </si>
  <si>
    <t>38.25.98.1</t>
  </si>
  <si>
    <t>Que se preocupen más por sus trabajadores</t>
  </si>
  <si>
    <t>Que emotiven a sus operarios</t>
  </si>
  <si>
    <t>132.191.1.197</t>
  </si>
  <si>
    <t>Te manda a una zona trabajo cerca de tu domicilio</t>
  </si>
  <si>
    <t>132.251.2.81</t>
  </si>
  <si>
    <t>para mí no tiene nada que mejorar</t>
  </si>
  <si>
    <t>179.7.67.250</t>
  </si>
  <si>
    <t>Dar mayor reconocimiento a sus trabajadores en fechas especiales como navidad ofertas patria</t>
  </si>
  <si>
    <t>responsable</t>
  </si>
  <si>
    <t>en escuchar un poco al personal</t>
  </si>
  <si>
    <t>190.239.79.58</t>
  </si>
  <si>
    <t>Todo está vien</t>
  </si>
  <si>
    <t>179.6.74.219</t>
  </si>
  <si>
    <t>Masimenos</t>
  </si>
  <si>
    <t>K venga a dar charla más seguida</t>
  </si>
  <si>
    <t>190.235.46.104</t>
  </si>
  <si>
    <t>Tener mejores supervisores</t>
  </si>
  <si>
    <t>132.251.2.197</t>
  </si>
  <si>
    <t>Serios y responsables con el personal operario</t>
  </si>
  <si>
    <t>Dar insentivos económicos por ser personal destacado y cumplidor de sus deberes</t>
  </si>
  <si>
    <t>132.191.0.178</t>
  </si>
  <si>
    <t>Una buena empresa puntual</t>
  </si>
  <si>
    <t>Nada todo está perfecto</t>
  </si>
  <si>
    <t>179.7.64.62</t>
  </si>
  <si>
    <t>Buen ambiente laboral y pagos puntuales</t>
  </si>
  <si>
    <t>181.176.115.203</t>
  </si>
  <si>
    <t>Que son responsables en los pagos y charlas informativas,etc</t>
  </si>
  <si>
    <t>Sus trabajadores ya que no todos trabajan por igual</t>
  </si>
  <si>
    <t>179.6.72.199</t>
  </si>
  <si>
    <t>Son puntuales en los pagos ,nos capacitan y eso nos ayuda amejorar</t>
  </si>
  <si>
    <t>Más reconocimientos</t>
  </si>
  <si>
    <t>132.191.1.198</t>
  </si>
  <si>
    <t>Es depende de la unidad a dónde te mandan</t>
  </si>
  <si>
    <t>Qe mi supervisora apoye a su personal y no aya ostigamiento labora allá</t>
  </si>
  <si>
    <t>181.176.124.125</t>
  </si>
  <si>
    <t>Nos apoyamos mutuamente entre compañeros</t>
  </si>
  <si>
    <t>Debería reconocer a sus trabajador en der una buena canasta navideña siendo una empresa reconocida no consideran a sus trabajadoreses</t>
  </si>
  <si>
    <t>Si es bueno</t>
  </si>
  <si>
    <t>179.6.72.29</t>
  </si>
  <si>
    <t>El tema de pagos</t>
  </si>
  <si>
    <t>190.237.184.88</t>
  </si>
  <si>
    <t>Que es una empresa seria y cumple con todas las nesecidadrs del operario</t>
  </si>
  <si>
    <t>Estoy bien trabajando  en limtek  ea una buena empresa</t>
  </si>
  <si>
    <t>Pagos a tiempo y entrega completa de uniformes</t>
  </si>
  <si>
    <t>Personal retén para cubrir faltas</t>
  </si>
  <si>
    <t>Brindan informe completo, no hay error en los pagos</t>
  </si>
  <si>
    <t>Que haya personal disponible que cubra faltas</t>
  </si>
  <si>
    <t>190.239.91.22</t>
  </si>
  <si>
    <t>Tomarnos en cuenta</t>
  </si>
  <si>
    <t>Tener personal en disposición para remplazar una emergencia</t>
  </si>
  <si>
    <t>Que es una gran empresa</t>
  </si>
  <si>
    <t>Sus supervisores</t>
  </si>
  <si>
    <t>190.232.106.79</t>
  </si>
  <si>
    <t>Que cumple con toda la expectativa y es transparente</t>
  </si>
  <si>
    <t>Tener más capacitación</t>
  </si>
  <si>
    <t>132.251.1.191</t>
  </si>
  <si>
    <t>Que siempre estamos aprendiendo  en cada capacitación cosas nuevas</t>
  </si>
  <si>
    <t>Dar todo por ser lo mejor</t>
  </si>
  <si>
    <t>179.6.144.172</t>
  </si>
  <si>
    <t>Mina</t>
  </si>
  <si>
    <t>Los Eps</t>
  </si>
  <si>
    <t>190.239.90.24</t>
  </si>
  <si>
    <t>Interés</t>
  </si>
  <si>
    <t>132.191.1.117</t>
  </si>
  <si>
    <t>Podría ser la oportunidad de trabajo pero yo veo escucho muchos problemas dentro de nuestro grupo de trabajo tanto de supervisoras y compañeros que fui escuchando a lo largo de estos tres meses que estoy</t>
  </si>
  <si>
    <t>Pues que no diga esos malos comentarios acerca de personas los cuales puede ser muy perjudicial, así mismo que dejen estarle haciendo suposiciones o afirmaciones hacia personas</t>
  </si>
  <si>
    <t>Pago puntual, entrega de los EPP,etc</t>
  </si>
  <si>
    <t>Se puede realizar pautas activas como modo de conocernos entre los trabajadores,fomentar la unión en los trabajadores y sobretodo no tener preferidos dentro de la empresa por el jefe a cargo.</t>
  </si>
  <si>
    <t>190.239.69.176</t>
  </si>
  <si>
    <t>Brinda toda la atención al empleador y capacita continúa mente</t>
  </si>
  <si>
    <t>Más conocimiento sobre los peligros,depende los lugares de trabajo...estar atento sobre la salud de cada trabajador.</t>
  </si>
  <si>
    <t>201.218.150.20</t>
  </si>
  <si>
    <t>soporte</t>
  </si>
  <si>
    <t>temas  de fidelizacion</t>
  </si>
  <si>
    <t>190.235.16.68</t>
  </si>
  <si>
    <t>Reconocimiento a sus trabajadores sobre puntualidad y responsabilidad</t>
  </si>
  <si>
    <t>132.157.129.246</t>
  </si>
  <si>
    <t>Unbuen abiente laborar</t>
  </si>
  <si>
    <t>Unbuentrato</t>
  </si>
  <si>
    <t>132.191.0.169</t>
  </si>
  <si>
    <t>190.239.65.67</t>
  </si>
  <si>
    <t>Es una empresa leal</t>
  </si>
  <si>
    <t>38.9.38.87</t>
  </si>
  <si>
    <t>Buen ambiente Buenos compañeros buen trato</t>
  </si>
  <si>
    <t>Que tenga un buen horario</t>
  </si>
  <si>
    <t>200.106.20.111</t>
  </si>
  <si>
    <t>EMPRESA RESPONSABLE CON EL PERSONAL Y COMPROMETIDO CON LA SST</t>
  </si>
  <si>
    <t>EL BUEN CLIMA LABORAL Y LIDERAZGO ADECUADO DE CIERTAS JEFATURAS</t>
  </si>
  <si>
    <t>Reconocer la puntualidad del operario</t>
  </si>
  <si>
    <t>179.6.74.27</t>
  </si>
  <si>
    <t>El apoyo por parte de la supervisora</t>
  </si>
  <si>
    <t>Tener sedes más cerca</t>
  </si>
  <si>
    <t>132.191.0.21</t>
  </si>
  <si>
    <t>La unidad</t>
  </si>
  <si>
    <t>181.176.104.253</t>
  </si>
  <si>
    <t>La formalidad</t>
  </si>
  <si>
    <t>La atención de las áreas de ayuda al trabajador ejm las que están detrás del fotocheck</t>
  </si>
  <si>
    <t>190.12.77.81</t>
  </si>
  <si>
    <t>Porque nos dan charlas para no tener accidentes</t>
  </si>
  <si>
    <t>181.176.90.163</t>
  </si>
  <si>
    <t>Apoyo y consideracion</t>
  </si>
  <si>
    <t>Dar algo y motivar asu personal como en fiestas lucirás tanto en navidad o fiestas patrias</t>
  </si>
  <si>
    <t>190.236.9.185</t>
  </si>
  <si>
    <t>Que cuida mucho a su trabajador</t>
  </si>
  <si>
    <t>Dar unos insentivos como bonus oh etc</t>
  </si>
  <si>
    <t>181.176.108.103</t>
  </si>
  <si>
    <t>Parcialmente q no</t>
  </si>
  <si>
    <t>Q nos den bono</t>
  </si>
  <si>
    <t>179.6.18.78</t>
  </si>
  <si>
    <t>Ser un buen trabajador</t>
  </si>
  <si>
    <t>Enviar boletas siempre porque siempre comentan mis compañeros que no les envían a su correo</t>
  </si>
  <si>
    <t>179.7.88.92</t>
  </si>
  <si>
    <t>El apoyo hacia los trabajadores</t>
  </si>
  <si>
    <t>Un poco mas de consideración a los trabajadores en caso su hogares sean un poco lejos</t>
  </si>
  <si>
    <t>45.169.94.71</t>
  </si>
  <si>
    <t>el tema de las capacitaciones</t>
  </si>
  <si>
    <t>mas capacitaciones proactivas</t>
  </si>
  <si>
    <t>181.176.102.88</t>
  </si>
  <si>
    <t>Que es un empresa que se preocupa por capacitar al personal</t>
  </si>
  <si>
    <t>Mayor eficacia en apoyo o retenes</t>
  </si>
  <si>
    <t>190.235.17.210</t>
  </si>
  <si>
    <t>No dan regalos</t>
  </si>
  <si>
    <t>Que den canasta por navidad</t>
  </si>
  <si>
    <t>179.6.73.130</t>
  </si>
  <si>
    <t>La responsabilidad que tenemos todos</t>
  </si>
  <si>
    <t>Considerar las horas extras</t>
  </si>
  <si>
    <t>Por la forma como trata al personal</t>
  </si>
  <si>
    <t>De reconocer y dar algo para motivar mas asus trabajadores tanto en fechas alusivas como navidad y fiestas patrias</t>
  </si>
  <si>
    <t>179.7.67.165</t>
  </si>
  <si>
    <t>Que la mayoria de veces son pumtuales en sus pagos</t>
  </si>
  <si>
    <t>Más comunicación con sus trabajadores</t>
  </si>
  <si>
    <t>190.234.179.83</t>
  </si>
  <si>
    <t>Sería bueno q verifiquen al personal q son nombrados como encargados algunos aprovechan ese título para hostigar a los que no les agrada</t>
  </si>
  <si>
    <t>Q la empatía perdure ,apoyar a su personal q desea superarse ya q eso motiva y da como un incentivo a agradecer el trabajo..</t>
  </si>
  <si>
    <t>Tema de servicios especiales</t>
  </si>
  <si>
    <t>179.6.74.72</t>
  </si>
  <si>
    <t>La empatía de nuestros superiores,y eficacia en resolver cada asunto y el buen trato laboral</t>
  </si>
  <si>
    <t>Yo creo que el limtek debe implementar una  linea de carrera donde cada trabajador pueda aprender cosas nuevas  ,parte de la innovación a miras del futuro</t>
  </si>
  <si>
    <t>132.184.55.57</t>
  </si>
  <si>
    <t>Una muy buena empresa al cual siempre  nos mantiene  capacitados  y están pendientes  en las prioridades  del trabajador</t>
  </si>
  <si>
    <t>En mi criterio nada, todo muy bien</t>
  </si>
  <si>
    <t>190.239.70.190</t>
  </si>
  <si>
    <t>179.6.136.127</t>
  </si>
  <si>
    <t>Puntualidad en su pago,y buen trabajo laboral concientemente.</t>
  </si>
  <si>
    <t>No he visto algo en específico,más bien me parece un buen lugar para laborar</t>
  </si>
  <si>
    <t>Pues no mucho, en estos primeros meses en la unidad en la que estoy y en otras que comentaban mis compañeros, se quejaba de trabajadores y supervisoras</t>
  </si>
  <si>
    <t>Qué haiga mayor compañerismo</t>
  </si>
  <si>
    <t>179.6.18.216</t>
  </si>
  <si>
    <t>Siempre me capacitan, pagan puntual y están pendientes q estemos en un buen clima laboral.</t>
  </si>
  <si>
    <t>Bonos de puntualidas y otros,  insectivos .</t>
  </si>
  <si>
    <t>179.7.65.161</t>
  </si>
  <si>
    <t>179.6.74.43</t>
  </si>
  <si>
    <t>Cumplen con su política laboral y beneficios laborales también y el buen trato de los jefes</t>
  </si>
  <si>
    <t>Creo que está cumpliendo con su labor y se puede mejorar un poco más en los incentivos laborales sería mucho mejor todavía</t>
  </si>
  <si>
    <t>132.191.1.222</t>
  </si>
  <si>
    <t>132.184.55.132</t>
  </si>
  <si>
    <t>Charlas de SSOMA</t>
  </si>
  <si>
    <t>Ayudarnos y/o brindarnos facilidades para  superarnos académicamente,ya que la mayoría de operarios solo tenemos secundaria completa.</t>
  </si>
  <si>
    <t>190.235.45.174</t>
  </si>
  <si>
    <t>Mas oportunidad</t>
  </si>
  <si>
    <t>179.6.138.112</t>
  </si>
  <si>
    <t>Mas personal para hacer un buen trabajo</t>
  </si>
  <si>
    <t>200.123.13.91</t>
  </si>
  <si>
    <t>Que es una buena empresa , pagando puntual ,etc</t>
  </si>
  <si>
    <t>Para mí , limtek es una buena empresa desde que he entrado me parece exelente , y para mí debería seguir así</t>
  </si>
  <si>
    <t>Más personal para mejorar el trabajo</t>
  </si>
  <si>
    <t>Son puntuales para el pago</t>
  </si>
  <si>
    <t>200.123.8.148</t>
  </si>
  <si>
    <t>Q es puntual en nuestro pago</t>
  </si>
  <si>
    <t>En tener más personal para q cubra</t>
  </si>
  <si>
    <t>En q son puntuales el los pagos</t>
  </si>
  <si>
    <t>En tener más personal para q pueda cubrir</t>
  </si>
  <si>
    <t>Le considero q nos pagos son puntal</t>
  </si>
  <si>
    <t>190.233.176.77</t>
  </si>
  <si>
    <t>Son cumplidos en los pagos</t>
  </si>
  <si>
    <t>Tener más puestos full time</t>
  </si>
  <si>
    <t>Q sin puntal en el pago</t>
  </si>
  <si>
    <t>181.176.84.18</t>
  </si>
  <si>
    <t>Soy nuevo, por el momento no tengo una respuesta</t>
  </si>
  <si>
    <t>181.176.110.160</t>
  </si>
  <si>
    <t>Pago el puntual</t>
  </si>
  <si>
    <t>Campañas para el personal escolar y navideñas</t>
  </si>
  <si>
    <t>Que son puntuales en los pagos  buen ambiente laboral</t>
  </si>
  <si>
    <t>132.184.55.195</t>
  </si>
  <si>
    <t>Son un EQUIPO en el trabajo</t>
  </si>
  <si>
    <t>Mejorar los BONOS DE LA EMPRESA</t>
  </si>
  <si>
    <t>179.6.75.255</t>
  </si>
  <si>
    <t>Capacitación constante y cuidado del personal</t>
  </si>
  <si>
    <t>Seguir apoyando al personal</t>
  </si>
  <si>
    <t>181.176.47.142</t>
  </si>
  <si>
    <t>Me gusta el color del uniforme</t>
  </si>
  <si>
    <t>Todo está bien para mi</t>
  </si>
  <si>
    <t>Lo considero una buena Empresa y su excelencia en la atención y satisfacción al cliente y a sus líderes y operarios en el  campo</t>
  </si>
  <si>
    <t>X el momento todo está bien</t>
  </si>
  <si>
    <t>181.176.84.126</t>
  </si>
  <si>
    <t>Es una empresa muy rescatable con supervisor y operaciones que son muy atentos y agradable trabajo</t>
  </si>
  <si>
    <t>Estar un poco más presente la super</t>
  </si>
  <si>
    <t>132.191.2.123</t>
  </si>
  <si>
    <t>Sus pagos son muy puntuales</t>
  </si>
  <si>
    <t>Siempre sigan siendo lo mejores como empresa</t>
  </si>
  <si>
    <t>179.7.92.128</t>
  </si>
  <si>
    <t>Responsabilidad y onestidad</t>
  </si>
  <si>
    <t>Mejorar lo Epp</t>
  </si>
  <si>
    <t>El ambiente para ser más humildes,sencillas,honestas, el compañerismo entre operarias ,el trato entre compañeras y el apoyo mutuo</t>
  </si>
  <si>
    <t>Se preocupa por la seguridad y bienestar de su personal con sus charlas</t>
  </si>
  <si>
    <t>Q se acerque más a su personal y conversar como nos sentimos en lo personal y grupal con nuestro equipo q laboramos</t>
  </si>
  <si>
    <t>Q pagan puntual</t>
  </si>
  <si>
    <t>Tener mas comunicacion</t>
  </si>
  <si>
    <t>Que se preocupa por su personalque</t>
  </si>
  <si>
    <t>Que   premie al personal k es puntual  y trabajadora   y que nos den un  bonolima</t>
  </si>
  <si>
    <t>181.176.93.31</t>
  </si>
  <si>
    <t>En gente que gente que esté bien de la cabeza</t>
  </si>
  <si>
    <t>Se preocupa por el personal</t>
  </si>
  <si>
    <t>Incentivo  su personalut</t>
  </si>
  <si>
    <t>Ayudar</t>
  </si>
  <si>
    <t>La supervisora y encargada buen apoyo</t>
  </si>
  <si>
    <t>Sus enseñanzas, y su información q nos brinda en la área de trabajo</t>
  </si>
  <si>
    <t>A las encargadas más  capacitacion con el personal en el buen trato</t>
  </si>
  <si>
    <t>Oficinas Administrativas</t>
  </si>
  <si>
    <t>132.251.0.203</t>
  </si>
  <si>
    <t>Que se preocupa por su personal</t>
  </si>
  <si>
    <t>Reconocimiento al mejor trabajador</t>
  </si>
  <si>
    <t>132.191.0.45</t>
  </si>
  <si>
    <t>Oficina administrativa</t>
  </si>
  <si>
    <t>38.250.132.89</t>
  </si>
  <si>
    <t>Que son responsables</t>
  </si>
  <si>
    <t>En los insumos</t>
  </si>
  <si>
    <t>Costa Mar Plaza Tumbes</t>
  </si>
  <si>
    <t>Por el bienestar del personal</t>
  </si>
  <si>
    <t>Un incentivo al trabajador  por su excelencia</t>
  </si>
  <si>
    <t>Si k se preocupa por nosotrosque</t>
  </si>
  <si>
    <t>Que selede un buen incentivo al mejor trabajador en la puntualidad yresponsavilidad</t>
  </si>
  <si>
    <t>Que es buena empresa porque se preocupa. Es nuestro  bienestar</t>
  </si>
  <si>
    <t>Que se le premie a l mejor trabajador en puntualidad y tesponsabilidad</t>
  </si>
  <si>
    <t>181.176.87.77</t>
  </si>
  <si>
    <t>Destaco de Limtek que es una empresa sólida y responsable, que ofrece estabilidad laboral, cumple con los beneficios de ley y promueve un ambiente de trabajo seguro y respetuoso</t>
  </si>
  <si>
    <t>Limtek podría mejorar fortaleciendo la comunicación interna, ampliando las oportunidades de capacitación y crecimiento, y reforzando el reconocimiento al esfuerzo de sus trabajadores</t>
  </si>
  <si>
    <t>38.250.148.84</t>
  </si>
  <si>
    <t>Por su buen ambiente de trabajo y trabajar en equipo y por las capacitaciones que recibimos</t>
  </si>
  <si>
    <t>179.7.92.111</t>
  </si>
  <si>
    <t>Contratar personal responsables</t>
  </si>
  <si>
    <t>Con las canastas en fiestas como en lavidad</t>
  </si>
  <si>
    <t>181.176.122.147</t>
  </si>
  <si>
    <t>Que todo es horganisado y con calidad de compañerismo.</t>
  </si>
  <si>
    <t>Bueno creo que mas calidad en seguridad y salud en el trabajo</t>
  </si>
  <si>
    <t>Más atención a su personal</t>
  </si>
  <si>
    <t>179.6.72.143</t>
  </si>
  <si>
    <t>Pagos puntuales¡!</t>
  </si>
  <si>
    <t>Los bonos¡!</t>
  </si>
  <si>
    <t>181.176.107.17</t>
  </si>
  <si>
    <t>Que regresen a otorgar las canastas navideñas y que organizen las reuniones semestrales como antes</t>
  </si>
  <si>
    <t>179.7.92.144</t>
  </si>
  <si>
    <t>Que siempre está alas espectativas con el personal</t>
  </si>
  <si>
    <t>Nada creo yo por que estoy feliz de trabajar con ustedes</t>
  </si>
  <si>
    <t>Sus EE.PP</t>
  </si>
  <si>
    <t>132.251.2.53</t>
  </si>
  <si>
    <t>Formal</t>
  </si>
  <si>
    <t>179.6.170.94</t>
  </si>
  <si>
    <t>Siempre nos escucha cuando decimos algo</t>
  </si>
  <si>
    <t>Mayor mente q su personal</t>
  </si>
  <si>
    <t>200.123.26.106</t>
  </si>
  <si>
    <t>Que es un empresa que se preocupa por el bienestar de sus trabajadores</t>
  </si>
  <si>
    <t>179.7.82.169</t>
  </si>
  <si>
    <t>Una empresa segura y confiable.</t>
  </si>
  <si>
    <t>Una buena canasta navideña 😅</t>
  </si>
  <si>
    <t>200.123.3.197</t>
  </si>
  <si>
    <t>Que los supervisores entienda al personal</t>
  </si>
  <si>
    <t>Que nos trate bien</t>
  </si>
  <si>
    <t>Los pagos son cumplidos</t>
  </si>
  <si>
    <t>Q los super tengan buen trato para el personal</t>
  </si>
  <si>
    <t>190.236.1.110</t>
  </si>
  <si>
    <t>Uso de extintores</t>
  </si>
  <si>
    <t>El reconocimiento a sus trabajadores, dando presentes a todos en navidad, dando agasajo en el aniversario de la empresa a todos y no solo a los de oficina. En general mejoren en la fidelización del trabajador para con la empresa</t>
  </si>
  <si>
    <t>Por que son horarios fijos</t>
  </si>
  <si>
    <t>Visitar a sus unidades y ver cómo están los operadores</t>
  </si>
  <si>
    <t>132.191.1.154</t>
  </si>
  <si>
    <t>Su charla</t>
  </si>
  <si>
    <t>190.239.75.36</t>
  </si>
  <si>
    <t>k nos consideran el pasaje cuando ay Paros</t>
  </si>
  <si>
    <t>darnos bono</t>
  </si>
  <si>
    <t>200.123.10.218</t>
  </si>
  <si>
    <t>Que tiene buen trato</t>
  </si>
  <si>
    <t>Que había compañerismo</t>
  </si>
  <si>
    <t>181.176.112.6</t>
  </si>
  <si>
    <t>Seleccionar mejor al personal</t>
  </si>
  <si>
    <t>200.121.220.62</t>
  </si>
  <si>
    <t>En sus pagos son puntuale</t>
  </si>
  <si>
    <t>Q voloren el trabajo delas personas q realmente lo hacen</t>
  </si>
  <si>
    <t>190.42.172.86</t>
  </si>
  <si>
    <t>La seriedad para sus operarios</t>
  </si>
  <si>
    <t>Estar mas atentos a los de provinciad</t>
  </si>
  <si>
    <t>Su  propuesta es única como empresa y nos brinda todo información y seguridad dentro de l9 laboral.</t>
  </si>
  <si>
    <t>Ser más constantes es sus capacitaciones y brindar exámenes.</t>
  </si>
  <si>
    <t>la satisfacción del cliente</t>
  </si>
  <si>
    <t>el compañerismo</t>
  </si>
  <si>
    <t>190.235.46.115</t>
  </si>
  <si>
    <t>Que es una empresa con muchos valores y con oportunidad de crecer en lo personal profesional y en el trabajo</t>
  </si>
  <si>
    <t>132.157.130.134</t>
  </si>
  <si>
    <t>Que hacen valer nuestros derechos como trabajadorers</t>
  </si>
  <si>
    <t>Okey</t>
  </si>
  <si>
    <t>El compañerismo entre si</t>
  </si>
  <si>
    <t>190.236.131.36</t>
  </si>
  <si>
    <t>Sobre todo porque te dan tus beneficios</t>
  </si>
  <si>
    <t>Que nos capacite con maquinaruas</t>
  </si>
  <si>
    <t>201.240.5.39</t>
  </si>
  <si>
    <t>Confiable  y  puntual  en loz  pagoz</t>
  </si>
  <si>
    <t>Motivar al  con incentivoz o  premioz</t>
  </si>
  <si>
    <t>132.157.129.191</t>
  </si>
  <si>
    <t>Charlas en ambiente</t>
  </si>
  <si>
    <t>En equipo</t>
  </si>
  <si>
    <t>132.191.2.180</t>
  </si>
  <si>
    <t>Si estoy segura en el trabajo q realizo</t>
  </si>
  <si>
    <t>132.184.55.142</t>
  </si>
  <si>
    <t>La capacitaciones diarias que nos brindan por intermedio del supervisor y también que se siente un clima laboral bueno y estáble</t>
  </si>
  <si>
    <t>Por el momento nada</t>
  </si>
  <si>
    <t>190.187.52.246</t>
  </si>
  <si>
    <t>La capacitación para ser un buen líder</t>
  </si>
  <si>
    <t>La comunicación y capacitaciónes pará trabajar más en equipo</t>
  </si>
  <si>
    <t>181.176.113.120</t>
  </si>
  <si>
    <t>Altura</t>
  </si>
  <si>
    <t>190.236.24.228</t>
  </si>
  <si>
    <t>Honestidad honradez y puntualidad</t>
  </si>
  <si>
    <t>181.176.45.73</t>
  </si>
  <si>
    <t>Q una buena empresa q apoya en nosotros</t>
  </si>
  <si>
    <t>En los materiales</t>
  </si>
  <si>
    <t>179.7.82.37</t>
  </si>
  <si>
    <t>Implementó completos</t>
  </si>
  <si>
    <t>Hasta este año todo vien esperar el año que viene siga igual</t>
  </si>
  <si>
    <t>179.7.83.96</t>
  </si>
  <si>
    <t>Es una buena empresa legal para los trabajadores</t>
  </si>
  <si>
    <t>Que es una empresa limtek muy responsable en nuestro trabajo</t>
  </si>
  <si>
    <t>179.7.82.246</t>
  </si>
  <si>
    <t>Los insumos</t>
  </si>
  <si>
    <t>La remuneración</t>
  </si>
  <si>
    <t>190.232.176.253</t>
  </si>
  <si>
    <t>Q es una buena empresa limtek tener todo los beneficios</t>
  </si>
  <si>
    <t>Q todos sean unidos</t>
  </si>
  <si>
    <t>179.7.82.152</t>
  </si>
  <si>
    <t>Que es una buena empresa que tiene bien en nuestro beneficio.</t>
  </si>
  <si>
    <t>Que nuestro supervisor este pendiente de sus trabajadores.</t>
  </si>
  <si>
    <t>179.7.82.236</t>
  </si>
  <si>
    <t>Confianza q se me brinda para realizar mi trabajo de la mejor manera</t>
  </si>
  <si>
    <t>Hasta el momento me siento bien.</t>
  </si>
  <si>
    <t>38.250.159.49</t>
  </si>
  <si>
    <t>Todo Esto bien con LIMTEK</t>
  </si>
  <si>
    <t>190.234.20.97</t>
  </si>
  <si>
    <t>Puntualidad en su salario. Responsabilidad</t>
  </si>
  <si>
    <t>Satisfecho</t>
  </si>
  <si>
    <t>190.232.29.143</t>
  </si>
  <si>
    <t>Q el personal tengas sus 8 horas cmo siempre ahora ya están reduciendo las horas de 8 horas a 6 horas eso si esta mal espero lo consideren cmo trabajadores</t>
  </si>
  <si>
    <t>190.236.25.126</t>
  </si>
  <si>
    <t>Uso de epp</t>
  </si>
  <si>
    <t>179.7.66.70</t>
  </si>
  <si>
    <t>En q nos otorga un buen plan d trabajo</t>
  </si>
  <si>
    <t>Nada todo es correcto</t>
  </si>
  <si>
    <t>190.232.29.120</t>
  </si>
  <si>
    <t>Totalmente d cuerdo</t>
  </si>
  <si>
    <t>En uso epp</t>
  </si>
  <si>
    <t>Totalmente acuerdo</t>
  </si>
  <si>
    <t>Uso epp</t>
  </si>
  <si>
    <t>38.253.149.200</t>
  </si>
  <si>
    <t>Tratar bien al personal a su cargo</t>
  </si>
  <si>
    <t>Pagó puntual</t>
  </si>
  <si>
    <t>Enseñanza a los supervisores a tratar bien a su personal a cargo y no maltratarlos psicológicamente.</t>
  </si>
  <si>
    <t>181.176.123.128</t>
  </si>
  <si>
    <t>Buen trato a sus colaboradores</t>
  </si>
  <si>
    <t>Tener en cuenta uniforme adecuado para temporada de invierno</t>
  </si>
  <si>
    <t>Buen trato a los colaboradores</t>
  </si>
  <si>
    <t>190.236.25.94</t>
  </si>
  <si>
    <t>Muy bien tener una empresa como limtek</t>
  </si>
  <si>
    <t>Bueno limtek deberia tener las ocho horas cada trabajador no se porque limtek nos pone menos horas</t>
  </si>
  <si>
    <t>181.176.46.6</t>
  </si>
  <si>
    <t>Su amabilidad y apollo</t>
  </si>
  <si>
    <t>En mi opinión , todo bien</t>
  </si>
  <si>
    <t>Todos los implemebotos</t>
  </si>
  <si>
    <t>Material</t>
  </si>
  <si>
    <t>Muy bien</t>
  </si>
  <si>
    <t>Que no deberia menorar las horas a cada trabajador</t>
  </si>
  <si>
    <t>179.6.73.17</t>
  </si>
  <si>
    <t>Porque te capacitan mensual</t>
  </si>
  <si>
    <t>En mandar completo los productos de limpieza</t>
  </si>
  <si>
    <t>8.243.99.19</t>
  </si>
  <si>
    <t>La supervisora siempre esta pendiente de mis actividades en el trabajo, me brinda los EPPS puntual, es un ambiente laboral bueno</t>
  </si>
  <si>
    <t>Pagarnos las utilidades</t>
  </si>
  <si>
    <t>179.7.73.167</t>
  </si>
  <si>
    <t>No tener mucha presión</t>
  </si>
  <si>
    <t>Que no reduzcan horas de trabajo</t>
  </si>
  <si>
    <t>179.7.82.139</t>
  </si>
  <si>
    <t>Cumple con mis beneficios sociales acorde a la ley</t>
  </si>
  <si>
    <t>Por el momento me siento contenta trabajar en la empresa limtek</t>
  </si>
  <si>
    <t>190.236.27.97</t>
  </si>
  <si>
    <t>Empresa responsable y confiable</t>
  </si>
  <si>
    <t>Que den  bonificaciones para el bienestar de cada familia</t>
  </si>
  <si>
    <t>132.184.55.54</t>
  </si>
  <si>
    <t>Jefe directo</t>
  </si>
  <si>
    <t>179.7.102.126</t>
  </si>
  <si>
    <t>181.176.43.23</t>
  </si>
  <si>
    <t>En actos inseguros</t>
  </si>
  <si>
    <t>Cuenta con personal capacitado en todo su estructura</t>
  </si>
  <si>
    <t>En ningún aspecto porque contamos con Buenos orientadores para realizar nuestro trabajo</t>
  </si>
  <si>
    <t>Esta siempre pendiente de las capacitaciones mensuales y nos renuevan los EPPS, nos pagan puntual el sueldo</t>
  </si>
  <si>
    <t>Pagar el sueldo un poco mas del minimo a personas que trabajan 8 horas; no nos consideran en las utilidades como otras empresas, por navidad darnos un vale de consumo o por lo menos un paneton</t>
  </si>
  <si>
    <t>179.7.82.130</t>
  </si>
  <si>
    <t>Es un ambiente tranqilo de trabajo, y eso hoy en día se valora mucho</t>
  </si>
  <si>
    <t>Mejorar en informar a las agencia(personal de caja piura) cuales son nuestras obligaciones y cuales no por q ellos no saben nuestro reglamento y q cosas no podemos realizar</t>
  </si>
  <si>
    <t>132.184.128.117</t>
  </si>
  <si>
    <t>Es bueno porque reconoce el trabajo y esfuerzo ademas de que tiene un buen ambiente laboral</t>
  </si>
  <si>
    <t>181.176.41.186</t>
  </si>
  <si>
    <t>Un buen clima laborable</t>
  </si>
  <si>
    <t>En el personal que labora</t>
  </si>
  <si>
    <t>190.239.77.68</t>
  </si>
  <si>
    <t>Sus pagos puntuales y completos</t>
  </si>
  <si>
    <t>Resolver prontamente las dudas en cuanto a pagos adicionales ( extras ,feriados ,bonos )</t>
  </si>
  <si>
    <t>143.105.157.133</t>
  </si>
  <si>
    <t>es un trabajo de prestigio</t>
  </si>
  <si>
    <t>Nombramiento de su trabajadores</t>
  </si>
  <si>
    <t>179.7.83.75</t>
  </si>
  <si>
    <t>Todo normal</t>
  </si>
  <si>
    <t>179.7.66.178</t>
  </si>
  <si>
    <t>X ejemplo el bullying</t>
  </si>
  <si>
    <t>Primeramente por los pagos que son puntuales te brindan todos los beneficios y hay unidades que están bien manejadas por los supervisores</t>
  </si>
  <si>
    <t>Yo creo que capacitar bien al personal nuevo cuando ingresa no porque no todos cumplen las 8 horas de trabajo y aparte hay compañeros agresivos también</t>
  </si>
  <si>
    <t>190.237.184.253</t>
  </si>
  <si>
    <t>Porque pagan puntual</t>
  </si>
  <si>
    <t>Que. Se preocupe por su personal más  ya sea. En fechas importante</t>
  </si>
  <si>
    <t>138.185.14.227</t>
  </si>
  <si>
    <t>Que no cambien de sede a sus trabajadores y respeten sus contratos del personal</t>
  </si>
  <si>
    <t>190.239.79.215</t>
  </si>
  <si>
    <t>Su puntuqlidad</t>
  </si>
  <si>
    <t>Reconocer más a su personal</t>
  </si>
  <si>
    <t>181.176.99.178</t>
  </si>
  <si>
    <t>Las posibilidades de seguir creciendo</t>
  </si>
  <si>
    <t>un poco mas de reconocimiento al trabajo realizado algun incentivo no estaria mal</t>
  </si>
  <si>
    <t>190.239.76.236</t>
  </si>
  <si>
    <t>Que nos brinda seguridad y confianza</t>
  </si>
  <si>
    <t>Pienso que nada por qué siempre nos apoya cuando lo necesitamos</t>
  </si>
  <si>
    <t>179.7.66.3</t>
  </si>
  <si>
    <t>Bueno aveces si y avece no</t>
  </si>
  <si>
    <t>Pues que no da reconocimientos a sus trabajadores en navidad.</t>
  </si>
  <si>
    <t>132.191.0.135</t>
  </si>
  <si>
    <t>OPORTUNIDAD LABORAL</t>
  </si>
  <si>
    <t>Canastas navideñas</t>
  </si>
  <si>
    <t>Las personas,mis compañeros</t>
  </si>
  <si>
    <t>Que nos consideren</t>
  </si>
  <si>
    <t>181.176.124.48</t>
  </si>
  <si>
    <t>Las capacitaciones son muy buenas</t>
  </si>
  <si>
    <t>Le falta más retenes para cubrir los puestos faltantes</t>
  </si>
  <si>
    <t>132.251.2.212</t>
  </si>
  <si>
    <t>Tambien ouede ser primetos Auxilios</t>
  </si>
  <si>
    <t>Son puntualesven el pago</t>
  </si>
  <si>
    <t>que nos reconozcan el cualquier trabajo que salgamos bien por ejemplo ganamos anivel mundial primer puesto ni felicitaciones o saludos nos hicieron llegar ,reconozcan nuestro esfuerzo ,atentos a dus personal ,</t>
  </si>
  <si>
    <t>132.251.2.180</t>
  </si>
  <si>
    <t>Puntuales en el pago</t>
  </si>
  <si>
    <t>132.191.0.84</t>
  </si>
  <si>
    <t>Que tiene buen ambiente laboral y cumple con los pagos</t>
  </si>
  <si>
    <t>Yo creo que tiene todo te capacitan</t>
  </si>
  <si>
    <t>38.25.53.110</t>
  </si>
  <si>
    <t>Oficinas</t>
  </si>
  <si>
    <t>Extranjero</t>
  </si>
  <si>
    <t>Horarios</t>
  </si>
  <si>
    <t>Cambiar a a encargados</t>
  </si>
  <si>
    <t>181.176.98.208</t>
  </si>
  <si>
    <t>Pagos siempre puntuales</t>
  </si>
  <si>
    <t>La verdad no sabría decir estoy trabajando a gusto con la empresa</t>
  </si>
  <si>
    <t>Las capacitaciones que nos brindan</t>
  </si>
  <si>
    <t>Que me dan la oportunidad  en el trabajo cerca ami casa</t>
  </si>
  <si>
    <t>179.6.136.177</t>
  </si>
  <si>
    <t>Porque hay SERCA micasau</t>
  </si>
  <si>
    <t>Que nos valoran</t>
  </si>
  <si>
    <t>Horario</t>
  </si>
  <si>
    <t>Ver los encargados  que abusan</t>
  </si>
  <si>
    <t>Un buena empresa</t>
  </si>
  <si>
    <t>132.251.1.253</t>
  </si>
  <si>
    <t>Que nos brindan la atención que merecemos</t>
  </si>
  <si>
    <t>En contratar personal k si kieran trabajar</t>
  </si>
  <si>
    <t>Buenas empresa</t>
  </si>
  <si>
    <t>190.239.67.173</t>
  </si>
  <si>
    <t>Porque se procupa con sus trabajadores</t>
  </si>
  <si>
    <t>Que la administración lo tenga más encuentra al operario escuchar sus necesidades</t>
  </si>
  <si>
    <t>38.25.53.137</t>
  </si>
  <si>
    <t>que nos oportunidad  para trabajar</t>
  </si>
  <si>
    <t>como las encargadas</t>
  </si>
  <si>
    <t>A mi lugar trabajo me parece muy bien</t>
  </si>
  <si>
    <t>Mejor ensitivo para personal</t>
  </si>
  <si>
    <t>201.240.25.252</t>
  </si>
  <si>
    <t>Su orden y enseñanzas sus charlas</t>
  </si>
  <si>
    <t>Sobre la organización</t>
  </si>
  <si>
    <t>181.176.118.183</t>
  </si>
  <si>
    <t>Incentivos laborales</t>
  </si>
  <si>
    <t>179.6.75.143</t>
  </si>
  <si>
    <t>179.7.106.51</t>
  </si>
  <si>
    <t>Cumple con los pagos puntual</t>
  </si>
  <si>
    <t>Tener presente al operario siempre,</t>
  </si>
  <si>
    <t>179.6.72.238</t>
  </si>
  <si>
    <t>Muy buena empresa</t>
  </si>
  <si>
    <t>181.176.83.141</t>
  </si>
  <si>
    <t>Capacitar a los líderes q les falta mucho</t>
  </si>
  <si>
    <t>132.251.1.31</t>
  </si>
  <si>
    <t>Considerar a sus trabajadores</t>
  </si>
  <si>
    <t>Cumplimiento en el pago</t>
  </si>
  <si>
    <t>Uniforme a tiempo y canasta para todo el personal</t>
  </si>
  <si>
    <t>Las canastas navideñas jajja</t>
  </si>
  <si>
    <t>El ambiente de la unidad destacada</t>
  </si>
  <si>
    <t>Reconocer más al trabajador</t>
  </si>
  <si>
    <t>132.251.2.127</t>
  </si>
  <si>
    <t>Es muy agotador</t>
  </si>
  <si>
    <t>Que haya menos chamba</t>
  </si>
  <si>
    <t>181.176.81.137</t>
  </si>
  <si>
    <t>No pasa nada con los jefes de medifarma</t>
  </si>
  <si>
    <t>Sus trabajadores</t>
  </si>
  <si>
    <t>190.237.11.104</t>
  </si>
  <si>
    <t>Por k tienen mucha consideración a todos las personas k trabajos con ellos</t>
  </si>
  <si>
    <t>Buenos ninguno específico</t>
  </si>
  <si>
    <t>190.237.11.107</t>
  </si>
  <si>
    <t>Los horarios</t>
  </si>
  <si>
    <t>Realizar mas seguimiemto a sus encargados de sedea</t>
  </si>
  <si>
    <t>179.7.64.78</t>
  </si>
  <si>
    <t>Que tiene todo los implementos y dar un buen trabajo</t>
  </si>
  <si>
    <t>Un ambiente laboral mas unido</t>
  </si>
  <si>
    <t>132.251.1.68</t>
  </si>
  <si>
    <t>El trabajo en equipo y ambiente favorable</t>
  </si>
  <si>
    <t>Falta la canasta para el personal</t>
  </si>
  <si>
    <t>181.176.111.250</t>
  </si>
  <si>
    <t>La paga puntual</t>
  </si>
  <si>
    <t>Pagar los feriados</t>
  </si>
  <si>
    <t>132.251.1.123</t>
  </si>
  <si>
    <t>190.236.2.95</t>
  </si>
  <si>
    <t>Si los pantalones de trabajo  q no de calor    Mucho su tela</t>
  </si>
  <si>
    <t>38.172.130.127</t>
  </si>
  <si>
    <t>Las charlas q tenemos son variados no hace falta.</t>
  </si>
  <si>
    <t>Que son muy puntuales en los pagos</t>
  </si>
  <si>
    <t>Apreciar un poquito más a los trabajadores</t>
  </si>
  <si>
    <t>190.236.3.135</t>
  </si>
  <si>
    <t>Que son sus pagos punguales</t>
  </si>
  <si>
    <t>En los uniformes</t>
  </si>
  <si>
    <t>132.251.1.131</t>
  </si>
  <si>
    <t>La puntualidad de sus pagos</t>
  </si>
  <si>
    <t>Q se mejore en el reclutamiento de personal y beneficios a los mejores colaboradores</t>
  </si>
  <si>
    <t>190.237.235.46</t>
  </si>
  <si>
    <t>Buen servicio</t>
  </si>
  <si>
    <t>Enviar  personal más capacitado</t>
  </si>
  <si>
    <t>200.123.10.226</t>
  </si>
  <si>
    <t>179.7.88.169</t>
  </si>
  <si>
    <t>El ambiente laborar y puntualidad de pago.</t>
  </si>
  <si>
    <t>Ponerse en la posicion del trabajador y entender por las cosas que esta pasando el trabajador.</t>
  </si>
  <si>
    <t>190.239.76.191</t>
  </si>
  <si>
    <t>Canasta navideña para todo operarios .</t>
  </si>
  <si>
    <t>181.176.105.24</t>
  </si>
  <si>
    <t>Si recomendado, son puntuales en depósito de los pagos del personal.</t>
  </si>
  <si>
    <t>Hay muchos aspectos que mejorar, uno de ellos es cumplir con el requerimiento solicitado por el personal</t>
  </si>
  <si>
    <t>190.237.235.20</t>
  </si>
  <si>
    <t>Los  comunicación</t>
  </si>
  <si>
    <t>Las inducción que lo de ssomac</t>
  </si>
  <si>
    <t>Reconocer el valor del trabajo</t>
  </si>
  <si>
    <t>181.174.226.81</t>
  </si>
  <si>
    <t>K es una empresa segura y comprensible ,me siento bien trabajar con limtek.</t>
  </si>
  <si>
    <t>K nos brinde las erramientas adecuadas ,como mapas y mechones buenos para su uso adecuado.</t>
  </si>
  <si>
    <t>179.6.75.118</t>
  </si>
  <si>
    <t>Que son cumplidos con los pagos</t>
  </si>
  <si>
    <t>Escuchar al trabajador, mejorar en brindar buenos materiales e implemesntos correctos,mejorar en brindar buenos uniformes q no sean sintéticos y que capaciten a sus supervisores</t>
  </si>
  <si>
    <t>132.191.2.194</t>
  </si>
  <si>
    <t>Es un lugar donde puedes trabajar agusto</t>
  </si>
  <si>
    <t>Más.capacitaciones</t>
  </si>
  <si>
    <t>138.99.179.63</t>
  </si>
  <si>
    <t>Sii</t>
  </si>
  <si>
    <t>181.174.225.184</t>
  </si>
  <si>
    <t>Que  tenemos apoyo de limtek.</t>
  </si>
  <si>
    <t>Que  reciben personas con experiencia en el trabajo y que no hay muchas faltas</t>
  </si>
  <si>
    <t>132.251.0.210</t>
  </si>
  <si>
    <t>Compañía</t>
  </si>
  <si>
    <t>38.253.189.16</t>
  </si>
  <si>
    <t>Buen ambiente laboral y considero que si recomiendo si desean trabajar</t>
  </si>
  <si>
    <t>Considero que la empresa va por buen caminomino</t>
  </si>
  <si>
    <t>El lugar</t>
  </si>
  <si>
    <t>132.251.0.83</t>
  </si>
  <si>
    <t>Incentivos los fines de año canasta o algo que nos motive de en fiestas de fin de año</t>
  </si>
  <si>
    <t>La Empresa todo bien pero el personal de mi unidad no destaco nada, hay mucho favoritismo</t>
  </si>
  <si>
    <t>Cambiar de personal que hacer que el lugar no agradable gar de trabajo sea un lugar</t>
  </si>
  <si>
    <t>181.176.103.113</t>
  </si>
  <si>
    <t>181.176.90.176</t>
  </si>
  <si>
    <t>Que ai mucha unión de las personas que trabajan en limtek</t>
  </si>
  <si>
    <t>Los almacenes de limpieza</t>
  </si>
  <si>
    <t>Los retenes tenga el mismos compromiso</t>
  </si>
  <si>
    <t>Da oportunidades de trabajo</t>
  </si>
  <si>
    <t>Saber reconocer el esfuerzo de sus trabajadores</t>
  </si>
  <si>
    <t>177.91.250.3</t>
  </si>
  <si>
    <t>En los materiales para poder brindar buen trabajo</t>
  </si>
  <si>
    <t>177.53.152.199</t>
  </si>
  <si>
    <t>Es una empresa solida</t>
  </si>
  <si>
    <t>Pequeños detalles</t>
  </si>
  <si>
    <t>179.6.136.41</t>
  </si>
  <si>
    <t>Trabajo grupal</t>
  </si>
  <si>
    <t>Ya lo considero un buen lugar de trabajo</t>
  </si>
  <si>
    <t>Una empresa solids</t>
  </si>
  <si>
    <t>Nonguna</t>
  </si>
  <si>
    <t>201.234.117.106</t>
  </si>
  <si>
    <t>La supervisora te escucha y toma atención cualquier problemas que tienes</t>
  </si>
  <si>
    <t>Debe poner cámaras en el almacén para que no se roben</t>
  </si>
  <si>
    <t>190.233.58.124</t>
  </si>
  <si>
    <t>Que es una buena empresa que brinda oportunidades de sobresalir adelante</t>
  </si>
  <si>
    <t>Llevar eventos sociales o actividades de participación con todos los trabajadores de toda las unidades</t>
  </si>
  <si>
    <t>179.6.3.83</t>
  </si>
  <si>
    <t>Constancia en seguridad</t>
  </si>
  <si>
    <t>Canastita navideña</t>
  </si>
  <si>
    <t>190.239.67.170</t>
  </si>
  <si>
    <t>181.176.80.104</t>
  </si>
  <si>
    <t>Mejorar los materiales de los uniformes</t>
  </si>
  <si>
    <t>190.233.26.109</t>
  </si>
  <si>
    <t>No opinó</t>
  </si>
  <si>
    <t>El trato a los demás</t>
  </si>
  <si>
    <t>179.7.64.133</t>
  </si>
  <si>
    <t>que nos da un buen servicio y que nos dea algo por navidad</t>
  </si>
  <si>
    <t>Que debe ser más tolerancia  con los trabajadores</t>
  </si>
  <si>
    <t>190.239.71.113</t>
  </si>
  <si>
    <t>Puntualidad en pagosqqe</t>
  </si>
  <si>
    <t>Qe no falten materiales de trabajo y botas</t>
  </si>
  <si>
    <t>190.42.178.178</t>
  </si>
  <si>
    <t>Mejorar el filtro de selección de personal</t>
  </si>
  <si>
    <t>38.25.71.204</t>
  </si>
  <si>
    <t>K es una buena empresa</t>
  </si>
  <si>
    <t>K cuando haiga alguna perdida en nuestro lugar de trabajo k nos dean soluciones y k actuen de inmedito a dar una solución</t>
  </si>
  <si>
    <t>38.25.53.119</t>
  </si>
  <si>
    <t>Bueno en Loq ue respecta al trabajo se preocupan en darnos el material necesario para cumplir con. Lo requerido</t>
  </si>
  <si>
    <t>Que los súpervisores están más con los operarios sobre en el.turno noche porq muy poco se les ve</t>
  </si>
  <si>
    <t>186.163.11.62</t>
  </si>
  <si>
    <t>Su charla   q da  diaria</t>
  </si>
  <si>
    <t>Toda bien</t>
  </si>
  <si>
    <t>201.240.93.91</t>
  </si>
  <si>
    <t>177.53.154.166</t>
  </si>
  <si>
    <t>Comprometedor</t>
  </si>
  <si>
    <t>Prometedor</t>
  </si>
  <si>
    <t>181.224.234.45</t>
  </si>
  <si>
    <t>Que responde como de e de ser es puntual en los pago y nos reconoce como trabajadoras k somos</t>
  </si>
  <si>
    <t>Puntuales en el sueldo</t>
  </si>
  <si>
    <t>38.25.51.44</t>
  </si>
  <si>
    <t>Muy bueno</t>
  </si>
  <si>
    <t>132.157.129.19</t>
  </si>
  <si>
    <t>Exacto</t>
  </si>
  <si>
    <t>Trabajando en equipo</t>
  </si>
  <si>
    <t>179.7.88.191</t>
  </si>
  <si>
    <t>Son ordenados y responsables</t>
  </si>
  <si>
    <t>Mejor isentivo</t>
  </si>
  <si>
    <t>179.6.19.196</t>
  </si>
  <si>
    <t>La seguridad que sé le brinda al personal</t>
  </si>
  <si>
    <t>La capacitación al personal para mejor atención al cliente</t>
  </si>
  <si>
    <t>181.176.113.29</t>
  </si>
  <si>
    <t>Me gusta por q consideran mucho al.personal</t>
  </si>
  <si>
    <t>Q capaciten más a su líderes ya q ellos creen q por tener un puesto pueden tratar mal al.personal</t>
  </si>
  <si>
    <t>Sus capacitación y se preocupa por su personallima</t>
  </si>
  <si>
    <t>Su trato así nosotros</t>
  </si>
  <si>
    <t>Creo ase años atrás  trabaje  era más  considerado con los trabajadores es mi punto de vista  sin molestar</t>
  </si>
  <si>
    <t>Que tenga buenos trabajadores</t>
  </si>
  <si>
    <t>Que se trabaja con responsabilidad</t>
  </si>
  <si>
    <t>Buen ambiente laboral y compañerismo</t>
  </si>
  <si>
    <t>Incentivos al buen trabajador</t>
  </si>
  <si>
    <t>Por el apoyo al sus colaboradores</t>
  </si>
  <si>
    <t>Por el momento estamos conformes</t>
  </si>
  <si>
    <t>El apoyo que brinda ,a los trabajadores  también la constante capacitación de calidad y seguridad en  trabajo.</t>
  </si>
  <si>
    <t>No lo se</t>
  </si>
  <si>
    <t>179.6.6.144</t>
  </si>
  <si>
    <t>132.251.1.154</t>
  </si>
  <si>
    <t>Horas extras</t>
  </si>
  <si>
    <t>ADIDAS PERU S.A.C</t>
  </si>
  <si>
    <t>Hca 134 tienda ADIDAS PERU S.A.C mall plaza</t>
  </si>
  <si>
    <t>ADIDAS PERU S.A.C mall aventura de Bellavista - callao</t>
  </si>
  <si>
    <t>CUSCO - REAL PLAZA(BCS)</t>
  </si>
  <si>
    <t>TRUJILLO - OPEN PLAZA(FO)</t>
  </si>
  <si>
    <t>CAJAMARCA - REAL PLAZA(BCS)</t>
  </si>
  <si>
    <t>INSTITUTO DE CIENCIAS Y HUMANIDADES</t>
  </si>
  <si>
    <t>INSTITUTO DE CIENCIAS Y HUMANIDADES puente piedra</t>
  </si>
  <si>
    <t>Incentivar dar premios aser compartir INSTITUTO DE CIENCIAS Y HUMANIDADES a</t>
  </si>
  <si>
    <t>ADUNI - SJL</t>
  </si>
  <si>
    <t>ADUNI - BREÑA</t>
  </si>
  <si>
    <t>ADUNI - VILLA EL SALVADOR</t>
  </si>
  <si>
    <t>ADUNI - PUENTE  PIEDRA</t>
  </si>
  <si>
    <t>ADUNI - COMAS</t>
  </si>
  <si>
    <t>ADUNI - ATE VITARTE</t>
  </si>
  <si>
    <t>AGENCIA MERCADILLO TARAPOTO CR</t>
  </si>
  <si>
    <t>CEMIF PIURA</t>
  </si>
  <si>
    <t>AGENCIA MERCADO</t>
  </si>
  <si>
    <t>CMAC PIURA S.A.C.</t>
  </si>
  <si>
    <t>AGROVISION PERU S.A.C.</t>
  </si>
  <si>
    <t>OFICINA ESPECIAL SAN JACINTO</t>
  </si>
  <si>
    <t>OFICINA ESPECIAL SAN EDUARDO</t>
  </si>
  <si>
    <t>AGENCIA AGUAS VERDES</t>
  </si>
  <si>
    <t>OFICINA ESPECIAL CORRALES</t>
  </si>
  <si>
    <t>OFICINA ESPECIAL 26 DE OCTUBRE</t>
  </si>
  <si>
    <t xml:space="preserve"> AGENCIA IGNACIO ESCUDERO-EX SULLANA</t>
  </si>
  <si>
    <t>OFICINA ESPECIAL VICE</t>
  </si>
  <si>
    <t>AGENCIA AYABACA-EX SULLANA</t>
  </si>
  <si>
    <t>AGENCIA ZORRITOS</t>
  </si>
  <si>
    <t>AGENCIA LA UNION</t>
  </si>
  <si>
    <t>AGENCIA TUMBES</t>
  </si>
  <si>
    <t>AGENCIA OFICINA PRINCIPAL - AHORROS</t>
  </si>
  <si>
    <t>OFICINA ESPECIAL PALPA</t>
  </si>
  <si>
    <t xml:space="preserve">OFICINA ESPECIAL PACAIPAMPA          </t>
  </si>
  <si>
    <t>OFICINA INFORMATIVA JAYANCA</t>
  </si>
  <si>
    <t>OFICINA ESPECIAL SICUANI</t>
  </si>
  <si>
    <t>AGENCIA PUERTO MALDONADO</t>
  </si>
  <si>
    <t>OFICINA ESPECIAL JULIACA</t>
  </si>
  <si>
    <t>AGENCIA CARAZ-EX SULLANA</t>
  </si>
  <si>
    <t>AGENCIA CAJAMARCA</t>
  </si>
  <si>
    <t>AGENCIA CHANCAY-EX SULLANA</t>
  </si>
  <si>
    <t>OFICINA ESPECIAL CHILCA</t>
  </si>
  <si>
    <t>AGENCIA JAEN</t>
  </si>
  <si>
    <t>AGENCIA RODRIGUEZ DE MENDOZA</t>
  </si>
  <si>
    <t>AGENCIA CASMA-EX SULLANA</t>
  </si>
  <si>
    <t>OFICINA ESPECIAL PEDRO RUIZ</t>
  </si>
  <si>
    <t>AGENCIA PACASMAYO</t>
  </si>
  <si>
    <t>OFICINA ESPECIAL SUPE-EX SULLANA</t>
  </si>
  <si>
    <t>OFICINA ESPECIAL HUARAL</t>
  </si>
  <si>
    <t>AGENCIA BARRANCA-EX SULLANA</t>
  </si>
  <si>
    <t>AGENCIA MOYOBAMBA</t>
  </si>
  <si>
    <t>AGENCIA BAGUA GRANDE</t>
  </si>
  <si>
    <t>AGENCIA MOTUPE</t>
  </si>
  <si>
    <t>AGENCIA CHICLAYO-EX SULLANA</t>
  </si>
  <si>
    <t>AGENCIA CAYALTI</t>
  </si>
  <si>
    <t>AGENCIA SORITOR</t>
  </si>
  <si>
    <t>AGENCIA LAMBAYEQUE</t>
  </si>
  <si>
    <t>OFICINA INFORMATIVA MORROPE</t>
  </si>
  <si>
    <t>AGENCIA CHICLAYO</t>
  </si>
  <si>
    <t>AGENCIA BAGUA</t>
  </si>
  <si>
    <t>OFICINA INFORMATIVA MORALES</t>
  </si>
  <si>
    <t>OFICINA ESPECIAL FERREÑAFE</t>
  </si>
  <si>
    <t>OFICINA ESPECIAL TACABAMBA</t>
  </si>
  <si>
    <t>OFICINA ESPECIAL BAÑOS DEL INCA</t>
  </si>
  <si>
    <t>OFICINA ESPECIAL SOCOTA</t>
  </si>
  <si>
    <t>AGENCIA REAL PLAZA</t>
  </si>
  <si>
    <t>AGENCIA YURIMAGUAS</t>
  </si>
  <si>
    <t>OFICINA ESPECIAL NUEVO PROGRESO</t>
  </si>
  <si>
    <t>AGENCIA CHONGOYAPE</t>
  </si>
  <si>
    <t>AGENCIA CELENDIN</t>
  </si>
  <si>
    <t>AGENCIA SAN MARTIN CR</t>
  </si>
  <si>
    <t>OFICINA INFORMATIVA CHONTAPACCHA</t>
  </si>
  <si>
    <t>AGENCIA CHACHAPOYAS</t>
  </si>
  <si>
    <t>OFICINA ESPECIAL MONSEFU</t>
  </si>
  <si>
    <t>EX BCO HIPOTECARIO PISO 4, 5 Y 9</t>
  </si>
  <si>
    <t>OFICINA ESPECIAL CONCEPCION</t>
  </si>
  <si>
    <t>AGENCIA AGUAYTIA</t>
  </si>
  <si>
    <t>AGENCIA PUCALLPA</t>
  </si>
  <si>
    <t>AGENCIA CASTILLA</t>
  </si>
  <si>
    <t>OFICINA ESPECIAL SANTA ROSA - TACNA</t>
  </si>
  <si>
    <t>AGENCIA CHEPEN</t>
  </si>
  <si>
    <t>AGENCIA SATIPO</t>
  </si>
  <si>
    <t>AGENCIA SAN SEBASTIAN</t>
  </si>
  <si>
    <t>AGENCIA CATACAOS</t>
  </si>
  <si>
    <t>OFICINA ESPECIAL CABALLO COCHA</t>
  </si>
  <si>
    <t>OFICINA ESPECIAL LA ALBORADA</t>
  </si>
  <si>
    <t>AGENCIA WANCHAQ</t>
  </si>
  <si>
    <t>OFICINA ESPECIAL LIRCAY</t>
  </si>
  <si>
    <t>OFICINA ESPECIAL PUNCHANA</t>
  </si>
  <si>
    <t>AGENCIA TINGO MARIA</t>
  </si>
  <si>
    <t>AGENCIA CHUPACA</t>
  </si>
  <si>
    <t>OFICINA ESPECIAL CONSTITUCION</t>
  </si>
  <si>
    <t>AGENCIA LA HERMELINDA</t>
  </si>
  <si>
    <t>OFICINA ESPECIAL FRIAS</t>
  </si>
  <si>
    <t>OFICINA ESPECIAL LA VICTORIA</t>
  </si>
  <si>
    <t>OFICINA INFORMATIVA MOCUPE</t>
  </si>
  <si>
    <t>OFICINA ESPECIAL AREQUIPA NORTE</t>
  </si>
  <si>
    <t>AGENCIA LA NEGRITA</t>
  </si>
  <si>
    <t>OFICINA ESPECIAL MATAPALO</t>
  </si>
  <si>
    <t>OFICINA ESPECIAL CIRCUNVALACION</t>
  </si>
  <si>
    <t>AGENCIA CHULUCANAS</t>
  </si>
  <si>
    <t>ARCHIVO PIURA</t>
  </si>
  <si>
    <t>AGENCIA HUARMACA</t>
  </si>
  <si>
    <t>OFICINA ESPECIAL MIRAFLORES CASTILLA</t>
  </si>
  <si>
    <t>AGENCIA CANCHAQUE</t>
  </si>
  <si>
    <t>OFICINA ESPECIAL CHALACO</t>
  </si>
  <si>
    <t>OFICINA ESPECIAL LIBERTAD</t>
  </si>
  <si>
    <t>AGENCIA SANCHEZ CERRO</t>
  </si>
  <si>
    <t>AGENCIA MORROPON</t>
  </si>
  <si>
    <t>AGENCIA TALARA</t>
  </si>
  <si>
    <t>AGENCIA TAMBOGRANDE</t>
  </si>
  <si>
    <t>OFICINA ESPECIAL UCHIZA</t>
  </si>
  <si>
    <t>OFICINA ESPECIAL PEDREGAL</t>
  </si>
  <si>
    <t>INSTITUTO CULTURAL PERUANO NORTEAMERICANO</t>
  </si>
  <si>
    <t>SEDE SURCO</t>
  </si>
  <si>
    <t>SEDE MIRAFLORES</t>
  </si>
  <si>
    <t>IQUITOS</t>
  </si>
  <si>
    <t>SEDE LA MOLINA</t>
  </si>
  <si>
    <t>SEDE OFI. CENTRAL</t>
  </si>
  <si>
    <t>SEDE SAN MIGUEL</t>
  </si>
  <si>
    <t>SEDE LIMA NORTE - SATELITE</t>
  </si>
  <si>
    <t>SEDE LIMA CENTRO</t>
  </si>
  <si>
    <t>MEDIFARMA SA</t>
  </si>
  <si>
    <t>SEDE CERCADO DE LIMA</t>
  </si>
  <si>
    <t>UNIVERSIDAD TECNOLOGICA DEL PERU S.A.C. O UTP S.A.C.</t>
  </si>
  <si>
    <t>SEDE SJL I</t>
  </si>
  <si>
    <t>CHIMBOTE</t>
  </si>
  <si>
    <t>PUCALLPA</t>
  </si>
  <si>
    <t>SEDE LIMA SUR</t>
  </si>
  <si>
    <t>SEDE LIMA NORTE - TORRE 1</t>
  </si>
  <si>
    <t>SEDE CENTRAL</t>
  </si>
  <si>
    <t>SEDE TORRE 2</t>
  </si>
  <si>
    <t>SEDE ATE</t>
  </si>
  <si>
    <t>SEDE OFICINAS ADMINISTRATIVAS</t>
  </si>
  <si>
    <t>SEDE SALAVERRY - EPG UTP</t>
  </si>
  <si>
    <t>SEDE PACIFICO</t>
  </si>
  <si>
    <t>TRUJILLO</t>
  </si>
  <si>
    <t>WEWORK PERU S.R.L.</t>
  </si>
  <si>
    <t>SEDE LARCO</t>
  </si>
  <si>
    <t>SEDE ANDRES REYES</t>
  </si>
  <si>
    <t>SEDE JORGE BASADRE</t>
  </si>
  <si>
    <t>LIMTEK SERVICIOS INTEGRALES S.A</t>
  </si>
  <si>
    <t>ALICORP S.A.A.</t>
  </si>
  <si>
    <t>PERUFARMA S A</t>
  </si>
  <si>
    <t>LUZ DEL SUR S.A.A.</t>
  </si>
  <si>
    <t>SEDE CHACARILLA</t>
  </si>
  <si>
    <t>SEDE ATE VITARTE</t>
  </si>
  <si>
    <t>SUC. MIRAFLORES</t>
  </si>
  <si>
    <t>TORRE SIGLO XXI S.I</t>
  </si>
  <si>
    <t>SUC. CHORRILLOS</t>
  </si>
  <si>
    <t>SEDE CAÑETE</t>
  </si>
  <si>
    <t>SEDE PEDRO MIOTTA</t>
  </si>
  <si>
    <t>OTROS</t>
  </si>
  <si>
    <t>AGENCIA ANDAHUAYLAS</t>
  </si>
  <si>
    <t>AREQUIPA GOLF CLUB</t>
  </si>
  <si>
    <t>SOCABAYA (AREQUIPA)</t>
  </si>
  <si>
    <t>ASOCIACION PERUANA DE LA IGLESIA DE JESUCRISTO DE LOS SANTOS DE LOS ULTIMOS DIAS</t>
  </si>
  <si>
    <t>UNIVERSIDAD AUTONOMA DEL PERU S.A.C.</t>
  </si>
  <si>
    <t>SEDE VILLA EL SALVADOR</t>
  </si>
  <si>
    <t>SEDE TORRE REAL 2</t>
  </si>
  <si>
    <t>PANIFICADORA BIMBO DEL PERU S.A</t>
  </si>
  <si>
    <t>BIOMEDICAL LOGISTICS SAC</t>
  </si>
  <si>
    <t>SURQUILLO</t>
  </si>
  <si>
    <t>HERMES TRANSPORTES BLINDADOS S A</t>
  </si>
  <si>
    <t>BN - OF. ESP. MUN. DE LAJAS</t>
  </si>
  <si>
    <t>CC LA RAMBLA BRASIL</t>
  </si>
  <si>
    <t>CORPORACION PESQUERA INCA S.A.C.</t>
  </si>
  <si>
    <t>CABILDO METROPOLITANO DE LIMA</t>
  </si>
  <si>
    <t>EL CABILDO</t>
  </si>
  <si>
    <t>SERVICIOS DE CALL CENTER DEL PERU S.A.</t>
  </si>
  <si>
    <t>SEDE CHOTA</t>
  </si>
  <si>
    <t xml:space="preserve">SEDE CENTRO CIVICO </t>
  </si>
  <si>
    <t>IRON MOUNTAIN PERU S.A</t>
  </si>
  <si>
    <t>SEDE LURIN</t>
  </si>
  <si>
    <t>MITSUI AUTOMOTRIZ S A</t>
  </si>
  <si>
    <t>LIMA GAS S A</t>
  </si>
  <si>
    <t>TERMINALES DEL PERÚ</t>
  </si>
  <si>
    <t>H &amp; M HENNES &amp; MAURITZ S.A.C.</t>
  </si>
  <si>
    <t>LA MOLINA</t>
  </si>
  <si>
    <t>SEDE LARCOMAR</t>
  </si>
  <si>
    <t>SEDE PRIMAVERA</t>
  </si>
  <si>
    <t>SEDE JOCKEY PLAZA</t>
  </si>
  <si>
    <t>SEDE PLAZA NORTE</t>
  </si>
  <si>
    <t>SEDE CENTRO CIVICO</t>
  </si>
  <si>
    <t>SEDE MOLINA</t>
  </si>
  <si>
    <t>CETCO S.A.</t>
  </si>
  <si>
    <t>GERENCIA (TRUJILLO)</t>
  </si>
  <si>
    <t>YAMAHA MOTOR DEL PERU S.A.</t>
  </si>
  <si>
    <t>ASOCIACION EDUCACIONAL ANTONIO RAIMONDI</t>
  </si>
  <si>
    <t>SEDE LINCE</t>
  </si>
  <si>
    <t>INSTITUCIÓN EDUCATIVA PRIVADA SAN JOSÉ DE AREQUIPA - I.E.P. SAN JOSE AREQUIPA</t>
  </si>
  <si>
    <t>CONTRANS S.A.C.</t>
  </si>
  <si>
    <t>CALLAO</t>
  </si>
  <si>
    <t>SEDE BAYOVAR</t>
  </si>
  <si>
    <t>SEDE SUPE</t>
  </si>
  <si>
    <t>SEDE CHIMBOTE FLOTA</t>
  </si>
  <si>
    <t>SEDE CHIMBOTE NORTE - PLANTA</t>
  </si>
  <si>
    <t>SEDE LA VICTORIA - OFICINA ARCHIVO</t>
  </si>
  <si>
    <t>SEDE CHICAMA SUR</t>
  </si>
  <si>
    <t>CORPORACION PRIMAX S.A.</t>
  </si>
  <si>
    <t>NATURA COSMETICOS S.A.</t>
  </si>
  <si>
    <t>LURIN</t>
  </si>
  <si>
    <t>LECHE GLORIA SOCIEDAD ANONIMA - GLORIA S.A.</t>
  </si>
  <si>
    <t>SEDE MALL DEL SUR</t>
  </si>
  <si>
    <t>AREQUIPA CAYMA</t>
  </si>
  <si>
    <t>AREQUIPA PORONGOCHE</t>
  </si>
  <si>
    <t>BN - OF. MACMYPE CAJAMARCA</t>
  </si>
  <si>
    <t>BN - OF. ESP. MTC - CERRO DE PASCO</t>
  </si>
  <si>
    <t>BN - OF. ESP. HUACCANA - ANDAHUAYLAS - APURIMAC</t>
  </si>
  <si>
    <t>BN - OF. MACMYPE PIURA</t>
  </si>
  <si>
    <t>COMPAÑIA MINERA ZAFRANAL S.A.C.</t>
  </si>
  <si>
    <t>OIP HUANCARQUI</t>
  </si>
  <si>
    <t>ALMACEN RIO SECO</t>
  </si>
  <si>
    <t>OIP CORIRE</t>
  </si>
  <si>
    <t>CAMPAMENTO ZAFRANAL</t>
  </si>
  <si>
    <t>CAMPAMENTO GEOLOGIA</t>
  </si>
  <si>
    <t>LIMA OFICINA</t>
  </si>
  <si>
    <t>DESARROLLO INMOBILIARIO MARVERDE S.A.C</t>
  </si>
  <si>
    <t>SEDE LIMA</t>
  </si>
  <si>
    <t>PESQUERA DIAMANTE S.A.</t>
  </si>
  <si>
    <t>PLANTA SUPE</t>
  </si>
  <si>
    <t>PLANTA MALABRIGO</t>
  </si>
  <si>
    <t>DINET S.A.</t>
  </si>
  <si>
    <t>TEJIDOS SAN JACINTO S.A.</t>
  </si>
  <si>
    <t>SEDE SANTA ANITA PLANTA</t>
  </si>
  <si>
    <t>GRUPO PATIO PERÚ SOCIEDAD ANONIMA CERRADA - GRUPO PATIO PERÚ S.A.C.</t>
  </si>
  <si>
    <t>BOULEVARD PUNTA MAR</t>
  </si>
  <si>
    <t>GILAT NETWORKS PERU S.A.</t>
  </si>
  <si>
    <t>TAWA CONSULTING S.A.C.</t>
  </si>
  <si>
    <t>QUIÑONEZ</t>
  </si>
  <si>
    <t>MALL PLAZA COMAS(BCS)</t>
  </si>
  <si>
    <t>HONDA DEL PERU S.A</t>
  </si>
  <si>
    <t>OFICINA SAN ISIDRO FULL TIME</t>
  </si>
  <si>
    <t>INVERSIONES SAN BORJA S. A.</t>
  </si>
  <si>
    <t>LA RAMBLA SAN BORJA</t>
  </si>
  <si>
    <t>JUNTA DE PROPIETARIOS CENTRO CAMINO REAL</t>
  </si>
  <si>
    <t>SEDE SAN ISIDRO</t>
  </si>
  <si>
    <t>JULIACA</t>
  </si>
  <si>
    <t>SEDE SAN ISIDRO - PISO 13</t>
  </si>
  <si>
    <t>LOPESA INDUSTRIAL S.A.</t>
  </si>
  <si>
    <t>SEDE LA VICTORIA</t>
  </si>
  <si>
    <t>HUANCAYO - OFICINA</t>
  </si>
  <si>
    <t>PRODUCTOS DE ACERO CASSADO SA PRODAC SA</t>
  </si>
  <si>
    <t>MALL DEL SUR(BCS)</t>
  </si>
  <si>
    <t>SEDE CANADA</t>
  </si>
  <si>
    <t>MINERA LAS BAMBAS S.A.</t>
  </si>
  <si>
    <t>OFICINA ESPECIAL PICOTA</t>
  </si>
  <si>
    <t>OPERACIONES PRIME SOCIEDAD ANONIMA - OPERACIONES PRIME S.A.</t>
  </si>
  <si>
    <t>MITSUBISHI PERU S A</t>
  </si>
  <si>
    <t xml:space="preserve">VENEZUELA 02 - SHICK </t>
  </si>
  <si>
    <t>PAPELERA DEL SUR S A</t>
  </si>
  <si>
    <t>SEDE CHINCHA</t>
  </si>
  <si>
    <t>PERUANA DE MOLDEADOS S.A.C.</t>
  </si>
  <si>
    <t>ADMINISTRACION INMOBILIARIA SOCIEDAD ANONIMA CERRADA</t>
  </si>
  <si>
    <t xml:space="preserve">C.C PLAZA EL SOL HUACHO </t>
  </si>
  <si>
    <t>OFICINA YANAHUARA</t>
  </si>
  <si>
    <t>PRECISION PERU S.A.</t>
  </si>
  <si>
    <t>PROMOTORA GENESIS S.A.C.</t>
  </si>
  <si>
    <t>SK RENTAL S.A.C.</t>
  </si>
  <si>
    <t>SANDVIK DEL PERÚ S.A</t>
  </si>
  <si>
    <t>HUACHIPA</t>
  </si>
  <si>
    <t>SEDE ATE PLANTA</t>
  </si>
  <si>
    <t>TRANSMERIDIAN S.A.C.</t>
  </si>
  <si>
    <t>SEDE SAN ISIDRO(TRANSMERIDIAN)</t>
  </si>
  <si>
    <t>URBANOVA INMOBILIARIA S.A.C</t>
  </si>
  <si>
    <t>ASOCIACION CIVIL UNIVERSIDAD DE CIENCIAS Y HUMANIDADES UCH</t>
  </si>
  <si>
    <t>SEDE LOS OLIVOS</t>
  </si>
  <si>
    <t>UNIQUE S.A.</t>
  </si>
  <si>
    <t>SEDE COSMETICOS</t>
  </si>
  <si>
    <t>SEDE SURQUILLO</t>
  </si>
  <si>
    <t>WESCO ANIXTER PERU S.A.C.</t>
  </si>
  <si>
    <t>SEDE DUEÑAS</t>
  </si>
  <si>
    <t>¿En qué unidad estás destacado?</t>
  </si>
  <si>
    <t>¿En qué cliente estás destacado?</t>
  </si>
  <si>
    <t>Valor_Satisfacción</t>
  </si>
  <si>
    <t>Valor_Ambiente_Trabajo</t>
  </si>
  <si>
    <t>Valor_Motivación</t>
  </si>
  <si>
    <t>Valor_Soporte_Jefe</t>
  </si>
  <si>
    <t>Valor_Trabajo_Equipo</t>
  </si>
  <si>
    <t>Valor_Reconocimiento</t>
  </si>
  <si>
    <t>Valor_Comunicación_Jefe</t>
  </si>
  <si>
    <t>Otro (especifique)</t>
  </si>
  <si>
    <t>Una empresa  puntual en sus pagos</t>
  </si>
  <si>
    <t>Es una empresa que brindA seguridad a sus trabajadores</t>
  </si>
  <si>
    <t>Por su  puntualidad y capacitación</t>
  </si>
  <si>
    <t>es un lugar para trabajar</t>
  </si>
  <si>
    <t>el Ambiente Laboral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</si>
</sst>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4" x14ac:knownFonts="1">
    <font>
      <sz val="11"/>
      <color theme="1"/>
      <name val="Calibri"/>
      <family val="2"/>
      <scheme val="minor"/>
    </font>
    <font>
      <sz val="11"/>
      <color rgb="FF333333"/>
      <name val="Arial"/>
      <family val="2"/>
    </font>
    <font>
      <sz val="9"/>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164" fontId="0" fillId="0" borderId="0" xfId="0" applyNumberFormat="1"/>
    <xf numFmtId="0" fontId="1" fillId="2" borderId="1" xfId="0" applyFont="1" applyFill="1" applyBorder="1"/>
    <xf numFmtId="0" fontId="2" fillId="0" borderId="2" xfId="0" applyFont="1" applyBorder="1"/>
    <xf numFmtId="0" fontId="3" fillId="2" borderId="1" xfId="0" applyFont="1" applyFill="1" applyBorder="1"/>
  </cellXfs>
  <cellStyles count="1">
    <cellStyle name="Normal" xfId="0" builtinId="0"/>
  </cellStyles>
  <dxfs count="12">
    <dxf>
      <font>
        <b val="0"/>
        <i val="0"/>
        <strike val="0"/>
        <condense val="0"/>
        <extend val="0"/>
        <outline val="0"/>
        <shadow val="0"/>
        <u val="none"/>
        <vertAlign val="baseline"/>
        <sz val="9"/>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ss"/>
    </dxf>
    <dxf>
      <numFmt numFmtId="164" formatCode="yyyy\-mm\-dd\ hh:mm:ss"/>
    </dxf>
    <dxf>
      <font>
        <b val="0"/>
        <i val="0"/>
        <strike val="0"/>
        <condense val="0"/>
        <extend val="0"/>
        <outline val="0"/>
        <shadow val="0"/>
        <u val="none"/>
        <vertAlign val="baseline"/>
        <sz val="11"/>
        <color rgb="FF333333"/>
        <name val="Arial"/>
        <family val="2"/>
        <scheme val="none"/>
      </font>
      <fill>
        <patternFill patternType="solid">
          <fgColor indexed="64"/>
          <bgColor rgb="FFEAEAE8"/>
        </patternFill>
      </fill>
      <border diagonalUp="0" diagonalDown="0" outline="0">
        <left style="thin">
          <color rgb="FFA6A6A6"/>
        </left>
        <right style="thin">
          <color rgb="FFA6A6A6"/>
        </right>
        <top/>
        <bottom/>
      </border>
    </dxf>
  </dxfs>
  <tableStyles count="1" defaultTableStyle="TableStyleMedium2" defaultPivotStyle="PivotStyleLight16">
    <tableStyle name="Invisible" pivot="0" table="0" count="0" xr9:uid="{6771CA2A-5F48-477F-9344-934802D3FE3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BDD60-C3D0-4B3F-99CE-6D26161993BA}" name="tbl_encuesta" displayName="tbl_encuesta" ref="A1:AE1467" totalsRowShown="0" headerRowDxfId="11">
  <autoFilter ref="A1:AE1467" xr:uid="{00000000-0001-0000-0000-000000000000}"/>
  <tableColumns count="31">
    <tableColumn id="1" xr3:uid="{908B2E26-CB6A-4951-B9F6-AF0ED3047A70}" name="respondent_id"/>
    <tableColumn id="2" xr3:uid="{B700DA07-F0C5-4944-8ADA-B79872A00A84}" name="collector_id"/>
    <tableColumn id="3" xr3:uid="{A6BF4320-4CB9-4FEE-82D4-75126E4A6F9B}" name="date_created" dataDxfId="10"/>
    <tableColumn id="4" xr3:uid="{C7B013E8-8AE0-4B20-BB41-A9087B26E634}" name="date_modified" dataDxfId="9"/>
    <tableColumn id="5" xr3:uid="{7E244D8B-593F-4B91-99EA-ECEBFF69BCDC}" name="ip_address"/>
    <tableColumn id="6" xr3:uid="{8731835A-5524-41DF-8B4E-6F1BC56E6993}" name="Me siento a gusto con el ambiente de trabajo que se genera en mi equipo."/>
    <tableColumn id="26" xr3:uid="{C66E3B19-7E5C-4993-8591-B9D62A225473}" name="Valor_Ambiente_Trabajo" dataDxfId="8">
      <calculatedColumnFormula>+_xlfn.XLOOKUP(tbl_encuesta[[#This Row],[Me siento a gusto con el ambiente de trabajo que se genera en mi equipo.]],#REF!,#REF!)</calculatedColumnFormula>
    </tableColumn>
    <tableColumn id="7" xr3:uid="{10714533-0D4D-4FD4-9415-691B2C303BD0}" name="Me siento motivado a dar lo mejor de mí y hacer un buen trabajo"/>
    <tableColumn id="27" xr3:uid="{18DC661A-B1EB-4A2D-BC61-FCB2A1B8DF68}" name="Valor_Motivación" dataDxfId="7">
      <calculatedColumnFormula>+_xlfn.XLOOKUP(tbl_encuesta[[#This Row],[Me siento motivado a dar lo mejor de mí y hacer un buen trabajo]],#REF!,#REF!)</calculatedColumnFormula>
    </tableColumn>
    <tableColumn id="8" xr3:uid="{407A3396-FD70-4CFD-88CF-322C81E7B6D0}" name="Mi supervisor o jefe directo me otorga el soporte que necesito para afrontar cualquier problema que afecte mi trabajo"/>
    <tableColumn id="28" xr3:uid="{79FA19AF-8AC3-468E-85DD-A606655ADD90}" name="Valor_Soporte_Jefe" dataDxfId="6">
      <calculatedColumnFormula>+_xlfn.XLOOKUP(tbl_encuesta[[#This Row],[Mi supervisor o jefe directo me otorga el soporte que necesito para afrontar cualquier problema que afecte mi trabajo]],#REF!,#REF!)</calculatedColumnFormula>
    </tableColumn>
    <tableColumn id="9" xr3:uid="{40162807-7742-4399-945C-88492D2A9DE8}" name="Mi supervisor o jefe directo fomenta que nos apoyemos entre todos en el equipo"/>
    <tableColumn id="29" xr3:uid="{CF77F808-AAFE-45CC-A264-FD40A82C567D}" name="Valor_Trabajo_Equipo" dataDxfId="5">
      <calculatedColumnFormula>+_xlfn.XLOOKUP(tbl_encuesta[[#This Row],[Mi supervisor o jefe directo fomenta que nos apoyemos entre todos en el equipo]],#REF!,#REF!)</calculatedColumnFormula>
    </tableColumn>
    <tableColumn id="10" xr3:uid="{49C0F8D0-C623-4F3F-84A1-106EE838AE99}" name="Siento que mi trabajo es reconocido por mi supervisor o jefe directo."/>
    <tableColumn id="30" xr3:uid="{12750556-ADFB-46CE-9019-DEFE12A42564}" name="Valor_Reconocimiento" dataDxfId="4">
      <calculatedColumnFormula>+_xlfn.XLOOKUP(tbl_encuesta[[#This Row],[Siento que mi trabajo es reconocido por mi supervisor o jefe directo.]],#REF!,#REF!)</calculatedColumnFormula>
    </tableColumn>
    <tableColumn id="11" xr3:uid="{21F6F891-BC1A-4FA6-AC02-CAFADD9A4D1F}" name="Mi supervisor o jefe directo nos brinda charlas de 5 minutos y comunica las novedades relevantes a mi puesto de trabajo"/>
    <tableColumn id="31" xr3:uid="{6496215B-D292-4C26-8C42-4D2EF232E336}" name="Valor_Comunicación_Jefe" dataDxfId="3">
      <calculatedColumnFormula xml:space="preserve">
_xlfn.XLOOKUP(
tbl_encuesta[[#This Row],[Mi supervisor o jefe directo nos brinda charlas de 5 minutos y comunica las novedades relevantes a mi puesto de trabajo]],#REF!,#REF!
)</calculatedColumnFormula>
    </tableColumn>
    <tableColumn id="12" xr3:uid="{4C21F2EF-8C0F-4AB2-817C-D66ABF6D8E54}" name="Seguridad y Salud en el Trabajo"/>
    <tableColumn id="13" xr3:uid="{A5C49D08-EF6D-4E8B-AC0C-08566E8EA536}" name="Uso de maquinarias y equipos"/>
    <tableColumn id="14" xr3:uid="{9E5EFD3E-BBEC-47B4-B894-AF6E3E71AC0A}" name="Uso de insumos"/>
    <tableColumn id="15" xr3:uid="{303B407F-BCF3-4F39-A856-6C4AF9FC3DE1}" name="Atención al cliente"/>
    <tableColumn id="16" xr3:uid="{2212AE62-E577-4E8D-9392-721D1F83F41B}" name="Otro (especifique)"/>
    <tableColumn id="17" xr3:uid="{B37C5D4E-A1D2-44F8-B77A-91144A133559}" name="¿Usas whatsapp en tu vida diaria?"/>
    <tableColumn id="18" xr3:uid="{D4DEBE37-2D16-43CC-9903-9AF877907F93}" name="Considero a Limtek como un buen lugar para trabajar"/>
    <tableColumn id="25" xr3:uid="{21C79F1F-702D-45FB-B916-D7D9738EA995}" name="Valor_Satisfacción" dataDxfId="2">
      <calculatedColumnFormula>+_xlfn.XLOOKUP(tbl_encuesta[[#This Row],[Considero a Limtek como un buen lugar para trabajar]],#REF!,#REF!)</calculatedColumnFormula>
    </tableColumn>
    <tableColumn id="19" xr3:uid="{DE458061-F177-484C-8814-625B42A7E1B5}" name="¿Qué destacas de Limtek al considerarlo un buen lugar para trabajar?"/>
    <tableColumn id="20" xr3:uid="{55DAFAA0-7E5C-4067-BEDB-0E53301F1F2E}" name="¿Qué tendría que mejorar Limtek para que lo consideres un buen lugar para trabajar?"/>
    <tableColumn id="21" xr3:uid="{E5429FA4-9C05-4E73-947B-186A75381145}" name="¿En qué departamento trabajas?"/>
    <tableColumn id="22" xr3:uid="{8886E674-D7E9-4D1D-BF91-D77373E49081}" name="¿En qué cliente estás destacado?" dataDxfId="1"/>
    <tableColumn id="23" xr3:uid="{30A08419-67A0-4581-87A6-E5D8A756F3A8}" name="¿En qué unidad estás destacado?" dataDxfId="0"/>
    <tableColumn id="24" xr3:uid="{81F9621C-FA8B-4F10-A9FC-4AD6BB4A205F}" name="¿Cuánto tiempo llevas trabajando en Limtek?"/>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67"/>
  <sheetViews>
    <sheetView tabSelected="1" workbookViewId="0">
      <selection activeCell="C27" sqref="C27"/>
    </sheetView>
  </sheetViews>
  <sheetFormatPr baseColWidth="10" defaultColWidth="8.85546875" defaultRowHeight="15" x14ac:dyDescent="0.25"/>
  <cols>
    <col min="1" max="1" width="18" bestFit="1" customWidth="1"/>
    <col min="2" max="2" width="15.140625" bestFit="1" customWidth="1"/>
    <col min="3" max="4" width="18.140625" bestFit="1" customWidth="1"/>
    <col min="5" max="5" width="14.7109375" bestFit="1" customWidth="1"/>
    <col min="6" max="6" width="79.5703125" bestFit="1" customWidth="1"/>
    <col min="7" max="7" width="28.140625" bestFit="1" customWidth="1"/>
    <col min="8" max="8" width="69.140625" bestFit="1" customWidth="1"/>
    <col min="9" max="9" width="20.85546875" bestFit="1" customWidth="1"/>
    <col min="10" max="10" width="124.85546875" bestFit="1" customWidth="1"/>
    <col min="11" max="11" width="23.5703125" bestFit="1" customWidth="1"/>
    <col min="12" max="12" width="86.85546875" bestFit="1" customWidth="1"/>
    <col min="13" max="13" width="25.85546875" bestFit="1" customWidth="1"/>
    <col min="14" max="14" width="74.28515625" bestFit="1" customWidth="1"/>
    <col min="15" max="15" width="26.28515625" bestFit="1" customWidth="1"/>
    <col min="16" max="16" width="128.28515625" bestFit="1" customWidth="1"/>
    <col min="17" max="17" width="29.85546875" bestFit="1" customWidth="1"/>
    <col min="18" max="18" width="36" bestFit="1" customWidth="1"/>
    <col min="19" max="19" width="34" bestFit="1" customWidth="1"/>
    <col min="20" max="20" width="19.5703125" bestFit="1" customWidth="1"/>
    <col min="21" max="21" width="22" bestFit="1" customWidth="1"/>
    <col min="22" max="22" width="27" customWidth="1"/>
    <col min="23" max="23" width="38.28515625" bestFit="1" customWidth="1"/>
    <col min="24" max="24" width="57.85546875" bestFit="1" customWidth="1"/>
    <col min="25" max="25" width="22" bestFit="1" customWidth="1"/>
    <col min="26" max="26" width="112.28515625" customWidth="1"/>
    <col min="27" max="27" width="255.7109375" bestFit="1" customWidth="1"/>
    <col min="28" max="28" width="36.7109375" bestFit="1" customWidth="1"/>
    <col min="29" max="30" width="70" bestFit="1" customWidth="1"/>
    <col min="31" max="31" width="49.85546875" bestFit="1" customWidth="1"/>
  </cols>
  <sheetData>
    <row r="1" spans="1:31" s="2" customFormat="1" x14ac:dyDescent="0.25">
      <c r="A1" s="2" t="s">
        <v>0</v>
      </c>
      <c r="B1" s="2" t="s">
        <v>1</v>
      </c>
      <c r="C1" s="2" t="s">
        <v>2</v>
      </c>
      <c r="D1" s="2" t="s">
        <v>3</v>
      </c>
      <c r="E1" s="2" t="s">
        <v>4</v>
      </c>
      <c r="F1" s="2" t="s">
        <v>5</v>
      </c>
      <c r="G1" s="2" t="s">
        <v>3867</v>
      </c>
      <c r="H1" s="2" t="s">
        <v>6</v>
      </c>
      <c r="I1" s="2" t="s">
        <v>3868</v>
      </c>
      <c r="J1" s="2" t="s">
        <v>7</v>
      </c>
      <c r="K1" s="2" t="s">
        <v>3869</v>
      </c>
      <c r="L1" s="2" t="s">
        <v>8</v>
      </c>
      <c r="M1" s="2" t="s">
        <v>3870</v>
      </c>
      <c r="N1" s="2" t="s">
        <v>9</v>
      </c>
      <c r="O1" s="2" t="s">
        <v>3871</v>
      </c>
      <c r="P1" s="2" t="s">
        <v>10</v>
      </c>
      <c r="Q1" s="2" t="s">
        <v>3872</v>
      </c>
      <c r="R1" s="2" t="s">
        <v>17</v>
      </c>
      <c r="S1" s="2" t="s">
        <v>18</v>
      </c>
      <c r="T1" s="2" t="s">
        <v>19</v>
      </c>
      <c r="U1" s="2" t="s">
        <v>20</v>
      </c>
      <c r="V1" s="2" t="s">
        <v>3873</v>
      </c>
      <c r="W1" s="2" t="s">
        <v>11</v>
      </c>
      <c r="X1" s="2" t="s">
        <v>12</v>
      </c>
      <c r="Y1" s="2" t="s">
        <v>3866</v>
      </c>
      <c r="Z1" s="2" t="s">
        <v>13</v>
      </c>
      <c r="AA1" s="2" t="s">
        <v>14</v>
      </c>
      <c r="AB1" s="2" t="s">
        <v>15</v>
      </c>
      <c r="AC1" s="4" t="s">
        <v>3865</v>
      </c>
      <c r="AD1" t="s">
        <v>3864</v>
      </c>
      <c r="AE1" s="2" t="s">
        <v>16</v>
      </c>
    </row>
    <row r="2" spans="1:31" x14ac:dyDescent="0.25">
      <c r="A2">
        <v>119036992921</v>
      </c>
      <c r="B2">
        <v>462598545</v>
      </c>
      <c r="C2" s="1">
        <v>46036.556284722225</v>
      </c>
      <c r="D2" s="1">
        <v>46036.557951388888</v>
      </c>
      <c r="E2" t="s">
        <v>21</v>
      </c>
      <c r="F2" t="s">
        <v>22</v>
      </c>
      <c r="G2" t="e">
        <f>+_xlfn.XLOOKUP(tbl_encuesta[[#This Row],[Me siento a gusto con el ambiente de trabajo que se genera en mi equipo.]],#REF!,#REF!)</f>
        <v>#REF!</v>
      </c>
      <c r="H2" t="s">
        <v>23</v>
      </c>
      <c r="I2" t="e">
        <f>+_xlfn.XLOOKUP(tbl_encuesta[[#This Row],[Me siento motivado a dar lo mejor de mí y hacer un buen trabajo]],#REF!,#REF!)</f>
        <v>#REF!</v>
      </c>
      <c r="J2" t="s">
        <v>22</v>
      </c>
      <c r="K2" t="e">
        <f>+_xlfn.XLOOKUP(tbl_encuesta[[#This Row],[Mi supervisor o jefe directo me otorga el soporte que necesito para afrontar cualquier problema que afecte mi trabajo]],#REF!,#REF!)</f>
        <v>#REF!</v>
      </c>
      <c r="L2" t="s">
        <v>22</v>
      </c>
      <c r="M2" t="e">
        <f>+_xlfn.XLOOKUP(tbl_encuesta[[#This Row],[Mi supervisor o jefe directo fomenta que nos apoyemos entre todos en el equipo]],#REF!,#REF!)</f>
        <v>#REF!</v>
      </c>
      <c r="N2" t="s">
        <v>22</v>
      </c>
      <c r="O2" t="e">
        <f>+_xlfn.XLOOKUP(tbl_encuesta[[#This Row],[Siento que mi trabajo es reconocido por mi supervisor o jefe directo.]],#REF!,#REF!)</f>
        <v>#REF!</v>
      </c>
      <c r="P2" t="s">
        <v>24</v>
      </c>
      <c r="Q2" t="e">
        <f xml:space="preserve">
_xlfn.XLOOKUP(
tbl_encuesta[[#This Row],[Mi supervisor o jefe directo nos brinda charlas de 5 minutos y comunica las novedades relevantes a mi puesto de trabajo]],#REF!,#REF!
)</f>
        <v>#REF!</v>
      </c>
      <c r="R2" t="s">
        <v>17</v>
      </c>
      <c r="W2" t="s">
        <v>25</v>
      </c>
      <c r="X2" t="s">
        <v>22</v>
      </c>
      <c r="Y2" t="e">
        <f>+_xlfn.XLOOKUP(tbl_encuesta[[#This Row],[Considero a Limtek como un buen lugar para trabajar]],#REF!,#REF!)</f>
        <v>#REF!</v>
      </c>
      <c r="Z2" t="s">
        <v>26</v>
      </c>
      <c r="AA2" t="s">
        <v>27</v>
      </c>
      <c r="AB2" t="s">
        <v>28</v>
      </c>
      <c r="AC2" t="s">
        <v>3744</v>
      </c>
      <c r="AD2" t="s">
        <v>3744</v>
      </c>
      <c r="AE2" t="s">
        <v>29</v>
      </c>
    </row>
    <row r="3" spans="1:31" x14ac:dyDescent="0.25">
      <c r="A3">
        <v>119036230665</v>
      </c>
      <c r="B3">
        <v>462598545</v>
      </c>
      <c r="C3" s="1">
        <v>46035.597662037035</v>
      </c>
      <c r="D3" s="1">
        <v>46035.601365740738</v>
      </c>
      <c r="E3" t="s">
        <v>30</v>
      </c>
      <c r="F3" t="s">
        <v>23</v>
      </c>
      <c r="G3" t="e">
        <f>+_xlfn.XLOOKUP(tbl_encuesta[[#This Row],[Me siento a gusto con el ambiente de trabajo que se genera en mi equipo.]],#REF!,#REF!)</f>
        <v>#REF!</v>
      </c>
      <c r="H3" t="s">
        <v>23</v>
      </c>
      <c r="I3" t="e">
        <f>+_xlfn.XLOOKUP(tbl_encuesta[[#This Row],[Me siento motivado a dar lo mejor de mí y hacer un buen trabajo]],#REF!,#REF!)</f>
        <v>#REF!</v>
      </c>
      <c r="J3" t="s">
        <v>23</v>
      </c>
      <c r="K3" t="e">
        <f>+_xlfn.XLOOKUP(tbl_encuesta[[#This Row],[Mi supervisor o jefe directo me otorga el soporte que necesito para afrontar cualquier problema que afecte mi trabajo]],#REF!,#REF!)</f>
        <v>#REF!</v>
      </c>
      <c r="L3" t="s">
        <v>23</v>
      </c>
      <c r="M3" t="e">
        <f>+_xlfn.XLOOKUP(tbl_encuesta[[#This Row],[Mi supervisor o jefe directo fomenta que nos apoyemos entre todos en el equipo]],#REF!,#REF!)</f>
        <v>#REF!</v>
      </c>
      <c r="N3" t="s">
        <v>23</v>
      </c>
      <c r="O3" t="e">
        <f>+_xlfn.XLOOKUP(tbl_encuesta[[#This Row],[Siento que mi trabajo es reconocido por mi supervisor o jefe directo.]],#REF!,#REF!)</f>
        <v>#REF!</v>
      </c>
      <c r="P3" t="s">
        <v>31</v>
      </c>
      <c r="Q3" t="e">
        <f xml:space="preserve">
_xlfn.XLOOKUP(
tbl_encuesta[[#This Row],[Mi supervisor o jefe directo nos brinda charlas de 5 minutos y comunica las novedades relevantes a mi puesto de trabajo]],#REF!,#REF!
)</f>
        <v>#REF!</v>
      </c>
      <c r="R3" t="s">
        <v>17</v>
      </c>
      <c r="W3" t="s">
        <v>25</v>
      </c>
      <c r="X3" t="s">
        <v>23</v>
      </c>
      <c r="Y3" t="e">
        <f>+_xlfn.XLOOKUP(tbl_encuesta[[#This Row],[Considero a Limtek como un buen lugar para trabajar]],#REF!,#REF!)</f>
        <v>#REF!</v>
      </c>
      <c r="Z3" t="s">
        <v>32</v>
      </c>
      <c r="AA3" t="s">
        <v>33</v>
      </c>
      <c r="AB3" t="s">
        <v>28</v>
      </c>
      <c r="AC3" s="3" t="s">
        <v>3753</v>
      </c>
      <c r="AD3" s="3" t="s">
        <v>3754</v>
      </c>
      <c r="AE3" t="s">
        <v>34</v>
      </c>
    </row>
    <row r="4" spans="1:31" x14ac:dyDescent="0.25">
      <c r="A4">
        <v>119036209463</v>
      </c>
      <c r="B4">
        <v>462598545</v>
      </c>
      <c r="C4" s="1">
        <v>46035.580914351849</v>
      </c>
      <c r="D4" s="1">
        <v>46035.583958333336</v>
      </c>
      <c r="E4" t="s">
        <v>35</v>
      </c>
      <c r="F4" t="s">
        <v>23</v>
      </c>
      <c r="G4" t="e">
        <f>+_xlfn.XLOOKUP(tbl_encuesta[[#This Row],[Me siento a gusto con el ambiente de trabajo que se genera en mi equipo.]],#REF!,#REF!)</f>
        <v>#REF!</v>
      </c>
      <c r="H4" t="s">
        <v>23</v>
      </c>
      <c r="I4" t="e">
        <f>+_xlfn.XLOOKUP(tbl_encuesta[[#This Row],[Me siento motivado a dar lo mejor de mí y hacer un buen trabajo]],#REF!,#REF!)</f>
        <v>#REF!</v>
      </c>
      <c r="J4" t="s">
        <v>23</v>
      </c>
      <c r="K4" t="e">
        <f>+_xlfn.XLOOKUP(tbl_encuesta[[#This Row],[Mi supervisor o jefe directo me otorga el soporte que necesito para afrontar cualquier problema que afecte mi trabajo]],#REF!,#REF!)</f>
        <v>#REF!</v>
      </c>
      <c r="L4" t="s">
        <v>23</v>
      </c>
      <c r="M4" t="e">
        <f>+_xlfn.XLOOKUP(tbl_encuesta[[#This Row],[Mi supervisor o jefe directo fomenta que nos apoyemos entre todos en el equipo]],#REF!,#REF!)</f>
        <v>#REF!</v>
      </c>
      <c r="N4" t="s">
        <v>23</v>
      </c>
      <c r="O4" t="e">
        <f>+_xlfn.XLOOKUP(tbl_encuesta[[#This Row],[Siento que mi trabajo es reconocido por mi supervisor o jefe directo.]],#REF!,#REF!)</f>
        <v>#REF!</v>
      </c>
      <c r="P4" t="s">
        <v>31</v>
      </c>
      <c r="Q4" t="e">
        <f xml:space="preserve">
_xlfn.XLOOKUP(
tbl_encuesta[[#This Row],[Mi supervisor o jefe directo nos brinda charlas de 5 minutos y comunica las novedades relevantes a mi puesto de trabajo]],#REF!,#REF!
)</f>
        <v>#REF!</v>
      </c>
      <c r="R4" t="s">
        <v>17</v>
      </c>
      <c r="S4" t="s">
        <v>18</v>
      </c>
      <c r="W4" t="s">
        <v>25</v>
      </c>
      <c r="X4" t="s">
        <v>23</v>
      </c>
      <c r="Y4" t="e">
        <f>+_xlfn.XLOOKUP(tbl_encuesta[[#This Row],[Considero a Limtek como un buen lugar para trabajar]],#REF!,#REF!)</f>
        <v>#REF!</v>
      </c>
      <c r="Z4" t="s">
        <v>36</v>
      </c>
      <c r="AA4" t="s">
        <v>37</v>
      </c>
      <c r="AB4" t="s">
        <v>38</v>
      </c>
      <c r="AC4" s="3" t="s">
        <v>3716</v>
      </c>
      <c r="AD4" s="3" t="s">
        <v>38</v>
      </c>
      <c r="AE4" t="s">
        <v>29</v>
      </c>
    </row>
    <row r="5" spans="1:31" x14ac:dyDescent="0.25">
      <c r="A5">
        <v>119036111616</v>
      </c>
      <c r="B5">
        <v>462598545</v>
      </c>
      <c r="C5" s="1">
        <v>46035.495243055557</v>
      </c>
      <c r="D5" s="1">
        <v>46035.499398148146</v>
      </c>
      <c r="E5" t="s">
        <v>39</v>
      </c>
      <c r="F5" t="s">
        <v>23</v>
      </c>
      <c r="G5" t="e">
        <f>+_xlfn.XLOOKUP(tbl_encuesta[[#This Row],[Me siento a gusto con el ambiente de trabajo que se genera en mi equipo.]],#REF!,#REF!)</f>
        <v>#REF!</v>
      </c>
      <c r="H5" t="s">
        <v>23</v>
      </c>
      <c r="I5" t="e">
        <f>+_xlfn.XLOOKUP(tbl_encuesta[[#This Row],[Me siento motivado a dar lo mejor de mí y hacer un buen trabajo]],#REF!,#REF!)</f>
        <v>#REF!</v>
      </c>
      <c r="J5" t="s">
        <v>23</v>
      </c>
      <c r="K5" t="e">
        <f>+_xlfn.XLOOKUP(tbl_encuesta[[#This Row],[Mi supervisor o jefe directo me otorga el soporte que necesito para afrontar cualquier problema que afecte mi trabajo]],#REF!,#REF!)</f>
        <v>#REF!</v>
      </c>
      <c r="L5" t="s">
        <v>23</v>
      </c>
      <c r="M5" t="e">
        <f>+_xlfn.XLOOKUP(tbl_encuesta[[#This Row],[Mi supervisor o jefe directo fomenta que nos apoyemos entre todos en el equipo]],#REF!,#REF!)</f>
        <v>#REF!</v>
      </c>
      <c r="N5" t="s">
        <v>23</v>
      </c>
      <c r="O5" t="e">
        <f>+_xlfn.XLOOKUP(tbl_encuesta[[#This Row],[Siento que mi trabajo es reconocido por mi supervisor o jefe directo.]],#REF!,#REF!)</f>
        <v>#REF!</v>
      </c>
      <c r="P5" t="s">
        <v>31</v>
      </c>
      <c r="Q5" t="e">
        <f xml:space="preserve">
_xlfn.XLOOKUP(
tbl_encuesta[[#This Row],[Mi supervisor o jefe directo nos brinda charlas de 5 minutos y comunica las novedades relevantes a mi puesto de trabajo]],#REF!,#REF!
)</f>
        <v>#REF!</v>
      </c>
      <c r="R5" t="s">
        <v>17</v>
      </c>
      <c r="S5" t="s">
        <v>18</v>
      </c>
      <c r="W5" t="s">
        <v>25</v>
      </c>
      <c r="X5" t="s">
        <v>23</v>
      </c>
      <c r="Y5" t="e">
        <f>+_xlfn.XLOOKUP(tbl_encuesta[[#This Row],[Considero a Limtek como un buen lugar para trabajar]],#REF!,#REF!)</f>
        <v>#REF!</v>
      </c>
      <c r="Z5" t="s">
        <v>40</v>
      </c>
      <c r="AA5" t="s">
        <v>41</v>
      </c>
      <c r="AB5" t="s">
        <v>38</v>
      </c>
      <c r="AC5" s="3" t="s">
        <v>3849</v>
      </c>
      <c r="AD5" s="3" t="s">
        <v>3849</v>
      </c>
      <c r="AE5" t="s">
        <v>34</v>
      </c>
    </row>
    <row r="6" spans="1:31" x14ac:dyDescent="0.25">
      <c r="A6">
        <v>119035372448</v>
      </c>
      <c r="B6">
        <v>462598545</v>
      </c>
      <c r="C6" s="1">
        <v>46034.487453703703</v>
      </c>
      <c r="D6" s="1">
        <v>46034.488020833334</v>
      </c>
      <c r="E6" t="s">
        <v>42</v>
      </c>
      <c r="F6" t="s">
        <v>22</v>
      </c>
      <c r="G6" t="e">
        <f>+_xlfn.XLOOKUP(tbl_encuesta[[#This Row],[Me siento a gusto con el ambiente de trabajo que se genera en mi equipo.]],#REF!,#REF!)</f>
        <v>#REF!</v>
      </c>
      <c r="H6" t="s">
        <v>43</v>
      </c>
      <c r="I6" t="e">
        <f>+_xlfn.XLOOKUP(tbl_encuesta[[#This Row],[Me siento motivado a dar lo mejor de mí y hacer un buen trabajo]],#REF!,#REF!)</f>
        <v>#REF!</v>
      </c>
      <c r="J6" t="s">
        <v>22</v>
      </c>
      <c r="K6" t="e">
        <f>+_xlfn.XLOOKUP(tbl_encuesta[[#This Row],[Mi supervisor o jefe directo me otorga el soporte que necesito para afrontar cualquier problema que afecte mi trabajo]],#REF!,#REF!)</f>
        <v>#REF!</v>
      </c>
      <c r="L6" t="s">
        <v>22</v>
      </c>
      <c r="M6" t="e">
        <f>+_xlfn.XLOOKUP(tbl_encuesta[[#This Row],[Mi supervisor o jefe directo fomenta que nos apoyemos entre todos en el equipo]],#REF!,#REF!)</f>
        <v>#REF!</v>
      </c>
      <c r="N6" t="s">
        <v>22</v>
      </c>
      <c r="O6" t="e">
        <f>+_xlfn.XLOOKUP(tbl_encuesta[[#This Row],[Siento que mi trabajo es reconocido por mi supervisor o jefe directo.]],#REF!,#REF!)</f>
        <v>#REF!</v>
      </c>
      <c r="P6" t="s">
        <v>31</v>
      </c>
      <c r="Q6" t="e">
        <f xml:space="preserve">
_xlfn.XLOOKUP(
tbl_encuesta[[#This Row],[Mi supervisor o jefe directo nos brinda charlas de 5 minutos y comunica las novedades relevantes a mi puesto de trabajo]],#REF!,#REF!
)</f>
        <v>#REF!</v>
      </c>
      <c r="R6" t="s">
        <v>17</v>
      </c>
      <c r="W6" t="s">
        <v>25</v>
      </c>
      <c r="X6" t="s">
        <v>22</v>
      </c>
      <c r="Y6" t="e">
        <f>+_xlfn.XLOOKUP(tbl_encuesta[[#This Row],[Considero a Limtek como un buen lugar para trabajar]],#REF!,#REF!)</f>
        <v>#REF!</v>
      </c>
      <c r="Z6" t="s">
        <v>3744</v>
      </c>
      <c r="AA6" t="s">
        <v>44</v>
      </c>
      <c r="AB6" t="s">
        <v>28</v>
      </c>
      <c r="AC6" s="3" t="s">
        <v>3733</v>
      </c>
      <c r="AD6" s="3" t="s">
        <v>3734</v>
      </c>
      <c r="AE6" t="s">
        <v>34</v>
      </c>
    </row>
    <row r="7" spans="1:31" x14ac:dyDescent="0.25">
      <c r="A7">
        <v>119034650361</v>
      </c>
      <c r="B7">
        <v>462598545</v>
      </c>
      <c r="C7" s="1">
        <v>46032.84715277778</v>
      </c>
      <c r="D7" s="1">
        <v>46032.854212962964</v>
      </c>
      <c r="E7" t="s">
        <v>45</v>
      </c>
      <c r="F7" t="s">
        <v>23</v>
      </c>
      <c r="G7" t="e">
        <f>+_xlfn.XLOOKUP(tbl_encuesta[[#This Row],[Me siento a gusto con el ambiente de trabajo que se genera en mi equipo.]],#REF!,#REF!)</f>
        <v>#REF!</v>
      </c>
      <c r="H7" t="s">
        <v>23</v>
      </c>
      <c r="I7" t="e">
        <f>+_xlfn.XLOOKUP(tbl_encuesta[[#This Row],[Me siento motivado a dar lo mejor de mí y hacer un buen trabajo]],#REF!,#REF!)</f>
        <v>#REF!</v>
      </c>
      <c r="J7" t="s">
        <v>23</v>
      </c>
      <c r="K7" t="e">
        <f>+_xlfn.XLOOKUP(tbl_encuesta[[#This Row],[Mi supervisor o jefe directo me otorga el soporte que necesito para afrontar cualquier problema que afecte mi trabajo]],#REF!,#REF!)</f>
        <v>#REF!</v>
      </c>
      <c r="L7" t="s">
        <v>23</v>
      </c>
      <c r="M7" t="e">
        <f>+_xlfn.XLOOKUP(tbl_encuesta[[#This Row],[Mi supervisor o jefe directo fomenta que nos apoyemos entre todos en el equipo]],#REF!,#REF!)</f>
        <v>#REF!</v>
      </c>
      <c r="N7" t="s">
        <v>23</v>
      </c>
      <c r="O7" t="e">
        <f>+_xlfn.XLOOKUP(tbl_encuesta[[#This Row],[Siento que mi trabajo es reconocido por mi supervisor o jefe directo.]],#REF!,#REF!)</f>
        <v>#REF!</v>
      </c>
      <c r="P7" t="s">
        <v>31</v>
      </c>
      <c r="Q7" t="e">
        <f xml:space="preserve">
_xlfn.XLOOKUP(
tbl_encuesta[[#This Row],[Mi supervisor o jefe directo nos brinda charlas de 5 minutos y comunica las novedades relevantes a mi puesto de trabajo]],#REF!,#REF!
)</f>
        <v>#REF!</v>
      </c>
      <c r="T7" t="s">
        <v>19</v>
      </c>
      <c r="U7" t="s">
        <v>20</v>
      </c>
      <c r="W7" t="s">
        <v>46</v>
      </c>
      <c r="X7" t="s">
        <v>23</v>
      </c>
      <c r="Y7" t="e">
        <f>+_xlfn.XLOOKUP(tbl_encuesta[[#This Row],[Considero a Limtek como un buen lugar para trabajar]],#REF!,#REF!)</f>
        <v>#REF!</v>
      </c>
      <c r="Z7" t="s">
        <v>47</v>
      </c>
      <c r="AA7" t="s">
        <v>48</v>
      </c>
      <c r="AB7" t="s">
        <v>38</v>
      </c>
      <c r="AC7" s="3" t="s">
        <v>3610</v>
      </c>
      <c r="AD7" s="3" t="s">
        <v>3701</v>
      </c>
      <c r="AE7" t="s">
        <v>34</v>
      </c>
    </row>
    <row r="8" spans="1:31" x14ac:dyDescent="0.25">
      <c r="A8">
        <v>119034631139</v>
      </c>
      <c r="B8">
        <v>462598545</v>
      </c>
      <c r="C8" s="1">
        <v>46032.790891203702</v>
      </c>
      <c r="D8" s="1">
        <v>46032.795578703706</v>
      </c>
      <c r="E8" t="s">
        <v>49</v>
      </c>
      <c r="F8" t="s">
        <v>23</v>
      </c>
      <c r="G8" t="e">
        <f>+_xlfn.XLOOKUP(tbl_encuesta[[#This Row],[Me siento a gusto con el ambiente de trabajo que se genera en mi equipo.]],#REF!,#REF!)</f>
        <v>#REF!</v>
      </c>
      <c r="H8" t="s">
        <v>23</v>
      </c>
      <c r="I8" t="e">
        <f>+_xlfn.XLOOKUP(tbl_encuesta[[#This Row],[Me siento motivado a dar lo mejor de mí y hacer un buen trabajo]],#REF!,#REF!)</f>
        <v>#REF!</v>
      </c>
      <c r="J8" t="s">
        <v>23</v>
      </c>
      <c r="K8" t="e">
        <f>+_xlfn.XLOOKUP(tbl_encuesta[[#This Row],[Mi supervisor o jefe directo me otorga el soporte que necesito para afrontar cualquier problema que afecte mi trabajo]],#REF!,#REF!)</f>
        <v>#REF!</v>
      </c>
      <c r="L8" t="s">
        <v>23</v>
      </c>
      <c r="M8" t="e">
        <f>+_xlfn.XLOOKUP(tbl_encuesta[[#This Row],[Mi supervisor o jefe directo fomenta que nos apoyemos entre todos en el equipo]],#REF!,#REF!)</f>
        <v>#REF!</v>
      </c>
      <c r="N8" t="s">
        <v>23</v>
      </c>
      <c r="O8" t="e">
        <f>+_xlfn.XLOOKUP(tbl_encuesta[[#This Row],[Siento que mi trabajo es reconocido por mi supervisor o jefe directo.]],#REF!,#REF!)</f>
        <v>#REF!</v>
      </c>
      <c r="P8" t="s">
        <v>31</v>
      </c>
      <c r="Q8" t="e">
        <f xml:space="preserve">
_xlfn.XLOOKUP(
tbl_encuesta[[#This Row],[Mi supervisor o jefe directo nos brinda charlas de 5 minutos y comunica las novedades relevantes a mi puesto de trabajo]],#REF!,#REF!
)</f>
        <v>#REF!</v>
      </c>
      <c r="R8" t="s">
        <v>17</v>
      </c>
      <c r="U8" t="s">
        <v>20</v>
      </c>
      <c r="W8" t="s">
        <v>25</v>
      </c>
      <c r="X8" t="s">
        <v>23</v>
      </c>
      <c r="Y8" t="e">
        <f>+_xlfn.XLOOKUP(tbl_encuesta[[#This Row],[Considero a Limtek como un buen lugar para trabajar]],#REF!,#REF!)</f>
        <v>#REF!</v>
      </c>
      <c r="Z8" t="s">
        <v>50</v>
      </c>
      <c r="AA8" t="s">
        <v>51</v>
      </c>
      <c r="AB8" t="s">
        <v>38</v>
      </c>
      <c r="AC8" t="s">
        <v>3610</v>
      </c>
      <c r="AD8" t="s">
        <v>3610</v>
      </c>
      <c r="AE8" t="s">
        <v>34</v>
      </c>
    </row>
    <row r="9" spans="1:31" x14ac:dyDescent="0.25">
      <c r="A9">
        <v>119034544401</v>
      </c>
      <c r="B9">
        <v>462598545</v>
      </c>
      <c r="C9" s="1">
        <v>46032.575104166666</v>
      </c>
      <c r="D9" s="1">
        <v>46032.57671296296</v>
      </c>
      <c r="E9" t="s">
        <v>52</v>
      </c>
      <c r="F9" t="s">
        <v>23</v>
      </c>
      <c r="G9" t="e">
        <f>+_xlfn.XLOOKUP(tbl_encuesta[[#This Row],[Me siento a gusto con el ambiente de trabajo que se genera en mi equipo.]],#REF!,#REF!)</f>
        <v>#REF!</v>
      </c>
      <c r="H9" t="s">
        <v>23</v>
      </c>
      <c r="I9" t="e">
        <f>+_xlfn.XLOOKUP(tbl_encuesta[[#This Row],[Me siento motivado a dar lo mejor de mí y hacer un buen trabajo]],#REF!,#REF!)</f>
        <v>#REF!</v>
      </c>
      <c r="J9" t="s">
        <v>23</v>
      </c>
      <c r="K9" t="e">
        <f>+_xlfn.XLOOKUP(tbl_encuesta[[#This Row],[Mi supervisor o jefe directo me otorga el soporte que necesito para afrontar cualquier problema que afecte mi trabajo]],#REF!,#REF!)</f>
        <v>#REF!</v>
      </c>
      <c r="L9" t="s">
        <v>23</v>
      </c>
      <c r="M9" t="e">
        <f>+_xlfn.XLOOKUP(tbl_encuesta[[#This Row],[Mi supervisor o jefe directo fomenta que nos apoyemos entre todos en el equipo]],#REF!,#REF!)</f>
        <v>#REF!</v>
      </c>
      <c r="N9" t="s">
        <v>23</v>
      </c>
      <c r="O9" t="e">
        <f>+_xlfn.XLOOKUP(tbl_encuesta[[#This Row],[Siento que mi trabajo es reconocido por mi supervisor o jefe directo.]],#REF!,#REF!)</f>
        <v>#REF!</v>
      </c>
      <c r="P9" t="s">
        <v>31</v>
      </c>
      <c r="Q9" t="e">
        <f xml:space="preserve">
_xlfn.XLOOKUP(
tbl_encuesta[[#This Row],[Mi supervisor o jefe directo nos brinda charlas de 5 minutos y comunica las novedades relevantes a mi puesto de trabajo]],#REF!,#REF!
)</f>
        <v>#REF!</v>
      </c>
      <c r="S9" t="s">
        <v>18</v>
      </c>
      <c r="T9" t="s">
        <v>19</v>
      </c>
      <c r="W9" t="s">
        <v>46</v>
      </c>
      <c r="X9" t="s">
        <v>23</v>
      </c>
      <c r="Y9" t="e">
        <f>+_xlfn.XLOOKUP(tbl_encuesta[[#This Row],[Considero a Limtek como un buen lugar para trabajar]],#REF!,#REF!)</f>
        <v>#REF!</v>
      </c>
      <c r="Z9" t="s">
        <v>53</v>
      </c>
      <c r="AA9" t="s">
        <v>54</v>
      </c>
      <c r="AB9" t="s">
        <v>28</v>
      </c>
      <c r="AC9" s="3" t="s">
        <v>3705</v>
      </c>
      <c r="AD9" s="3" t="s">
        <v>3706</v>
      </c>
      <c r="AE9" t="s">
        <v>55</v>
      </c>
    </row>
    <row r="10" spans="1:31" x14ac:dyDescent="0.25">
      <c r="A10">
        <v>119034494734</v>
      </c>
      <c r="B10">
        <v>462598545</v>
      </c>
      <c r="C10" s="1">
        <v>46032.484791666669</v>
      </c>
      <c r="D10" s="1">
        <v>46032.486238425925</v>
      </c>
      <c r="E10" t="s">
        <v>56</v>
      </c>
      <c r="F10" t="s">
        <v>23</v>
      </c>
      <c r="G10" t="e">
        <f>+_xlfn.XLOOKUP(tbl_encuesta[[#This Row],[Me siento a gusto con el ambiente de trabajo que se genera en mi equipo.]],#REF!,#REF!)</f>
        <v>#REF!</v>
      </c>
      <c r="H10" t="s">
        <v>23</v>
      </c>
      <c r="I10" t="e">
        <f>+_xlfn.XLOOKUP(tbl_encuesta[[#This Row],[Me siento motivado a dar lo mejor de mí y hacer un buen trabajo]],#REF!,#REF!)</f>
        <v>#REF!</v>
      </c>
      <c r="J10" t="s">
        <v>23</v>
      </c>
      <c r="K10" t="e">
        <f>+_xlfn.XLOOKUP(tbl_encuesta[[#This Row],[Mi supervisor o jefe directo me otorga el soporte que necesito para afrontar cualquier problema que afecte mi trabajo]],#REF!,#REF!)</f>
        <v>#REF!</v>
      </c>
      <c r="L10" t="s">
        <v>23</v>
      </c>
      <c r="M10" t="e">
        <f>+_xlfn.XLOOKUP(tbl_encuesta[[#This Row],[Mi supervisor o jefe directo fomenta que nos apoyemos entre todos en el equipo]],#REF!,#REF!)</f>
        <v>#REF!</v>
      </c>
      <c r="N10" t="s">
        <v>22</v>
      </c>
      <c r="O10" t="e">
        <f>+_xlfn.XLOOKUP(tbl_encuesta[[#This Row],[Siento que mi trabajo es reconocido por mi supervisor o jefe directo.]],#REF!,#REF!)</f>
        <v>#REF!</v>
      </c>
      <c r="P10" t="s">
        <v>31</v>
      </c>
      <c r="Q10" t="e">
        <f xml:space="preserve">
_xlfn.XLOOKUP(
tbl_encuesta[[#This Row],[Mi supervisor o jefe directo nos brinda charlas de 5 minutos y comunica las novedades relevantes a mi puesto de trabajo]],#REF!,#REF!
)</f>
        <v>#REF!</v>
      </c>
      <c r="R10" t="s">
        <v>17</v>
      </c>
      <c r="U10" t="s">
        <v>20</v>
      </c>
      <c r="W10" t="s">
        <v>25</v>
      </c>
      <c r="X10" t="s">
        <v>23</v>
      </c>
      <c r="Y10" t="e">
        <f>+_xlfn.XLOOKUP(tbl_encuesta[[#This Row],[Considero a Limtek como un buen lugar para trabajar]],#REF!,#REF!)</f>
        <v>#REF!</v>
      </c>
      <c r="Z10" t="s">
        <v>57</v>
      </c>
      <c r="AA10" t="s">
        <v>58</v>
      </c>
      <c r="AB10" t="s">
        <v>59</v>
      </c>
      <c r="AC10" s="3" t="s">
        <v>3610</v>
      </c>
      <c r="AD10" s="3" t="s">
        <v>3610</v>
      </c>
      <c r="AE10" t="s">
        <v>61</v>
      </c>
    </row>
    <row r="11" spans="1:31" x14ac:dyDescent="0.25">
      <c r="A11">
        <v>119034462124</v>
      </c>
      <c r="B11">
        <v>462598545</v>
      </c>
      <c r="C11" s="1">
        <v>46032.428749999999</v>
      </c>
      <c r="D11" s="1">
        <v>46032.433576388888</v>
      </c>
      <c r="E11" t="s">
        <v>62</v>
      </c>
      <c r="F11" t="s">
        <v>23</v>
      </c>
      <c r="G11" t="e">
        <f>+_xlfn.XLOOKUP(tbl_encuesta[[#This Row],[Me siento a gusto con el ambiente de trabajo que se genera en mi equipo.]],#REF!,#REF!)</f>
        <v>#REF!</v>
      </c>
      <c r="H11" t="s">
        <v>23</v>
      </c>
      <c r="I11" t="e">
        <f>+_xlfn.XLOOKUP(tbl_encuesta[[#This Row],[Me siento motivado a dar lo mejor de mí y hacer un buen trabajo]],#REF!,#REF!)</f>
        <v>#REF!</v>
      </c>
      <c r="J11" t="s">
        <v>23</v>
      </c>
      <c r="K11" t="e">
        <f>+_xlfn.XLOOKUP(tbl_encuesta[[#This Row],[Mi supervisor o jefe directo me otorga el soporte que necesito para afrontar cualquier problema que afecte mi trabajo]],#REF!,#REF!)</f>
        <v>#REF!</v>
      </c>
      <c r="L11" t="s">
        <v>23</v>
      </c>
      <c r="M11" t="e">
        <f>+_xlfn.XLOOKUP(tbl_encuesta[[#This Row],[Mi supervisor o jefe directo fomenta que nos apoyemos entre todos en el equipo]],#REF!,#REF!)</f>
        <v>#REF!</v>
      </c>
      <c r="N11" t="s">
        <v>23</v>
      </c>
      <c r="O11" t="e">
        <f>+_xlfn.XLOOKUP(tbl_encuesta[[#This Row],[Siento que mi trabajo es reconocido por mi supervisor o jefe directo.]],#REF!,#REF!)</f>
        <v>#REF!</v>
      </c>
      <c r="P11" t="s">
        <v>31</v>
      </c>
      <c r="Q11" t="e">
        <f xml:space="preserve">
_xlfn.XLOOKUP(
tbl_encuesta[[#This Row],[Mi supervisor o jefe directo nos brinda charlas de 5 minutos y comunica las novedades relevantes a mi puesto de trabajo]],#REF!,#REF!
)</f>
        <v>#REF!</v>
      </c>
      <c r="R11" t="s">
        <v>17</v>
      </c>
      <c r="T11" t="s">
        <v>19</v>
      </c>
      <c r="W11" t="s">
        <v>25</v>
      </c>
      <c r="X11" t="s">
        <v>23</v>
      </c>
      <c r="Y11" t="e">
        <f>+_xlfn.XLOOKUP(tbl_encuesta[[#This Row],[Considero a Limtek como un buen lugar para trabajar]],#REF!,#REF!)</f>
        <v>#REF!</v>
      </c>
      <c r="Z11" t="s">
        <v>63</v>
      </c>
      <c r="AA11" t="s">
        <v>64</v>
      </c>
      <c r="AB11" t="s">
        <v>65</v>
      </c>
      <c r="AC11" s="3" t="s">
        <v>3610</v>
      </c>
      <c r="AD11" s="3" t="s">
        <v>3612</v>
      </c>
      <c r="AE11" t="s">
        <v>55</v>
      </c>
    </row>
    <row r="12" spans="1:31" x14ac:dyDescent="0.25">
      <c r="A12">
        <v>119034404250</v>
      </c>
      <c r="B12">
        <v>462598545</v>
      </c>
      <c r="C12" s="1">
        <v>46032.328194444446</v>
      </c>
      <c r="D12" s="1">
        <v>46032.331608796296</v>
      </c>
      <c r="E12" t="s">
        <v>66</v>
      </c>
      <c r="F12" t="s">
        <v>23</v>
      </c>
      <c r="G12" t="e">
        <f>+_xlfn.XLOOKUP(tbl_encuesta[[#This Row],[Me siento a gusto con el ambiente de trabajo que se genera en mi equipo.]],#REF!,#REF!)</f>
        <v>#REF!</v>
      </c>
      <c r="H12" t="s">
        <v>23</v>
      </c>
      <c r="I12" t="e">
        <f>+_xlfn.XLOOKUP(tbl_encuesta[[#This Row],[Me siento motivado a dar lo mejor de mí y hacer un buen trabajo]],#REF!,#REF!)</f>
        <v>#REF!</v>
      </c>
      <c r="J12" t="s">
        <v>23</v>
      </c>
      <c r="K12" t="e">
        <f>+_xlfn.XLOOKUP(tbl_encuesta[[#This Row],[Mi supervisor o jefe directo me otorga el soporte que necesito para afrontar cualquier problema que afecte mi trabajo]],#REF!,#REF!)</f>
        <v>#REF!</v>
      </c>
      <c r="L12" t="s">
        <v>23</v>
      </c>
      <c r="M12" t="e">
        <f>+_xlfn.XLOOKUP(tbl_encuesta[[#This Row],[Mi supervisor o jefe directo fomenta que nos apoyemos entre todos en el equipo]],#REF!,#REF!)</f>
        <v>#REF!</v>
      </c>
      <c r="N12" t="s">
        <v>23</v>
      </c>
      <c r="O12" t="e">
        <f>+_xlfn.XLOOKUP(tbl_encuesta[[#This Row],[Siento que mi trabajo es reconocido por mi supervisor o jefe directo.]],#REF!,#REF!)</f>
        <v>#REF!</v>
      </c>
      <c r="P12" t="s">
        <v>67</v>
      </c>
      <c r="Q12" t="e">
        <f xml:space="preserve">
_xlfn.XLOOKUP(
tbl_encuesta[[#This Row],[Mi supervisor o jefe directo nos brinda charlas de 5 minutos y comunica las novedades relevantes a mi puesto de trabajo]],#REF!,#REF!
)</f>
        <v>#REF!</v>
      </c>
      <c r="R12" t="s">
        <v>17</v>
      </c>
      <c r="W12" t="s">
        <v>25</v>
      </c>
      <c r="X12" t="s">
        <v>23</v>
      </c>
      <c r="Y12" t="e">
        <f>+_xlfn.XLOOKUP(tbl_encuesta[[#This Row],[Considero a Limtek como un buen lugar para trabajar]],#REF!,#REF!)</f>
        <v>#REF!</v>
      </c>
      <c r="Z12" t="s">
        <v>3744</v>
      </c>
      <c r="AA12" t="s">
        <v>68</v>
      </c>
      <c r="AB12" t="s">
        <v>28</v>
      </c>
      <c r="AC12" s="3" t="s">
        <v>3764</v>
      </c>
      <c r="AD12" s="3" t="s">
        <v>3765</v>
      </c>
      <c r="AE12" t="s">
        <v>69</v>
      </c>
    </row>
    <row r="13" spans="1:31" x14ac:dyDescent="0.25">
      <c r="A13">
        <v>119034336138</v>
      </c>
      <c r="B13">
        <v>462598545</v>
      </c>
      <c r="C13" s="1">
        <v>46032.18613425926</v>
      </c>
      <c r="D13" s="1">
        <v>46032.190243055556</v>
      </c>
      <c r="E13" t="s">
        <v>70</v>
      </c>
      <c r="F13" t="s">
        <v>43</v>
      </c>
      <c r="G13" t="e">
        <f>+_xlfn.XLOOKUP(tbl_encuesta[[#This Row],[Me siento a gusto con el ambiente de trabajo que se genera en mi equipo.]],#REF!,#REF!)</f>
        <v>#REF!</v>
      </c>
      <c r="H13" t="s">
        <v>23</v>
      </c>
      <c r="I13" t="e">
        <f>+_xlfn.XLOOKUP(tbl_encuesta[[#This Row],[Me siento motivado a dar lo mejor de mí y hacer un buen trabajo]],#REF!,#REF!)</f>
        <v>#REF!</v>
      </c>
      <c r="J13" t="s">
        <v>23</v>
      </c>
      <c r="K13" t="e">
        <f>+_xlfn.XLOOKUP(tbl_encuesta[[#This Row],[Mi supervisor o jefe directo me otorga el soporte que necesito para afrontar cualquier problema que afecte mi trabajo]],#REF!,#REF!)</f>
        <v>#REF!</v>
      </c>
      <c r="L13" t="s">
        <v>23</v>
      </c>
      <c r="M13" t="e">
        <f>+_xlfn.XLOOKUP(tbl_encuesta[[#This Row],[Mi supervisor o jefe directo fomenta que nos apoyemos entre todos en el equipo]],#REF!,#REF!)</f>
        <v>#REF!</v>
      </c>
      <c r="N13" t="s">
        <v>23</v>
      </c>
      <c r="O13" t="e">
        <f>+_xlfn.XLOOKUP(tbl_encuesta[[#This Row],[Siento que mi trabajo es reconocido por mi supervisor o jefe directo.]],#REF!,#REF!)</f>
        <v>#REF!</v>
      </c>
      <c r="P13" t="s">
        <v>31</v>
      </c>
      <c r="Q13" t="e">
        <f xml:space="preserve">
_xlfn.XLOOKUP(
tbl_encuesta[[#This Row],[Mi supervisor o jefe directo nos brinda charlas de 5 minutos y comunica las novedades relevantes a mi puesto de trabajo]],#REF!,#REF!
)</f>
        <v>#REF!</v>
      </c>
      <c r="R13" t="s">
        <v>17</v>
      </c>
      <c r="S13" t="s">
        <v>18</v>
      </c>
      <c r="W13" t="s">
        <v>25</v>
      </c>
      <c r="X13" t="s">
        <v>23</v>
      </c>
      <c r="Y13" t="e">
        <f>+_xlfn.XLOOKUP(tbl_encuesta[[#This Row],[Considero a Limtek como un buen lugar para trabajar]],#REF!,#REF!)</f>
        <v>#REF!</v>
      </c>
      <c r="Z13" t="s">
        <v>3874</v>
      </c>
      <c r="AA13" t="s">
        <v>71</v>
      </c>
      <c r="AB13" t="s">
        <v>72</v>
      </c>
      <c r="AC13" s="3" t="s">
        <v>3716</v>
      </c>
      <c r="AD13" s="3" t="s">
        <v>72</v>
      </c>
      <c r="AE13" t="s">
        <v>29</v>
      </c>
    </row>
    <row r="14" spans="1:31" x14ac:dyDescent="0.25">
      <c r="A14">
        <v>119034250656</v>
      </c>
      <c r="B14">
        <v>462598545</v>
      </c>
      <c r="C14" s="1">
        <v>46031.911446759259</v>
      </c>
      <c r="D14" s="1">
        <v>46031.917974537035</v>
      </c>
      <c r="E14" t="s">
        <v>73</v>
      </c>
      <c r="F14" t="s">
        <v>23</v>
      </c>
      <c r="G14" t="e">
        <f>+_xlfn.XLOOKUP(tbl_encuesta[[#This Row],[Me siento a gusto con el ambiente de trabajo que se genera en mi equipo.]],#REF!,#REF!)</f>
        <v>#REF!</v>
      </c>
      <c r="H14" t="s">
        <v>23</v>
      </c>
      <c r="I14" t="e">
        <f>+_xlfn.XLOOKUP(tbl_encuesta[[#This Row],[Me siento motivado a dar lo mejor de mí y hacer un buen trabajo]],#REF!,#REF!)</f>
        <v>#REF!</v>
      </c>
      <c r="J14" t="s">
        <v>22</v>
      </c>
      <c r="K14" t="e">
        <f>+_xlfn.XLOOKUP(tbl_encuesta[[#This Row],[Mi supervisor o jefe directo me otorga el soporte que necesito para afrontar cualquier problema que afecte mi trabajo]],#REF!,#REF!)</f>
        <v>#REF!</v>
      </c>
      <c r="L14" t="s">
        <v>23</v>
      </c>
      <c r="M14" t="e">
        <f>+_xlfn.XLOOKUP(tbl_encuesta[[#This Row],[Mi supervisor o jefe directo fomenta que nos apoyemos entre todos en el equipo]],#REF!,#REF!)</f>
        <v>#REF!</v>
      </c>
      <c r="N14" t="s">
        <v>23</v>
      </c>
      <c r="O14" t="e">
        <f>+_xlfn.XLOOKUP(tbl_encuesta[[#This Row],[Siento que mi trabajo es reconocido por mi supervisor o jefe directo.]],#REF!,#REF!)</f>
        <v>#REF!</v>
      </c>
      <c r="P14" t="s">
        <v>67</v>
      </c>
      <c r="Q14" t="e">
        <f xml:space="preserve">
_xlfn.XLOOKUP(
tbl_encuesta[[#This Row],[Mi supervisor o jefe directo nos brinda charlas de 5 minutos y comunica las novedades relevantes a mi puesto de trabajo]],#REF!,#REF!
)</f>
        <v>#REF!</v>
      </c>
      <c r="R14" t="s">
        <v>17</v>
      </c>
      <c r="U14" t="s">
        <v>20</v>
      </c>
      <c r="W14" t="s">
        <v>25</v>
      </c>
      <c r="X14" t="s">
        <v>23</v>
      </c>
      <c r="Y14" t="e">
        <f>+_xlfn.XLOOKUP(tbl_encuesta[[#This Row],[Considero a Limtek como un buen lugar para trabajar]],#REF!,#REF!)</f>
        <v>#REF!</v>
      </c>
      <c r="Z14" t="s">
        <v>74</v>
      </c>
      <c r="AA14" t="s">
        <v>75</v>
      </c>
      <c r="AB14" t="s">
        <v>28</v>
      </c>
      <c r="AC14" s="3" t="s">
        <v>3767</v>
      </c>
      <c r="AD14" s="3" t="s">
        <v>3767</v>
      </c>
      <c r="AE14" t="s">
        <v>29</v>
      </c>
    </row>
    <row r="15" spans="1:31" x14ac:dyDescent="0.25">
      <c r="A15">
        <v>119034236287</v>
      </c>
      <c r="B15">
        <v>462598545</v>
      </c>
      <c r="C15" s="1">
        <v>46031.87736111111</v>
      </c>
      <c r="D15" s="1">
        <v>46031.881157407406</v>
      </c>
      <c r="E15" t="s">
        <v>76</v>
      </c>
      <c r="F15" t="s">
        <v>23</v>
      </c>
      <c r="G15" t="e">
        <f>+_xlfn.XLOOKUP(tbl_encuesta[[#This Row],[Me siento a gusto con el ambiente de trabajo que se genera en mi equipo.]],#REF!,#REF!)</f>
        <v>#REF!</v>
      </c>
      <c r="H15" t="s">
        <v>23</v>
      </c>
      <c r="I15" t="e">
        <f>+_xlfn.XLOOKUP(tbl_encuesta[[#This Row],[Me siento motivado a dar lo mejor de mí y hacer un buen trabajo]],#REF!,#REF!)</f>
        <v>#REF!</v>
      </c>
      <c r="J15" t="s">
        <v>23</v>
      </c>
      <c r="K15" t="e">
        <f>+_xlfn.XLOOKUP(tbl_encuesta[[#This Row],[Mi supervisor o jefe directo me otorga el soporte que necesito para afrontar cualquier problema que afecte mi trabajo]],#REF!,#REF!)</f>
        <v>#REF!</v>
      </c>
      <c r="L15" t="s">
        <v>23</v>
      </c>
      <c r="M15" t="e">
        <f>+_xlfn.XLOOKUP(tbl_encuesta[[#This Row],[Mi supervisor o jefe directo fomenta que nos apoyemos entre todos en el equipo]],#REF!,#REF!)</f>
        <v>#REF!</v>
      </c>
      <c r="N15" t="s">
        <v>23</v>
      </c>
      <c r="O15" t="e">
        <f>+_xlfn.XLOOKUP(tbl_encuesta[[#This Row],[Siento que mi trabajo es reconocido por mi supervisor o jefe directo.]],#REF!,#REF!)</f>
        <v>#REF!</v>
      </c>
      <c r="P15" t="s">
        <v>31</v>
      </c>
      <c r="Q15" t="e">
        <f xml:space="preserve">
_xlfn.XLOOKUP(
tbl_encuesta[[#This Row],[Mi supervisor o jefe directo nos brinda charlas de 5 minutos y comunica las novedades relevantes a mi puesto de trabajo]],#REF!,#REF!
)</f>
        <v>#REF!</v>
      </c>
      <c r="R15" t="s">
        <v>17</v>
      </c>
      <c r="W15" t="s">
        <v>25</v>
      </c>
      <c r="X15" t="s">
        <v>23</v>
      </c>
      <c r="Y15" t="e">
        <f>+_xlfn.XLOOKUP(tbl_encuesta[[#This Row],[Considero a Limtek como un buen lugar para trabajar]],#REF!,#REF!)</f>
        <v>#REF!</v>
      </c>
      <c r="Z15" t="s">
        <v>77</v>
      </c>
      <c r="AA15" t="s">
        <v>78</v>
      </c>
      <c r="AB15" t="s">
        <v>38</v>
      </c>
      <c r="AC15" s="3" t="s">
        <v>3716</v>
      </c>
      <c r="AD15" s="3" t="s">
        <v>3716</v>
      </c>
      <c r="AE15" t="s">
        <v>29</v>
      </c>
    </row>
    <row r="16" spans="1:31" x14ac:dyDescent="0.25">
      <c r="A16">
        <v>119034234123</v>
      </c>
      <c r="B16">
        <v>462598545</v>
      </c>
      <c r="C16" s="1">
        <v>46031.868680555555</v>
      </c>
      <c r="D16" s="1">
        <v>46031.875879629632</v>
      </c>
      <c r="E16" t="s">
        <v>76</v>
      </c>
      <c r="F16" t="s">
        <v>23</v>
      </c>
      <c r="G16" t="e">
        <f>+_xlfn.XLOOKUP(tbl_encuesta[[#This Row],[Me siento a gusto con el ambiente de trabajo que se genera en mi equipo.]],#REF!,#REF!)</f>
        <v>#REF!</v>
      </c>
      <c r="H16" t="s">
        <v>23</v>
      </c>
      <c r="I16" t="e">
        <f>+_xlfn.XLOOKUP(tbl_encuesta[[#This Row],[Me siento motivado a dar lo mejor de mí y hacer un buen trabajo]],#REF!,#REF!)</f>
        <v>#REF!</v>
      </c>
      <c r="J16" t="s">
        <v>23</v>
      </c>
      <c r="K16" t="e">
        <f>+_xlfn.XLOOKUP(tbl_encuesta[[#This Row],[Mi supervisor o jefe directo me otorga el soporte que necesito para afrontar cualquier problema que afecte mi trabajo]],#REF!,#REF!)</f>
        <v>#REF!</v>
      </c>
      <c r="L16" t="s">
        <v>23</v>
      </c>
      <c r="M16" t="e">
        <f>+_xlfn.XLOOKUP(tbl_encuesta[[#This Row],[Mi supervisor o jefe directo fomenta que nos apoyemos entre todos en el equipo]],#REF!,#REF!)</f>
        <v>#REF!</v>
      </c>
      <c r="N16" t="s">
        <v>23</v>
      </c>
      <c r="O16" t="e">
        <f>+_xlfn.XLOOKUP(tbl_encuesta[[#This Row],[Siento que mi trabajo es reconocido por mi supervisor o jefe directo.]],#REF!,#REF!)</f>
        <v>#REF!</v>
      </c>
      <c r="P16" t="s">
        <v>31</v>
      </c>
      <c r="Q16" t="e">
        <f xml:space="preserve">
_xlfn.XLOOKUP(
tbl_encuesta[[#This Row],[Mi supervisor o jefe directo nos brinda charlas de 5 minutos y comunica las novedades relevantes a mi puesto de trabajo]],#REF!,#REF!
)</f>
        <v>#REF!</v>
      </c>
      <c r="R16" t="s">
        <v>17</v>
      </c>
      <c r="W16" t="s">
        <v>25</v>
      </c>
      <c r="X16" t="s">
        <v>23</v>
      </c>
      <c r="Y16" t="e">
        <f>+_xlfn.XLOOKUP(tbl_encuesta[[#This Row],[Considero a Limtek como un buen lugar para trabajar]],#REF!,#REF!)</f>
        <v>#REF!</v>
      </c>
      <c r="Z16" t="s">
        <v>79</v>
      </c>
      <c r="AA16" t="s">
        <v>80</v>
      </c>
      <c r="AB16" t="s">
        <v>38</v>
      </c>
      <c r="AC16" s="3" t="s">
        <v>3716</v>
      </c>
      <c r="AD16" s="3" t="s">
        <v>3716</v>
      </c>
      <c r="AE16" t="s">
        <v>29</v>
      </c>
    </row>
    <row r="17" spans="1:31" x14ac:dyDescent="0.25">
      <c r="A17">
        <v>119034184744</v>
      </c>
      <c r="B17">
        <v>462598545</v>
      </c>
      <c r="C17" s="1">
        <v>46031.774791666663</v>
      </c>
      <c r="D17" s="1">
        <v>46031.776331018518</v>
      </c>
      <c r="E17" t="s">
        <v>81</v>
      </c>
      <c r="F17" t="s">
        <v>23</v>
      </c>
      <c r="G17" t="e">
        <f>+_xlfn.XLOOKUP(tbl_encuesta[[#This Row],[Me siento a gusto con el ambiente de trabajo que se genera en mi equipo.]],#REF!,#REF!)</f>
        <v>#REF!</v>
      </c>
      <c r="H17" t="s">
        <v>23</v>
      </c>
      <c r="I17" t="e">
        <f>+_xlfn.XLOOKUP(tbl_encuesta[[#This Row],[Me siento motivado a dar lo mejor de mí y hacer un buen trabajo]],#REF!,#REF!)</f>
        <v>#REF!</v>
      </c>
      <c r="J17" t="s">
        <v>23</v>
      </c>
      <c r="K17" t="e">
        <f>+_xlfn.XLOOKUP(tbl_encuesta[[#This Row],[Mi supervisor o jefe directo me otorga el soporte que necesito para afrontar cualquier problema que afecte mi trabajo]],#REF!,#REF!)</f>
        <v>#REF!</v>
      </c>
      <c r="L17" t="s">
        <v>23</v>
      </c>
      <c r="M17" t="e">
        <f>+_xlfn.XLOOKUP(tbl_encuesta[[#This Row],[Mi supervisor o jefe directo fomenta que nos apoyemos entre todos en el equipo]],#REF!,#REF!)</f>
        <v>#REF!</v>
      </c>
      <c r="N17" t="s">
        <v>23</v>
      </c>
      <c r="O17" t="e">
        <f>+_xlfn.XLOOKUP(tbl_encuesta[[#This Row],[Siento que mi trabajo es reconocido por mi supervisor o jefe directo.]],#REF!,#REF!)</f>
        <v>#REF!</v>
      </c>
      <c r="P17" t="s">
        <v>31</v>
      </c>
      <c r="Q17" t="e">
        <f xml:space="preserve">
_xlfn.XLOOKUP(
tbl_encuesta[[#This Row],[Mi supervisor o jefe directo nos brinda charlas de 5 minutos y comunica las novedades relevantes a mi puesto de trabajo]],#REF!,#REF!
)</f>
        <v>#REF!</v>
      </c>
      <c r="R17" t="s">
        <v>17</v>
      </c>
      <c r="W17" t="s">
        <v>25</v>
      </c>
      <c r="X17" t="s">
        <v>22</v>
      </c>
      <c r="Y17" t="e">
        <f>+_xlfn.XLOOKUP(tbl_encuesta[[#This Row],[Considero a Limtek como un buen lugar para trabajar]],#REF!,#REF!)</f>
        <v>#REF!</v>
      </c>
      <c r="Z17" t="s">
        <v>3744</v>
      </c>
      <c r="AA17" t="s">
        <v>82</v>
      </c>
      <c r="AB17" t="s">
        <v>38</v>
      </c>
      <c r="AC17" s="3" t="s">
        <v>3610</v>
      </c>
      <c r="AD17" s="3" t="s">
        <v>3610</v>
      </c>
      <c r="AE17" t="s">
        <v>29</v>
      </c>
    </row>
    <row r="18" spans="1:31" x14ac:dyDescent="0.25">
      <c r="A18">
        <v>119034167769</v>
      </c>
      <c r="B18">
        <v>462598545</v>
      </c>
      <c r="C18" s="1">
        <v>46031.614872685182</v>
      </c>
      <c r="D18" s="1">
        <v>46031.746736111112</v>
      </c>
      <c r="E18" t="s">
        <v>84</v>
      </c>
      <c r="F18" t="s">
        <v>23</v>
      </c>
      <c r="G18" t="e">
        <f>+_xlfn.XLOOKUP(tbl_encuesta[[#This Row],[Me siento a gusto con el ambiente de trabajo que se genera en mi equipo.]],#REF!,#REF!)</f>
        <v>#REF!</v>
      </c>
      <c r="H18" t="s">
        <v>23</v>
      </c>
      <c r="I18" t="e">
        <f>+_xlfn.XLOOKUP(tbl_encuesta[[#This Row],[Me siento motivado a dar lo mejor de mí y hacer un buen trabajo]],#REF!,#REF!)</f>
        <v>#REF!</v>
      </c>
      <c r="J18" t="s">
        <v>22</v>
      </c>
      <c r="K18" t="e">
        <f>+_xlfn.XLOOKUP(tbl_encuesta[[#This Row],[Mi supervisor o jefe directo me otorga el soporte que necesito para afrontar cualquier problema que afecte mi trabajo]],#REF!,#REF!)</f>
        <v>#REF!</v>
      </c>
      <c r="L18" t="s">
        <v>22</v>
      </c>
      <c r="M18" t="e">
        <f>+_xlfn.XLOOKUP(tbl_encuesta[[#This Row],[Mi supervisor o jefe directo fomenta que nos apoyemos entre todos en el equipo]],#REF!,#REF!)</f>
        <v>#REF!</v>
      </c>
      <c r="N18" t="s">
        <v>22</v>
      </c>
      <c r="O18" t="e">
        <f>+_xlfn.XLOOKUP(tbl_encuesta[[#This Row],[Siento que mi trabajo es reconocido por mi supervisor o jefe directo.]],#REF!,#REF!)</f>
        <v>#REF!</v>
      </c>
      <c r="P18" t="s">
        <v>31</v>
      </c>
      <c r="Q18" t="e">
        <f xml:space="preserve">
_xlfn.XLOOKUP(
tbl_encuesta[[#This Row],[Mi supervisor o jefe directo nos brinda charlas de 5 minutos y comunica las novedades relevantes a mi puesto de trabajo]],#REF!,#REF!
)</f>
        <v>#REF!</v>
      </c>
      <c r="R18" t="s">
        <v>17</v>
      </c>
      <c r="T18" t="s">
        <v>19</v>
      </c>
      <c r="W18" t="s">
        <v>25</v>
      </c>
      <c r="X18" t="s">
        <v>22</v>
      </c>
      <c r="Y18" t="e">
        <f>+_xlfn.XLOOKUP(tbl_encuesta[[#This Row],[Considero a Limtek como un buen lugar para trabajar]],#REF!,#REF!)</f>
        <v>#REF!</v>
      </c>
      <c r="Z18" t="s">
        <v>3875</v>
      </c>
      <c r="AA18" t="s">
        <v>85</v>
      </c>
      <c r="AB18" t="s">
        <v>38</v>
      </c>
      <c r="AC18" t="s">
        <v>3744</v>
      </c>
      <c r="AD18" t="s">
        <v>3744</v>
      </c>
      <c r="AE18" t="s">
        <v>69</v>
      </c>
    </row>
    <row r="19" spans="1:31" x14ac:dyDescent="0.25">
      <c r="A19">
        <v>119034162831</v>
      </c>
      <c r="B19">
        <v>462598545</v>
      </c>
      <c r="C19" s="1">
        <v>46031.736354166664</v>
      </c>
      <c r="D19" s="1">
        <v>46031.738634259258</v>
      </c>
      <c r="E19" t="s">
        <v>86</v>
      </c>
      <c r="F19" t="s">
        <v>23</v>
      </c>
      <c r="G19" t="e">
        <f>+_xlfn.XLOOKUP(tbl_encuesta[[#This Row],[Me siento a gusto con el ambiente de trabajo que se genera en mi equipo.]],#REF!,#REF!)</f>
        <v>#REF!</v>
      </c>
      <c r="H19" t="s">
        <v>23</v>
      </c>
      <c r="I19" t="e">
        <f>+_xlfn.XLOOKUP(tbl_encuesta[[#This Row],[Me siento motivado a dar lo mejor de mí y hacer un buen trabajo]],#REF!,#REF!)</f>
        <v>#REF!</v>
      </c>
      <c r="J19" t="s">
        <v>23</v>
      </c>
      <c r="K19" t="e">
        <f>+_xlfn.XLOOKUP(tbl_encuesta[[#This Row],[Mi supervisor o jefe directo me otorga el soporte que necesito para afrontar cualquier problema que afecte mi trabajo]],#REF!,#REF!)</f>
        <v>#REF!</v>
      </c>
      <c r="L19" t="s">
        <v>22</v>
      </c>
      <c r="M19" t="e">
        <f>+_xlfn.XLOOKUP(tbl_encuesta[[#This Row],[Mi supervisor o jefe directo fomenta que nos apoyemos entre todos en el equipo]],#REF!,#REF!)</f>
        <v>#REF!</v>
      </c>
      <c r="N19" t="s">
        <v>23</v>
      </c>
      <c r="O19" t="e">
        <f>+_xlfn.XLOOKUP(tbl_encuesta[[#This Row],[Siento que mi trabajo es reconocido por mi supervisor o jefe directo.]],#REF!,#REF!)</f>
        <v>#REF!</v>
      </c>
      <c r="P19" t="s">
        <v>31</v>
      </c>
      <c r="Q19" t="e">
        <f xml:space="preserve">
_xlfn.XLOOKUP(
tbl_encuesta[[#This Row],[Mi supervisor o jefe directo nos brinda charlas de 5 minutos y comunica las novedades relevantes a mi puesto de trabajo]],#REF!,#REF!
)</f>
        <v>#REF!</v>
      </c>
      <c r="R19" t="s">
        <v>17</v>
      </c>
      <c r="V19" t="s">
        <v>87</v>
      </c>
      <c r="W19" t="s">
        <v>25</v>
      </c>
      <c r="X19" t="s">
        <v>23</v>
      </c>
      <c r="Y19" t="e">
        <f>+_xlfn.XLOOKUP(tbl_encuesta[[#This Row],[Considero a Limtek como un buen lugar para trabajar]],#REF!,#REF!)</f>
        <v>#REF!</v>
      </c>
      <c r="Z19" t="s">
        <v>88</v>
      </c>
      <c r="AA19" t="s">
        <v>89</v>
      </c>
      <c r="AB19" t="s">
        <v>38</v>
      </c>
      <c r="AC19" s="3" t="s">
        <v>3610</v>
      </c>
      <c r="AD19" s="3" t="s">
        <v>3666</v>
      </c>
      <c r="AE19" t="s">
        <v>29</v>
      </c>
    </row>
    <row r="20" spans="1:31" x14ac:dyDescent="0.25">
      <c r="A20">
        <v>119034159545</v>
      </c>
      <c r="B20">
        <v>462598545</v>
      </c>
      <c r="C20" s="1">
        <v>46031.732083333336</v>
      </c>
      <c r="D20" s="1">
        <v>46031.733472222222</v>
      </c>
      <c r="E20" t="s">
        <v>90</v>
      </c>
      <c r="F20" t="s">
        <v>23</v>
      </c>
      <c r="G20" t="e">
        <f>+_xlfn.XLOOKUP(tbl_encuesta[[#This Row],[Me siento a gusto con el ambiente de trabajo que se genera en mi equipo.]],#REF!,#REF!)</f>
        <v>#REF!</v>
      </c>
      <c r="H20" t="s">
        <v>23</v>
      </c>
      <c r="I20" t="e">
        <f>+_xlfn.XLOOKUP(tbl_encuesta[[#This Row],[Me siento motivado a dar lo mejor de mí y hacer un buen trabajo]],#REF!,#REF!)</f>
        <v>#REF!</v>
      </c>
      <c r="J20" t="s">
        <v>23</v>
      </c>
      <c r="K20" t="e">
        <f>+_xlfn.XLOOKUP(tbl_encuesta[[#This Row],[Mi supervisor o jefe directo me otorga el soporte que necesito para afrontar cualquier problema que afecte mi trabajo]],#REF!,#REF!)</f>
        <v>#REF!</v>
      </c>
      <c r="L20" t="s">
        <v>23</v>
      </c>
      <c r="M20" t="e">
        <f>+_xlfn.XLOOKUP(tbl_encuesta[[#This Row],[Mi supervisor o jefe directo fomenta que nos apoyemos entre todos en el equipo]],#REF!,#REF!)</f>
        <v>#REF!</v>
      </c>
      <c r="N20" t="s">
        <v>23</v>
      </c>
      <c r="O20" t="e">
        <f>+_xlfn.XLOOKUP(tbl_encuesta[[#This Row],[Siento que mi trabajo es reconocido por mi supervisor o jefe directo.]],#REF!,#REF!)</f>
        <v>#REF!</v>
      </c>
      <c r="P20" t="s">
        <v>31</v>
      </c>
      <c r="Q20" t="e">
        <f xml:space="preserve">
_xlfn.XLOOKUP(
tbl_encuesta[[#This Row],[Mi supervisor o jefe directo nos brinda charlas de 5 minutos y comunica las novedades relevantes a mi puesto de trabajo]],#REF!,#REF!
)</f>
        <v>#REF!</v>
      </c>
      <c r="R20" t="s">
        <v>17</v>
      </c>
      <c r="W20" t="s">
        <v>25</v>
      </c>
      <c r="X20" t="s">
        <v>23</v>
      </c>
      <c r="Y20" t="e">
        <f>+_xlfn.XLOOKUP(tbl_encuesta[[#This Row],[Considero a Limtek como un buen lugar para trabajar]],#REF!,#REF!)</f>
        <v>#REF!</v>
      </c>
      <c r="Z20" t="s">
        <v>91</v>
      </c>
      <c r="AA20" t="s">
        <v>92</v>
      </c>
      <c r="AB20" t="s">
        <v>38</v>
      </c>
      <c r="AC20" s="3" t="s">
        <v>3610</v>
      </c>
      <c r="AD20" s="3" t="s">
        <v>3610</v>
      </c>
      <c r="AE20" t="s">
        <v>34</v>
      </c>
    </row>
    <row r="21" spans="1:31" x14ac:dyDescent="0.25">
      <c r="A21">
        <v>119034154623</v>
      </c>
      <c r="B21">
        <v>462598545</v>
      </c>
      <c r="C21" s="1">
        <v>46031.718599537038</v>
      </c>
      <c r="D21" s="1">
        <v>46031.725393518522</v>
      </c>
      <c r="E21" t="s">
        <v>93</v>
      </c>
      <c r="F21" t="s">
        <v>23</v>
      </c>
      <c r="G21" t="e">
        <f>+_xlfn.XLOOKUP(tbl_encuesta[[#This Row],[Me siento a gusto con el ambiente de trabajo que se genera en mi equipo.]],#REF!,#REF!)</f>
        <v>#REF!</v>
      </c>
      <c r="H21" t="s">
        <v>23</v>
      </c>
      <c r="I21" t="e">
        <f>+_xlfn.XLOOKUP(tbl_encuesta[[#This Row],[Me siento motivado a dar lo mejor de mí y hacer un buen trabajo]],#REF!,#REF!)</f>
        <v>#REF!</v>
      </c>
      <c r="J21" t="s">
        <v>23</v>
      </c>
      <c r="K21" t="e">
        <f>+_xlfn.XLOOKUP(tbl_encuesta[[#This Row],[Mi supervisor o jefe directo me otorga el soporte que necesito para afrontar cualquier problema que afecte mi trabajo]],#REF!,#REF!)</f>
        <v>#REF!</v>
      </c>
      <c r="L21" t="s">
        <v>23</v>
      </c>
      <c r="M21" t="e">
        <f>+_xlfn.XLOOKUP(tbl_encuesta[[#This Row],[Mi supervisor o jefe directo fomenta que nos apoyemos entre todos en el equipo]],#REF!,#REF!)</f>
        <v>#REF!</v>
      </c>
      <c r="N21" t="s">
        <v>23</v>
      </c>
      <c r="O21" t="e">
        <f>+_xlfn.XLOOKUP(tbl_encuesta[[#This Row],[Siento que mi trabajo es reconocido por mi supervisor o jefe directo.]],#REF!,#REF!)</f>
        <v>#REF!</v>
      </c>
      <c r="P21" t="s">
        <v>31</v>
      </c>
      <c r="Q21" t="e">
        <f xml:space="preserve">
_xlfn.XLOOKUP(
tbl_encuesta[[#This Row],[Mi supervisor o jefe directo nos brinda charlas de 5 minutos y comunica las novedades relevantes a mi puesto de trabajo]],#REF!,#REF!
)</f>
        <v>#REF!</v>
      </c>
      <c r="S21" t="s">
        <v>18</v>
      </c>
      <c r="W21" t="s">
        <v>25</v>
      </c>
      <c r="X21" t="s">
        <v>23</v>
      </c>
      <c r="Y21" t="e">
        <f>+_xlfn.XLOOKUP(tbl_encuesta[[#This Row],[Considero a Limtek como un buen lugar para trabajar]],#REF!,#REF!)</f>
        <v>#REF!</v>
      </c>
      <c r="Z21" t="s">
        <v>94</v>
      </c>
      <c r="AA21" t="s">
        <v>95</v>
      </c>
      <c r="AB21" t="s">
        <v>38</v>
      </c>
      <c r="AC21" s="3" t="s">
        <v>3610</v>
      </c>
      <c r="AD21" s="3" t="s">
        <v>3699</v>
      </c>
      <c r="AE21" t="s">
        <v>61</v>
      </c>
    </row>
    <row r="22" spans="1:31" x14ac:dyDescent="0.25">
      <c r="A22">
        <v>119034153075</v>
      </c>
      <c r="B22">
        <v>462598545</v>
      </c>
      <c r="C22" s="1">
        <v>46031.720150462963</v>
      </c>
      <c r="D22" s="1">
        <v>46031.722766203704</v>
      </c>
      <c r="E22" t="s">
        <v>96</v>
      </c>
      <c r="F22" t="s">
        <v>22</v>
      </c>
      <c r="G22" t="e">
        <f>+_xlfn.XLOOKUP(tbl_encuesta[[#This Row],[Me siento a gusto con el ambiente de trabajo que se genera en mi equipo.]],#REF!,#REF!)</f>
        <v>#REF!</v>
      </c>
      <c r="H22" t="s">
        <v>22</v>
      </c>
      <c r="I22" t="e">
        <f>+_xlfn.XLOOKUP(tbl_encuesta[[#This Row],[Me siento motivado a dar lo mejor de mí y hacer un buen trabajo]],#REF!,#REF!)</f>
        <v>#REF!</v>
      </c>
      <c r="J22" t="s">
        <v>22</v>
      </c>
      <c r="K22" t="e">
        <f>+_xlfn.XLOOKUP(tbl_encuesta[[#This Row],[Mi supervisor o jefe directo me otorga el soporte que necesito para afrontar cualquier problema que afecte mi trabajo]],#REF!,#REF!)</f>
        <v>#REF!</v>
      </c>
      <c r="L22" t="s">
        <v>22</v>
      </c>
      <c r="M22" t="e">
        <f>+_xlfn.XLOOKUP(tbl_encuesta[[#This Row],[Mi supervisor o jefe directo fomenta que nos apoyemos entre todos en el equipo]],#REF!,#REF!)</f>
        <v>#REF!</v>
      </c>
      <c r="N22" t="s">
        <v>97</v>
      </c>
      <c r="O22" t="e">
        <f>+_xlfn.XLOOKUP(tbl_encuesta[[#This Row],[Siento que mi trabajo es reconocido por mi supervisor o jefe directo.]],#REF!,#REF!)</f>
        <v>#REF!</v>
      </c>
      <c r="P22" t="s">
        <v>24</v>
      </c>
      <c r="Q22" t="e">
        <f xml:space="preserve">
_xlfn.XLOOKUP(
tbl_encuesta[[#This Row],[Mi supervisor o jefe directo nos brinda charlas de 5 minutos y comunica las novedades relevantes a mi puesto de trabajo]],#REF!,#REF!
)</f>
        <v>#REF!</v>
      </c>
      <c r="R22" t="s">
        <v>17</v>
      </c>
      <c r="W22" t="s">
        <v>46</v>
      </c>
      <c r="X22" t="s">
        <v>22</v>
      </c>
      <c r="Y22" t="e">
        <f>+_xlfn.XLOOKUP(tbl_encuesta[[#This Row],[Considero a Limtek como un buen lugar para trabajar]],#REF!,#REF!)</f>
        <v>#REF!</v>
      </c>
      <c r="Z22" t="s">
        <v>98</v>
      </c>
      <c r="AA22" t="s">
        <v>99</v>
      </c>
      <c r="AB22" t="s">
        <v>28</v>
      </c>
      <c r="AC22" s="3" t="s">
        <v>3768</v>
      </c>
      <c r="AD22" s="3" t="s">
        <v>3768</v>
      </c>
      <c r="AE22" t="s">
        <v>69</v>
      </c>
    </row>
    <row r="23" spans="1:31" x14ac:dyDescent="0.25">
      <c r="A23">
        <v>119034151371</v>
      </c>
      <c r="B23">
        <v>462598545</v>
      </c>
      <c r="C23" s="1">
        <v>46031.71837962963</v>
      </c>
      <c r="D23" s="1">
        <v>46031.720023148147</v>
      </c>
      <c r="E23" t="s">
        <v>100</v>
      </c>
      <c r="F23" t="s">
        <v>23</v>
      </c>
      <c r="G23" t="e">
        <f>+_xlfn.XLOOKUP(tbl_encuesta[[#This Row],[Me siento a gusto con el ambiente de trabajo que se genera en mi equipo.]],#REF!,#REF!)</f>
        <v>#REF!</v>
      </c>
      <c r="H23" t="s">
        <v>23</v>
      </c>
      <c r="I23" t="e">
        <f>+_xlfn.XLOOKUP(tbl_encuesta[[#This Row],[Me siento motivado a dar lo mejor de mí y hacer un buen trabajo]],#REF!,#REF!)</f>
        <v>#REF!</v>
      </c>
      <c r="J23" t="s">
        <v>23</v>
      </c>
      <c r="K23" t="e">
        <f>+_xlfn.XLOOKUP(tbl_encuesta[[#This Row],[Mi supervisor o jefe directo me otorga el soporte que necesito para afrontar cualquier problema que afecte mi trabajo]],#REF!,#REF!)</f>
        <v>#REF!</v>
      </c>
      <c r="L23" t="s">
        <v>22</v>
      </c>
      <c r="M23" t="e">
        <f>+_xlfn.XLOOKUP(tbl_encuesta[[#This Row],[Mi supervisor o jefe directo fomenta que nos apoyemos entre todos en el equipo]],#REF!,#REF!)</f>
        <v>#REF!</v>
      </c>
      <c r="N23" t="s">
        <v>23</v>
      </c>
      <c r="O23" t="e">
        <f>+_xlfn.XLOOKUP(tbl_encuesta[[#This Row],[Siento que mi trabajo es reconocido por mi supervisor o jefe directo.]],#REF!,#REF!)</f>
        <v>#REF!</v>
      </c>
      <c r="P23" t="s">
        <v>31</v>
      </c>
      <c r="Q23" t="e">
        <f xml:space="preserve">
_xlfn.XLOOKUP(
tbl_encuesta[[#This Row],[Mi supervisor o jefe directo nos brinda charlas de 5 minutos y comunica las novedades relevantes a mi puesto de trabajo]],#REF!,#REF!
)</f>
        <v>#REF!</v>
      </c>
      <c r="T23" t="s">
        <v>19</v>
      </c>
      <c r="W23" t="s">
        <v>25</v>
      </c>
      <c r="X23" t="s">
        <v>23</v>
      </c>
      <c r="Y23" t="e">
        <f>+_xlfn.XLOOKUP(tbl_encuesta[[#This Row],[Considero a Limtek como un buen lugar para trabajar]],#REF!,#REF!)</f>
        <v>#REF!</v>
      </c>
      <c r="Z23" t="s">
        <v>101</v>
      </c>
      <c r="AA23" t="s">
        <v>102</v>
      </c>
      <c r="AB23" t="s">
        <v>38</v>
      </c>
      <c r="AC23" t="s">
        <v>3744</v>
      </c>
      <c r="AD23" t="s">
        <v>3744</v>
      </c>
      <c r="AE23" t="s">
        <v>61</v>
      </c>
    </row>
    <row r="24" spans="1:31" x14ac:dyDescent="0.25">
      <c r="A24">
        <v>119034146029</v>
      </c>
      <c r="B24">
        <v>462598545</v>
      </c>
      <c r="C24" s="1">
        <v>46031.708749999998</v>
      </c>
      <c r="D24" s="1">
        <v>46031.711875000001</v>
      </c>
      <c r="E24" t="s">
        <v>103</v>
      </c>
      <c r="F24" t="s">
        <v>23</v>
      </c>
      <c r="G24" t="e">
        <f>+_xlfn.XLOOKUP(tbl_encuesta[[#This Row],[Me siento a gusto con el ambiente de trabajo que se genera en mi equipo.]],#REF!,#REF!)</f>
        <v>#REF!</v>
      </c>
      <c r="H24" t="s">
        <v>23</v>
      </c>
      <c r="I24" t="e">
        <f>+_xlfn.XLOOKUP(tbl_encuesta[[#This Row],[Me siento motivado a dar lo mejor de mí y hacer un buen trabajo]],#REF!,#REF!)</f>
        <v>#REF!</v>
      </c>
      <c r="J24" t="s">
        <v>97</v>
      </c>
      <c r="K24" t="e">
        <f>+_xlfn.XLOOKUP(tbl_encuesta[[#This Row],[Mi supervisor o jefe directo me otorga el soporte que necesito para afrontar cualquier problema que afecte mi trabajo]],#REF!,#REF!)</f>
        <v>#REF!</v>
      </c>
      <c r="L24" t="s">
        <v>23</v>
      </c>
      <c r="M24" t="e">
        <f>+_xlfn.XLOOKUP(tbl_encuesta[[#This Row],[Mi supervisor o jefe directo fomenta que nos apoyemos entre todos en el equipo]],#REF!,#REF!)</f>
        <v>#REF!</v>
      </c>
      <c r="N24" t="s">
        <v>23</v>
      </c>
      <c r="O24" t="e">
        <f>+_xlfn.XLOOKUP(tbl_encuesta[[#This Row],[Siento que mi trabajo es reconocido por mi supervisor o jefe directo.]],#REF!,#REF!)</f>
        <v>#REF!</v>
      </c>
      <c r="P24" t="s">
        <v>31</v>
      </c>
      <c r="Q24" t="e">
        <f xml:space="preserve">
_xlfn.XLOOKUP(
tbl_encuesta[[#This Row],[Mi supervisor o jefe directo nos brinda charlas de 5 minutos y comunica las novedades relevantes a mi puesto de trabajo]],#REF!,#REF!
)</f>
        <v>#REF!</v>
      </c>
      <c r="R24" t="s">
        <v>17</v>
      </c>
      <c r="S24" t="s">
        <v>18</v>
      </c>
      <c r="W24" t="s">
        <v>25</v>
      </c>
      <c r="X24" t="s">
        <v>23</v>
      </c>
      <c r="Y24" t="e">
        <f>+_xlfn.XLOOKUP(tbl_encuesta[[#This Row],[Considero a Limtek como un buen lugar para trabajar]],#REF!,#REF!)</f>
        <v>#REF!</v>
      </c>
      <c r="Z24" t="s">
        <v>104</v>
      </c>
      <c r="AA24" t="s">
        <v>105</v>
      </c>
      <c r="AB24" t="s">
        <v>38</v>
      </c>
      <c r="AC24" s="3" t="s">
        <v>3610</v>
      </c>
      <c r="AD24" s="3" t="s">
        <v>3613</v>
      </c>
      <c r="AE24" t="s">
        <v>55</v>
      </c>
    </row>
    <row r="25" spans="1:31" x14ac:dyDescent="0.25">
      <c r="A25">
        <v>119034141634</v>
      </c>
      <c r="B25">
        <v>462598545</v>
      </c>
      <c r="C25" s="1">
        <v>46031.695706018516</v>
      </c>
      <c r="D25" s="1">
        <v>46031.706041666665</v>
      </c>
      <c r="E25" t="s">
        <v>106</v>
      </c>
      <c r="F25" t="s">
        <v>23</v>
      </c>
      <c r="G25" t="e">
        <f>+_xlfn.XLOOKUP(tbl_encuesta[[#This Row],[Me siento a gusto con el ambiente de trabajo que se genera en mi equipo.]],#REF!,#REF!)</f>
        <v>#REF!</v>
      </c>
      <c r="H25" t="s">
        <v>23</v>
      </c>
      <c r="I25" t="e">
        <f>+_xlfn.XLOOKUP(tbl_encuesta[[#This Row],[Me siento motivado a dar lo mejor de mí y hacer un buen trabajo]],#REF!,#REF!)</f>
        <v>#REF!</v>
      </c>
      <c r="J25" t="s">
        <v>22</v>
      </c>
      <c r="K25" t="e">
        <f>+_xlfn.XLOOKUP(tbl_encuesta[[#This Row],[Mi supervisor o jefe directo me otorga el soporte que necesito para afrontar cualquier problema que afecte mi trabajo]],#REF!,#REF!)</f>
        <v>#REF!</v>
      </c>
      <c r="L25" t="s">
        <v>23</v>
      </c>
      <c r="M25" t="e">
        <f>+_xlfn.XLOOKUP(tbl_encuesta[[#This Row],[Mi supervisor o jefe directo fomenta que nos apoyemos entre todos en el equipo]],#REF!,#REF!)</f>
        <v>#REF!</v>
      </c>
      <c r="N25" t="s">
        <v>23</v>
      </c>
      <c r="O25" t="e">
        <f>+_xlfn.XLOOKUP(tbl_encuesta[[#This Row],[Siento que mi trabajo es reconocido por mi supervisor o jefe directo.]],#REF!,#REF!)</f>
        <v>#REF!</v>
      </c>
      <c r="P25" t="s">
        <v>67</v>
      </c>
      <c r="Q25" t="e">
        <f xml:space="preserve">
_xlfn.XLOOKUP(
tbl_encuesta[[#This Row],[Mi supervisor o jefe directo nos brinda charlas de 5 minutos y comunica las novedades relevantes a mi puesto de trabajo]],#REF!,#REF!
)</f>
        <v>#REF!</v>
      </c>
      <c r="R25" t="s">
        <v>17</v>
      </c>
      <c r="S25" t="s">
        <v>18</v>
      </c>
      <c r="W25" t="s">
        <v>46</v>
      </c>
      <c r="X25" t="s">
        <v>23</v>
      </c>
      <c r="Y25" t="e">
        <f>+_xlfn.XLOOKUP(tbl_encuesta[[#This Row],[Considero a Limtek como un buen lugar para trabajar]],#REF!,#REF!)</f>
        <v>#REF!</v>
      </c>
      <c r="Z25" t="s">
        <v>107</v>
      </c>
      <c r="AA25" t="s">
        <v>108</v>
      </c>
      <c r="AB25" t="s">
        <v>65</v>
      </c>
      <c r="AC25" s="3" t="s">
        <v>3610</v>
      </c>
      <c r="AD25" s="3" t="s">
        <v>3614</v>
      </c>
      <c r="AE25" t="s">
        <v>55</v>
      </c>
    </row>
    <row r="26" spans="1:31" x14ac:dyDescent="0.25">
      <c r="A26">
        <v>119034133460</v>
      </c>
      <c r="B26">
        <v>462598545</v>
      </c>
      <c r="C26" s="1">
        <v>46031.685474537036</v>
      </c>
      <c r="D26" s="1">
        <v>46031.694340277776</v>
      </c>
      <c r="E26" t="s">
        <v>109</v>
      </c>
      <c r="F26" t="s">
        <v>23</v>
      </c>
      <c r="G26" t="e">
        <f>+_xlfn.XLOOKUP(tbl_encuesta[[#This Row],[Me siento a gusto con el ambiente de trabajo que se genera en mi equipo.]],#REF!,#REF!)</f>
        <v>#REF!</v>
      </c>
      <c r="H26" t="s">
        <v>23</v>
      </c>
      <c r="I26" t="e">
        <f>+_xlfn.XLOOKUP(tbl_encuesta[[#This Row],[Me siento motivado a dar lo mejor de mí y hacer un buen trabajo]],#REF!,#REF!)</f>
        <v>#REF!</v>
      </c>
      <c r="J26" t="s">
        <v>23</v>
      </c>
      <c r="K26" t="e">
        <f>+_xlfn.XLOOKUP(tbl_encuesta[[#This Row],[Mi supervisor o jefe directo me otorga el soporte que necesito para afrontar cualquier problema que afecte mi trabajo]],#REF!,#REF!)</f>
        <v>#REF!</v>
      </c>
      <c r="L26" t="s">
        <v>23</v>
      </c>
      <c r="M26" t="e">
        <f>+_xlfn.XLOOKUP(tbl_encuesta[[#This Row],[Mi supervisor o jefe directo fomenta que nos apoyemos entre todos en el equipo]],#REF!,#REF!)</f>
        <v>#REF!</v>
      </c>
      <c r="N26" t="s">
        <v>23</v>
      </c>
      <c r="O26" t="e">
        <f>+_xlfn.XLOOKUP(tbl_encuesta[[#This Row],[Siento que mi trabajo es reconocido por mi supervisor o jefe directo.]],#REF!,#REF!)</f>
        <v>#REF!</v>
      </c>
      <c r="P26" t="s">
        <v>31</v>
      </c>
      <c r="Q26" t="e">
        <f xml:space="preserve">
_xlfn.XLOOKUP(
tbl_encuesta[[#This Row],[Mi supervisor o jefe directo nos brinda charlas de 5 minutos y comunica las novedades relevantes a mi puesto de trabajo]],#REF!,#REF!
)</f>
        <v>#REF!</v>
      </c>
      <c r="S26" t="s">
        <v>18</v>
      </c>
      <c r="W26" t="s">
        <v>25</v>
      </c>
      <c r="X26" t="s">
        <v>23</v>
      </c>
      <c r="Y26" t="e">
        <f>+_xlfn.XLOOKUP(tbl_encuesta[[#This Row],[Considero a Limtek como un buen lugar para trabajar]],#REF!,#REF!)</f>
        <v>#REF!</v>
      </c>
      <c r="Z26" t="s">
        <v>110</v>
      </c>
      <c r="AA26" t="s">
        <v>111</v>
      </c>
      <c r="AB26" t="s">
        <v>38</v>
      </c>
      <c r="AC26" t="s">
        <v>3744</v>
      </c>
      <c r="AD26" t="s">
        <v>3744</v>
      </c>
      <c r="AE26" t="s">
        <v>34</v>
      </c>
    </row>
    <row r="27" spans="1:31" x14ac:dyDescent="0.25">
      <c r="A27">
        <v>119034127592</v>
      </c>
      <c r="B27">
        <v>462598545</v>
      </c>
      <c r="C27" s="1">
        <v>46031.683935185189</v>
      </c>
      <c r="D27" s="1">
        <v>46031.685856481483</v>
      </c>
      <c r="E27" t="s">
        <v>112</v>
      </c>
      <c r="F27" t="s">
        <v>23</v>
      </c>
      <c r="G27" t="e">
        <f>+_xlfn.XLOOKUP(tbl_encuesta[[#This Row],[Me siento a gusto con el ambiente de trabajo que se genera en mi equipo.]],#REF!,#REF!)</f>
        <v>#REF!</v>
      </c>
      <c r="H27" t="s">
        <v>23</v>
      </c>
      <c r="I27" t="e">
        <f>+_xlfn.XLOOKUP(tbl_encuesta[[#This Row],[Me siento motivado a dar lo mejor de mí y hacer un buen trabajo]],#REF!,#REF!)</f>
        <v>#REF!</v>
      </c>
      <c r="J27" t="s">
        <v>23</v>
      </c>
      <c r="K27" t="e">
        <f>+_xlfn.XLOOKUP(tbl_encuesta[[#This Row],[Mi supervisor o jefe directo me otorga el soporte que necesito para afrontar cualquier problema que afecte mi trabajo]],#REF!,#REF!)</f>
        <v>#REF!</v>
      </c>
      <c r="L27" t="s">
        <v>22</v>
      </c>
      <c r="M27" t="e">
        <f>+_xlfn.XLOOKUP(tbl_encuesta[[#This Row],[Mi supervisor o jefe directo fomenta que nos apoyemos entre todos en el equipo]],#REF!,#REF!)</f>
        <v>#REF!</v>
      </c>
      <c r="N27" t="s">
        <v>23</v>
      </c>
      <c r="O27" t="e">
        <f>+_xlfn.XLOOKUP(tbl_encuesta[[#This Row],[Siento que mi trabajo es reconocido por mi supervisor o jefe directo.]],#REF!,#REF!)</f>
        <v>#REF!</v>
      </c>
      <c r="P27" t="s">
        <v>31</v>
      </c>
      <c r="Q27" t="e">
        <f xml:space="preserve">
_xlfn.XLOOKUP(
tbl_encuesta[[#This Row],[Mi supervisor o jefe directo nos brinda charlas de 5 minutos y comunica las novedades relevantes a mi puesto de trabajo]],#REF!,#REF!
)</f>
        <v>#REF!</v>
      </c>
      <c r="R27" t="s">
        <v>17</v>
      </c>
      <c r="S27" t="s">
        <v>18</v>
      </c>
      <c r="W27" t="s">
        <v>25</v>
      </c>
      <c r="X27" t="s">
        <v>22</v>
      </c>
      <c r="Y27" t="e">
        <f>+_xlfn.XLOOKUP(tbl_encuesta[[#This Row],[Considero a Limtek como un buen lugar para trabajar]],#REF!,#REF!)</f>
        <v>#REF!</v>
      </c>
      <c r="Z27" t="s">
        <v>113</v>
      </c>
      <c r="AA27" t="s">
        <v>114</v>
      </c>
      <c r="AB27" t="s">
        <v>38</v>
      </c>
      <c r="AC27" t="s">
        <v>3744</v>
      </c>
      <c r="AD27" t="s">
        <v>3744</v>
      </c>
      <c r="AE27" t="s">
        <v>29</v>
      </c>
    </row>
    <row r="28" spans="1:31" x14ac:dyDescent="0.25">
      <c r="A28">
        <v>119034123200</v>
      </c>
      <c r="B28">
        <v>462598545</v>
      </c>
      <c r="C28" s="1">
        <v>46031.676863425928</v>
      </c>
      <c r="D28" s="1">
        <v>46031.679629629631</v>
      </c>
      <c r="E28" t="s">
        <v>115</v>
      </c>
      <c r="F28" t="s">
        <v>23</v>
      </c>
      <c r="G28" t="e">
        <f>+_xlfn.XLOOKUP(tbl_encuesta[[#This Row],[Me siento a gusto con el ambiente de trabajo que se genera en mi equipo.]],#REF!,#REF!)</f>
        <v>#REF!</v>
      </c>
      <c r="H28" t="s">
        <v>23</v>
      </c>
      <c r="I28" t="e">
        <f>+_xlfn.XLOOKUP(tbl_encuesta[[#This Row],[Me siento motivado a dar lo mejor de mí y hacer un buen trabajo]],#REF!,#REF!)</f>
        <v>#REF!</v>
      </c>
      <c r="J28" t="s">
        <v>23</v>
      </c>
      <c r="K28" t="e">
        <f>+_xlfn.XLOOKUP(tbl_encuesta[[#This Row],[Mi supervisor o jefe directo me otorga el soporte que necesito para afrontar cualquier problema que afecte mi trabajo]],#REF!,#REF!)</f>
        <v>#REF!</v>
      </c>
      <c r="L28" t="s">
        <v>23</v>
      </c>
      <c r="M28" t="e">
        <f>+_xlfn.XLOOKUP(tbl_encuesta[[#This Row],[Mi supervisor o jefe directo fomenta que nos apoyemos entre todos en el equipo]],#REF!,#REF!)</f>
        <v>#REF!</v>
      </c>
      <c r="N28" t="s">
        <v>23</v>
      </c>
      <c r="O28" t="e">
        <f>+_xlfn.XLOOKUP(tbl_encuesta[[#This Row],[Siento que mi trabajo es reconocido por mi supervisor o jefe directo.]],#REF!,#REF!)</f>
        <v>#REF!</v>
      </c>
      <c r="P28" t="s">
        <v>31</v>
      </c>
      <c r="Q28" t="e">
        <f xml:space="preserve">
_xlfn.XLOOKUP(
tbl_encuesta[[#This Row],[Mi supervisor o jefe directo nos brinda charlas de 5 minutos y comunica las novedades relevantes a mi puesto de trabajo]],#REF!,#REF!
)</f>
        <v>#REF!</v>
      </c>
      <c r="R28" t="s">
        <v>17</v>
      </c>
      <c r="W28" t="s">
        <v>25</v>
      </c>
      <c r="X28" t="s">
        <v>23</v>
      </c>
      <c r="Y28" t="e">
        <f>+_xlfn.XLOOKUP(tbl_encuesta[[#This Row],[Considero a Limtek como un buen lugar para trabajar]],#REF!,#REF!)</f>
        <v>#REF!</v>
      </c>
      <c r="Z28" t="s">
        <v>3744</v>
      </c>
      <c r="AA28" t="s">
        <v>116</v>
      </c>
      <c r="AB28" t="s">
        <v>28</v>
      </c>
      <c r="AC28" s="3" t="s">
        <v>3769</v>
      </c>
      <c r="AD28" s="3" t="s">
        <v>3770</v>
      </c>
      <c r="AE28" t="s">
        <v>34</v>
      </c>
    </row>
    <row r="29" spans="1:31" x14ac:dyDescent="0.25">
      <c r="A29">
        <v>119034117349</v>
      </c>
      <c r="B29">
        <v>462598545</v>
      </c>
      <c r="C29" s="1">
        <v>46031.665335648147</v>
      </c>
      <c r="D29" s="1">
        <v>46031.672048611108</v>
      </c>
      <c r="E29" t="s">
        <v>117</v>
      </c>
      <c r="F29" t="s">
        <v>23</v>
      </c>
      <c r="G29" t="e">
        <f>+_xlfn.XLOOKUP(tbl_encuesta[[#This Row],[Me siento a gusto con el ambiente de trabajo que se genera en mi equipo.]],#REF!,#REF!)</f>
        <v>#REF!</v>
      </c>
      <c r="H29" t="s">
        <v>23</v>
      </c>
      <c r="I29" t="e">
        <f>+_xlfn.XLOOKUP(tbl_encuesta[[#This Row],[Me siento motivado a dar lo mejor de mí y hacer un buen trabajo]],#REF!,#REF!)</f>
        <v>#REF!</v>
      </c>
      <c r="J29" t="s">
        <v>23</v>
      </c>
      <c r="K29" t="e">
        <f>+_xlfn.XLOOKUP(tbl_encuesta[[#This Row],[Mi supervisor o jefe directo me otorga el soporte que necesito para afrontar cualquier problema que afecte mi trabajo]],#REF!,#REF!)</f>
        <v>#REF!</v>
      </c>
      <c r="L29" t="s">
        <v>23</v>
      </c>
      <c r="M29" t="e">
        <f>+_xlfn.XLOOKUP(tbl_encuesta[[#This Row],[Mi supervisor o jefe directo fomenta que nos apoyemos entre todos en el equipo]],#REF!,#REF!)</f>
        <v>#REF!</v>
      </c>
      <c r="N29" t="s">
        <v>23</v>
      </c>
      <c r="O29" t="e">
        <f>+_xlfn.XLOOKUP(tbl_encuesta[[#This Row],[Siento que mi trabajo es reconocido por mi supervisor o jefe directo.]],#REF!,#REF!)</f>
        <v>#REF!</v>
      </c>
      <c r="P29" t="s">
        <v>31</v>
      </c>
      <c r="Q29" t="e">
        <f xml:space="preserve">
_xlfn.XLOOKUP(
tbl_encuesta[[#This Row],[Mi supervisor o jefe directo nos brinda charlas de 5 minutos y comunica las novedades relevantes a mi puesto de trabajo]],#REF!,#REF!
)</f>
        <v>#REF!</v>
      </c>
      <c r="R29" t="s">
        <v>17</v>
      </c>
      <c r="T29" t="s">
        <v>19</v>
      </c>
      <c r="W29" t="s">
        <v>25</v>
      </c>
      <c r="X29" t="s">
        <v>23</v>
      </c>
      <c r="Y29" t="e">
        <f>+_xlfn.XLOOKUP(tbl_encuesta[[#This Row],[Considero a Limtek como un buen lugar para trabajar]],#REF!,#REF!)</f>
        <v>#REF!</v>
      </c>
      <c r="Z29" t="s">
        <v>118</v>
      </c>
      <c r="AA29" t="s">
        <v>119</v>
      </c>
      <c r="AB29" t="s">
        <v>38</v>
      </c>
      <c r="AC29" t="s">
        <v>3592</v>
      </c>
      <c r="AD29" t="s">
        <v>120</v>
      </c>
      <c r="AE29" t="s">
        <v>69</v>
      </c>
    </row>
    <row r="30" spans="1:31" x14ac:dyDescent="0.25">
      <c r="A30">
        <v>119034115951</v>
      </c>
      <c r="B30">
        <v>462598545</v>
      </c>
      <c r="C30" s="1">
        <v>46031.654317129629</v>
      </c>
      <c r="D30" s="1">
        <v>46031.670231481483</v>
      </c>
      <c r="E30" t="s">
        <v>121</v>
      </c>
      <c r="F30" t="s">
        <v>23</v>
      </c>
      <c r="G30" t="e">
        <f>+_xlfn.XLOOKUP(tbl_encuesta[[#This Row],[Me siento a gusto con el ambiente de trabajo que se genera en mi equipo.]],#REF!,#REF!)</f>
        <v>#REF!</v>
      </c>
      <c r="H30" t="s">
        <v>23</v>
      </c>
      <c r="I30" t="e">
        <f>+_xlfn.XLOOKUP(tbl_encuesta[[#This Row],[Me siento motivado a dar lo mejor de mí y hacer un buen trabajo]],#REF!,#REF!)</f>
        <v>#REF!</v>
      </c>
      <c r="J30" t="s">
        <v>23</v>
      </c>
      <c r="K30" t="e">
        <f>+_xlfn.XLOOKUP(tbl_encuesta[[#This Row],[Mi supervisor o jefe directo me otorga el soporte que necesito para afrontar cualquier problema que afecte mi trabajo]],#REF!,#REF!)</f>
        <v>#REF!</v>
      </c>
      <c r="L30" t="s">
        <v>23</v>
      </c>
      <c r="M30" t="e">
        <f>+_xlfn.XLOOKUP(tbl_encuesta[[#This Row],[Mi supervisor o jefe directo fomenta que nos apoyemos entre todos en el equipo]],#REF!,#REF!)</f>
        <v>#REF!</v>
      </c>
      <c r="N30" t="s">
        <v>23</v>
      </c>
      <c r="O30" t="e">
        <f>+_xlfn.XLOOKUP(tbl_encuesta[[#This Row],[Siento que mi trabajo es reconocido por mi supervisor o jefe directo.]],#REF!,#REF!)</f>
        <v>#REF!</v>
      </c>
      <c r="P30" t="s">
        <v>31</v>
      </c>
      <c r="Q30" t="e">
        <f xml:space="preserve">
_xlfn.XLOOKUP(
tbl_encuesta[[#This Row],[Mi supervisor o jefe directo nos brinda charlas de 5 minutos y comunica las novedades relevantes a mi puesto de trabajo]],#REF!,#REF!
)</f>
        <v>#REF!</v>
      </c>
      <c r="R30" t="s">
        <v>17</v>
      </c>
      <c r="T30" t="s">
        <v>19</v>
      </c>
      <c r="W30" t="s">
        <v>25</v>
      </c>
      <c r="X30" t="s">
        <v>23</v>
      </c>
      <c r="Y30" t="e">
        <f>+_xlfn.XLOOKUP(tbl_encuesta[[#This Row],[Considero a Limtek como un buen lugar para trabajar]],#REF!,#REF!)</f>
        <v>#REF!</v>
      </c>
      <c r="Z30" t="s">
        <v>3876</v>
      </c>
      <c r="AA30" t="s">
        <v>122</v>
      </c>
      <c r="AB30" t="s">
        <v>38</v>
      </c>
      <c r="AC30" s="3" t="s">
        <v>3610</v>
      </c>
      <c r="AD30" s="3" t="s">
        <v>3608</v>
      </c>
      <c r="AE30" t="s">
        <v>34</v>
      </c>
    </row>
    <row r="31" spans="1:31" x14ac:dyDescent="0.25">
      <c r="A31">
        <v>119034100135</v>
      </c>
      <c r="B31">
        <v>462598545</v>
      </c>
      <c r="C31" s="1">
        <v>46031.645162037035</v>
      </c>
      <c r="D31" s="1">
        <v>46031.650937500002</v>
      </c>
      <c r="E31" t="s">
        <v>123</v>
      </c>
      <c r="F31" t="s">
        <v>23</v>
      </c>
      <c r="G31" t="e">
        <f>+_xlfn.XLOOKUP(tbl_encuesta[[#This Row],[Me siento a gusto con el ambiente de trabajo que se genera en mi equipo.]],#REF!,#REF!)</f>
        <v>#REF!</v>
      </c>
      <c r="H31" t="s">
        <v>23</v>
      </c>
      <c r="I31" t="e">
        <f>+_xlfn.XLOOKUP(tbl_encuesta[[#This Row],[Me siento motivado a dar lo mejor de mí y hacer un buen trabajo]],#REF!,#REF!)</f>
        <v>#REF!</v>
      </c>
      <c r="J31" t="s">
        <v>22</v>
      </c>
      <c r="K31" t="e">
        <f>+_xlfn.XLOOKUP(tbl_encuesta[[#This Row],[Mi supervisor o jefe directo me otorga el soporte que necesito para afrontar cualquier problema que afecte mi trabajo]],#REF!,#REF!)</f>
        <v>#REF!</v>
      </c>
      <c r="L31" t="s">
        <v>23</v>
      </c>
      <c r="M31" t="e">
        <f>+_xlfn.XLOOKUP(tbl_encuesta[[#This Row],[Mi supervisor o jefe directo fomenta que nos apoyemos entre todos en el equipo]],#REF!,#REF!)</f>
        <v>#REF!</v>
      </c>
      <c r="N31" t="s">
        <v>23</v>
      </c>
      <c r="O31" t="e">
        <f>+_xlfn.XLOOKUP(tbl_encuesta[[#This Row],[Siento que mi trabajo es reconocido por mi supervisor o jefe directo.]],#REF!,#REF!)</f>
        <v>#REF!</v>
      </c>
      <c r="P31" t="s">
        <v>31</v>
      </c>
      <c r="Q31" t="e">
        <f xml:space="preserve">
_xlfn.XLOOKUP(
tbl_encuesta[[#This Row],[Mi supervisor o jefe directo nos brinda charlas de 5 minutos y comunica las novedades relevantes a mi puesto de trabajo]],#REF!,#REF!
)</f>
        <v>#REF!</v>
      </c>
      <c r="R31" t="s">
        <v>17</v>
      </c>
      <c r="U31" t="s">
        <v>20</v>
      </c>
      <c r="W31" t="s">
        <v>25</v>
      </c>
      <c r="X31" t="s">
        <v>22</v>
      </c>
      <c r="Y31" t="e">
        <f>+_xlfn.XLOOKUP(tbl_encuesta[[#This Row],[Considero a Limtek como un buen lugar para trabajar]],#REF!,#REF!)</f>
        <v>#REF!</v>
      </c>
      <c r="Z31" t="s">
        <v>124</v>
      </c>
      <c r="AA31" t="s">
        <v>125</v>
      </c>
      <c r="AB31" t="s">
        <v>28</v>
      </c>
      <c r="AC31" s="3" t="s">
        <v>3764</v>
      </c>
      <c r="AD31" s="3" t="s">
        <v>3765</v>
      </c>
      <c r="AE31" t="s">
        <v>61</v>
      </c>
    </row>
    <row r="32" spans="1:31" x14ac:dyDescent="0.25">
      <c r="A32">
        <v>119034100117</v>
      </c>
      <c r="B32">
        <v>462598545</v>
      </c>
      <c r="C32" s="1">
        <v>46031.645011574074</v>
      </c>
      <c r="D32" s="1">
        <v>46031.650925925926</v>
      </c>
      <c r="E32" t="s">
        <v>126</v>
      </c>
      <c r="F32" t="s">
        <v>23</v>
      </c>
      <c r="G32" t="e">
        <f>+_xlfn.XLOOKUP(tbl_encuesta[[#This Row],[Me siento a gusto con el ambiente de trabajo que se genera en mi equipo.]],#REF!,#REF!)</f>
        <v>#REF!</v>
      </c>
      <c r="H32" t="s">
        <v>23</v>
      </c>
      <c r="I32" t="e">
        <f>+_xlfn.XLOOKUP(tbl_encuesta[[#This Row],[Me siento motivado a dar lo mejor de mí y hacer un buen trabajo]],#REF!,#REF!)</f>
        <v>#REF!</v>
      </c>
      <c r="J32" t="s">
        <v>23</v>
      </c>
      <c r="K32" t="e">
        <f>+_xlfn.XLOOKUP(tbl_encuesta[[#This Row],[Mi supervisor o jefe directo me otorga el soporte que necesito para afrontar cualquier problema que afecte mi trabajo]],#REF!,#REF!)</f>
        <v>#REF!</v>
      </c>
      <c r="L32" t="s">
        <v>23</v>
      </c>
      <c r="M32" t="e">
        <f>+_xlfn.XLOOKUP(tbl_encuesta[[#This Row],[Mi supervisor o jefe directo fomenta que nos apoyemos entre todos en el equipo]],#REF!,#REF!)</f>
        <v>#REF!</v>
      </c>
      <c r="N32" t="s">
        <v>23</v>
      </c>
      <c r="O32" t="e">
        <f>+_xlfn.XLOOKUP(tbl_encuesta[[#This Row],[Siento que mi trabajo es reconocido por mi supervisor o jefe directo.]],#REF!,#REF!)</f>
        <v>#REF!</v>
      </c>
      <c r="P32" t="s">
        <v>31</v>
      </c>
      <c r="Q32" t="e">
        <f xml:space="preserve">
_xlfn.XLOOKUP(
tbl_encuesta[[#This Row],[Mi supervisor o jefe directo nos brinda charlas de 5 minutos y comunica las novedades relevantes a mi puesto de trabajo]],#REF!,#REF!
)</f>
        <v>#REF!</v>
      </c>
      <c r="R32" t="s">
        <v>17</v>
      </c>
      <c r="U32" t="s">
        <v>20</v>
      </c>
      <c r="W32" t="s">
        <v>25</v>
      </c>
      <c r="X32" t="s">
        <v>22</v>
      </c>
      <c r="Y32" t="e">
        <f>+_xlfn.XLOOKUP(tbl_encuesta[[#This Row],[Considero a Limtek como un buen lugar para trabajar]],#REF!,#REF!)</f>
        <v>#REF!</v>
      </c>
      <c r="Z32" t="s">
        <v>124</v>
      </c>
      <c r="AA32" t="s">
        <v>127</v>
      </c>
      <c r="AB32" t="s">
        <v>28</v>
      </c>
      <c r="AC32" s="3" t="s">
        <v>3764</v>
      </c>
      <c r="AD32" s="3" t="s">
        <v>3765</v>
      </c>
      <c r="AE32" t="s">
        <v>69</v>
      </c>
    </row>
    <row r="33" spans="1:31" x14ac:dyDescent="0.25">
      <c r="A33">
        <v>119034070844</v>
      </c>
      <c r="B33">
        <v>462598545</v>
      </c>
      <c r="C33" s="1">
        <v>46031.604641203703</v>
      </c>
      <c r="D33" s="1">
        <v>46031.616956018515</v>
      </c>
      <c r="E33" t="s">
        <v>128</v>
      </c>
      <c r="F33" t="s">
        <v>23</v>
      </c>
      <c r="G33" t="e">
        <f>+_xlfn.XLOOKUP(tbl_encuesta[[#This Row],[Me siento a gusto con el ambiente de trabajo que se genera en mi equipo.]],#REF!,#REF!)</f>
        <v>#REF!</v>
      </c>
      <c r="H33" t="s">
        <v>23</v>
      </c>
      <c r="I33" t="e">
        <f>+_xlfn.XLOOKUP(tbl_encuesta[[#This Row],[Me siento motivado a dar lo mejor de mí y hacer un buen trabajo]],#REF!,#REF!)</f>
        <v>#REF!</v>
      </c>
      <c r="J33" t="s">
        <v>23</v>
      </c>
      <c r="K33" t="e">
        <f>+_xlfn.XLOOKUP(tbl_encuesta[[#This Row],[Mi supervisor o jefe directo me otorga el soporte que necesito para afrontar cualquier problema que afecte mi trabajo]],#REF!,#REF!)</f>
        <v>#REF!</v>
      </c>
      <c r="L33" t="s">
        <v>23</v>
      </c>
      <c r="M33" t="e">
        <f>+_xlfn.XLOOKUP(tbl_encuesta[[#This Row],[Mi supervisor o jefe directo fomenta que nos apoyemos entre todos en el equipo]],#REF!,#REF!)</f>
        <v>#REF!</v>
      </c>
      <c r="N33" t="s">
        <v>23</v>
      </c>
      <c r="O33" t="e">
        <f>+_xlfn.XLOOKUP(tbl_encuesta[[#This Row],[Siento que mi trabajo es reconocido por mi supervisor o jefe directo.]],#REF!,#REF!)</f>
        <v>#REF!</v>
      </c>
      <c r="P33" t="s">
        <v>67</v>
      </c>
      <c r="Q33" t="e">
        <f xml:space="preserve">
_xlfn.XLOOKUP(
tbl_encuesta[[#This Row],[Mi supervisor o jefe directo nos brinda charlas de 5 minutos y comunica las novedades relevantes a mi puesto de trabajo]],#REF!,#REF!
)</f>
        <v>#REF!</v>
      </c>
      <c r="S33" t="s">
        <v>18</v>
      </c>
      <c r="W33" t="s">
        <v>25</v>
      </c>
      <c r="X33" t="s">
        <v>23</v>
      </c>
      <c r="Y33" t="e">
        <f>+_xlfn.XLOOKUP(tbl_encuesta[[#This Row],[Considero a Limtek como un buen lugar para trabajar]],#REF!,#REF!)</f>
        <v>#REF!</v>
      </c>
      <c r="Z33" t="s">
        <v>129</v>
      </c>
      <c r="AA33" t="s">
        <v>130</v>
      </c>
      <c r="AB33" t="s">
        <v>72</v>
      </c>
      <c r="AC33" s="3" t="s">
        <v>3716</v>
      </c>
      <c r="AD33" s="3" t="s">
        <v>72</v>
      </c>
      <c r="AE33" t="s">
        <v>61</v>
      </c>
    </row>
    <row r="34" spans="1:31" x14ac:dyDescent="0.25">
      <c r="A34">
        <v>119034070673</v>
      </c>
      <c r="B34">
        <v>462598545</v>
      </c>
      <c r="C34" s="1">
        <v>46031.611608796295</v>
      </c>
      <c r="D34" s="1">
        <v>46031.616770833331</v>
      </c>
      <c r="E34" t="s">
        <v>131</v>
      </c>
      <c r="F34" t="s">
        <v>23</v>
      </c>
      <c r="G34" t="e">
        <f>+_xlfn.XLOOKUP(tbl_encuesta[[#This Row],[Me siento a gusto con el ambiente de trabajo que se genera en mi equipo.]],#REF!,#REF!)</f>
        <v>#REF!</v>
      </c>
      <c r="H34" t="s">
        <v>23</v>
      </c>
      <c r="I34" t="e">
        <f>+_xlfn.XLOOKUP(tbl_encuesta[[#This Row],[Me siento motivado a dar lo mejor de mí y hacer un buen trabajo]],#REF!,#REF!)</f>
        <v>#REF!</v>
      </c>
      <c r="J34" t="s">
        <v>22</v>
      </c>
      <c r="K34" t="e">
        <f>+_xlfn.XLOOKUP(tbl_encuesta[[#This Row],[Mi supervisor o jefe directo me otorga el soporte que necesito para afrontar cualquier problema que afecte mi trabajo]],#REF!,#REF!)</f>
        <v>#REF!</v>
      </c>
      <c r="L34" t="s">
        <v>23</v>
      </c>
      <c r="M34" t="e">
        <f>+_xlfn.XLOOKUP(tbl_encuesta[[#This Row],[Mi supervisor o jefe directo fomenta que nos apoyemos entre todos en el equipo]],#REF!,#REF!)</f>
        <v>#REF!</v>
      </c>
      <c r="N34" t="s">
        <v>23</v>
      </c>
      <c r="O34" t="e">
        <f>+_xlfn.XLOOKUP(tbl_encuesta[[#This Row],[Siento que mi trabajo es reconocido por mi supervisor o jefe directo.]],#REF!,#REF!)</f>
        <v>#REF!</v>
      </c>
      <c r="P34" t="s">
        <v>31</v>
      </c>
      <c r="Q34" t="e">
        <f xml:space="preserve">
_xlfn.XLOOKUP(
tbl_encuesta[[#This Row],[Mi supervisor o jefe directo nos brinda charlas de 5 minutos y comunica las novedades relevantes a mi puesto de trabajo]],#REF!,#REF!
)</f>
        <v>#REF!</v>
      </c>
      <c r="U34" t="s">
        <v>20</v>
      </c>
      <c r="W34" t="s">
        <v>25</v>
      </c>
      <c r="X34" t="s">
        <v>23</v>
      </c>
      <c r="Y34" t="e">
        <f>+_xlfn.XLOOKUP(tbl_encuesta[[#This Row],[Considero a Limtek como un buen lugar para trabajar]],#REF!,#REF!)</f>
        <v>#REF!</v>
      </c>
      <c r="Z34" t="s">
        <v>132</v>
      </c>
      <c r="AA34" t="s">
        <v>133</v>
      </c>
      <c r="AB34" t="s">
        <v>38</v>
      </c>
      <c r="AC34" s="3" t="s">
        <v>3610</v>
      </c>
      <c r="AD34" s="3" t="s">
        <v>3702</v>
      </c>
      <c r="AE34" t="s">
        <v>34</v>
      </c>
    </row>
    <row r="35" spans="1:31" x14ac:dyDescent="0.25">
      <c r="A35">
        <v>119034070500</v>
      </c>
      <c r="B35">
        <v>462598545</v>
      </c>
      <c r="C35" s="1">
        <v>46031.608622685184</v>
      </c>
      <c r="D35" s="1">
        <v>46031.616574074076</v>
      </c>
      <c r="E35" t="s">
        <v>134</v>
      </c>
      <c r="F35" t="s">
        <v>23</v>
      </c>
      <c r="G35" t="e">
        <f>+_xlfn.XLOOKUP(tbl_encuesta[[#This Row],[Me siento a gusto con el ambiente de trabajo que se genera en mi equipo.]],#REF!,#REF!)</f>
        <v>#REF!</v>
      </c>
      <c r="H35" t="s">
        <v>23</v>
      </c>
      <c r="I35" t="e">
        <f>+_xlfn.XLOOKUP(tbl_encuesta[[#This Row],[Me siento motivado a dar lo mejor de mí y hacer un buen trabajo]],#REF!,#REF!)</f>
        <v>#REF!</v>
      </c>
      <c r="J35" t="s">
        <v>23</v>
      </c>
      <c r="K35" t="e">
        <f>+_xlfn.XLOOKUP(tbl_encuesta[[#This Row],[Mi supervisor o jefe directo me otorga el soporte que necesito para afrontar cualquier problema que afecte mi trabajo]],#REF!,#REF!)</f>
        <v>#REF!</v>
      </c>
      <c r="L35" t="s">
        <v>23</v>
      </c>
      <c r="M35" t="e">
        <f>+_xlfn.XLOOKUP(tbl_encuesta[[#This Row],[Mi supervisor o jefe directo fomenta que nos apoyemos entre todos en el equipo]],#REF!,#REF!)</f>
        <v>#REF!</v>
      </c>
      <c r="N35" t="s">
        <v>23</v>
      </c>
      <c r="O35" t="e">
        <f>+_xlfn.XLOOKUP(tbl_encuesta[[#This Row],[Siento que mi trabajo es reconocido por mi supervisor o jefe directo.]],#REF!,#REF!)</f>
        <v>#REF!</v>
      </c>
      <c r="P35" t="s">
        <v>31</v>
      </c>
      <c r="Q35" t="e">
        <f xml:space="preserve">
_xlfn.XLOOKUP(
tbl_encuesta[[#This Row],[Mi supervisor o jefe directo nos brinda charlas de 5 minutos y comunica las novedades relevantes a mi puesto de trabajo]],#REF!,#REF!
)</f>
        <v>#REF!</v>
      </c>
      <c r="R35" t="s">
        <v>17</v>
      </c>
      <c r="S35" t="s">
        <v>18</v>
      </c>
      <c r="W35" t="s">
        <v>25</v>
      </c>
      <c r="X35" t="s">
        <v>23</v>
      </c>
      <c r="Y35" t="e">
        <f>+_xlfn.XLOOKUP(tbl_encuesta[[#This Row],[Considero a Limtek como un buen lugar para trabajar]],#REF!,#REF!)</f>
        <v>#REF!</v>
      </c>
      <c r="Z35" t="s">
        <v>135</v>
      </c>
      <c r="AA35" t="s">
        <v>136</v>
      </c>
      <c r="AB35" t="s">
        <v>38</v>
      </c>
      <c r="AC35" s="3" t="s">
        <v>3610</v>
      </c>
      <c r="AD35" t="s">
        <v>137</v>
      </c>
      <c r="AE35" t="s">
        <v>61</v>
      </c>
    </row>
    <row r="36" spans="1:31" x14ac:dyDescent="0.25">
      <c r="A36">
        <v>119034057098</v>
      </c>
      <c r="B36">
        <v>462598545</v>
      </c>
      <c r="C36" s="1">
        <v>46031.598773148151</v>
      </c>
      <c r="D36" s="1">
        <v>46031.601759259262</v>
      </c>
      <c r="E36" t="s">
        <v>138</v>
      </c>
      <c r="F36" t="s">
        <v>22</v>
      </c>
      <c r="G36" t="e">
        <f>+_xlfn.XLOOKUP(tbl_encuesta[[#This Row],[Me siento a gusto con el ambiente de trabajo que se genera en mi equipo.]],#REF!,#REF!)</f>
        <v>#REF!</v>
      </c>
      <c r="H36" t="s">
        <v>22</v>
      </c>
      <c r="I36" t="e">
        <f>+_xlfn.XLOOKUP(tbl_encuesta[[#This Row],[Me siento motivado a dar lo mejor de mí y hacer un buen trabajo]],#REF!,#REF!)</f>
        <v>#REF!</v>
      </c>
      <c r="J36" t="s">
        <v>97</v>
      </c>
      <c r="K36" t="e">
        <f>+_xlfn.XLOOKUP(tbl_encuesta[[#This Row],[Mi supervisor o jefe directo me otorga el soporte que necesito para afrontar cualquier problema que afecte mi trabajo]],#REF!,#REF!)</f>
        <v>#REF!</v>
      </c>
      <c r="L36" t="s">
        <v>22</v>
      </c>
      <c r="M36" t="e">
        <f>+_xlfn.XLOOKUP(tbl_encuesta[[#This Row],[Mi supervisor o jefe directo fomenta que nos apoyemos entre todos en el equipo]],#REF!,#REF!)</f>
        <v>#REF!</v>
      </c>
      <c r="N36" t="s">
        <v>22</v>
      </c>
      <c r="O36" t="e">
        <f>+_xlfn.XLOOKUP(tbl_encuesta[[#This Row],[Siento que mi trabajo es reconocido por mi supervisor o jefe directo.]],#REF!,#REF!)</f>
        <v>#REF!</v>
      </c>
      <c r="P36" t="s">
        <v>24</v>
      </c>
      <c r="Q36" t="e">
        <f xml:space="preserve">
_xlfn.XLOOKUP(
tbl_encuesta[[#This Row],[Mi supervisor o jefe directo nos brinda charlas de 5 minutos y comunica las novedades relevantes a mi puesto de trabajo]],#REF!,#REF!
)</f>
        <v>#REF!</v>
      </c>
      <c r="U36" t="s">
        <v>20</v>
      </c>
      <c r="W36" t="s">
        <v>25</v>
      </c>
      <c r="X36" t="s">
        <v>22</v>
      </c>
      <c r="Y36" t="e">
        <f>+_xlfn.XLOOKUP(tbl_encuesta[[#This Row],[Considero a Limtek como un buen lugar para trabajar]],#REF!,#REF!)</f>
        <v>#REF!</v>
      </c>
      <c r="Z36" t="s">
        <v>139</v>
      </c>
      <c r="AA36" t="s">
        <v>140</v>
      </c>
      <c r="AB36" t="s">
        <v>28</v>
      </c>
      <c r="AC36" s="3" t="s">
        <v>3736</v>
      </c>
      <c r="AD36" s="3" t="s">
        <v>3736</v>
      </c>
      <c r="AE36" t="s">
        <v>61</v>
      </c>
    </row>
    <row r="37" spans="1:31" x14ac:dyDescent="0.25">
      <c r="A37">
        <v>119034056150</v>
      </c>
      <c r="B37">
        <v>462598545</v>
      </c>
      <c r="C37" s="1">
        <v>46031.598796296297</v>
      </c>
      <c r="D37" s="1">
        <v>46031.600740740738</v>
      </c>
      <c r="E37" t="s">
        <v>141</v>
      </c>
      <c r="F37" t="s">
        <v>23</v>
      </c>
      <c r="G37" t="e">
        <f>+_xlfn.XLOOKUP(tbl_encuesta[[#This Row],[Me siento a gusto con el ambiente de trabajo que se genera en mi equipo.]],#REF!,#REF!)</f>
        <v>#REF!</v>
      </c>
      <c r="H37" t="s">
        <v>23</v>
      </c>
      <c r="I37" t="e">
        <f>+_xlfn.XLOOKUP(tbl_encuesta[[#This Row],[Me siento motivado a dar lo mejor de mí y hacer un buen trabajo]],#REF!,#REF!)</f>
        <v>#REF!</v>
      </c>
      <c r="J37" t="s">
        <v>23</v>
      </c>
      <c r="K37" t="e">
        <f>+_xlfn.XLOOKUP(tbl_encuesta[[#This Row],[Mi supervisor o jefe directo me otorga el soporte que necesito para afrontar cualquier problema que afecte mi trabajo]],#REF!,#REF!)</f>
        <v>#REF!</v>
      </c>
      <c r="L37" t="s">
        <v>23</v>
      </c>
      <c r="M37" t="e">
        <f>+_xlfn.XLOOKUP(tbl_encuesta[[#This Row],[Mi supervisor o jefe directo fomenta que nos apoyemos entre todos en el equipo]],#REF!,#REF!)</f>
        <v>#REF!</v>
      </c>
      <c r="N37" t="s">
        <v>23</v>
      </c>
      <c r="O37" t="e">
        <f>+_xlfn.XLOOKUP(tbl_encuesta[[#This Row],[Siento que mi trabajo es reconocido por mi supervisor o jefe directo.]],#REF!,#REF!)</f>
        <v>#REF!</v>
      </c>
      <c r="P37" t="s">
        <v>31</v>
      </c>
      <c r="Q37" t="e">
        <f xml:space="preserve">
_xlfn.XLOOKUP(
tbl_encuesta[[#This Row],[Mi supervisor o jefe directo nos brinda charlas de 5 minutos y comunica las novedades relevantes a mi puesto de trabajo]],#REF!,#REF!
)</f>
        <v>#REF!</v>
      </c>
      <c r="R37" t="s">
        <v>17</v>
      </c>
      <c r="W37" t="s">
        <v>25</v>
      </c>
      <c r="X37" t="s">
        <v>23</v>
      </c>
      <c r="Y37" t="e">
        <f>+_xlfn.XLOOKUP(tbl_encuesta[[#This Row],[Considero a Limtek como un buen lugar para trabajar]],#REF!,#REF!)</f>
        <v>#REF!</v>
      </c>
      <c r="Z37" t="s">
        <v>142</v>
      </c>
      <c r="AA37" t="s">
        <v>122</v>
      </c>
      <c r="AB37" t="s">
        <v>65</v>
      </c>
      <c r="AC37" s="3" t="s">
        <v>3610</v>
      </c>
      <c r="AD37" s="3" t="s">
        <v>3615</v>
      </c>
      <c r="AE37" t="s">
        <v>34</v>
      </c>
    </row>
    <row r="38" spans="1:31" x14ac:dyDescent="0.25">
      <c r="A38">
        <v>119034055259</v>
      </c>
      <c r="B38">
        <v>462598545</v>
      </c>
      <c r="C38" s="1">
        <v>46031.583194444444</v>
      </c>
      <c r="D38" s="1">
        <v>46031.599745370368</v>
      </c>
      <c r="E38" t="s">
        <v>143</v>
      </c>
      <c r="F38" t="s">
        <v>23</v>
      </c>
      <c r="G38" t="e">
        <f>+_xlfn.XLOOKUP(tbl_encuesta[[#This Row],[Me siento a gusto con el ambiente de trabajo que se genera en mi equipo.]],#REF!,#REF!)</f>
        <v>#REF!</v>
      </c>
      <c r="H38" t="s">
        <v>23</v>
      </c>
      <c r="I38" t="e">
        <f>+_xlfn.XLOOKUP(tbl_encuesta[[#This Row],[Me siento motivado a dar lo mejor de mí y hacer un buen trabajo]],#REF!,#REF!)</f>
        <v>#REF!</v>
      </c>
      <c r="J38" t="s">
        <v>23</v>
      </c>
      <c r="K38" t="e">
        <f>+_xlfn.XLOOKUP(tbl_encuesta[[#This Row],[Mi supervisor o jefe directo me otorga el soporte que necesito para afrontar cualquier problema que afecte mi trabajo]],#REF!,#REF!)</f>
        <v>#REF!</v>
      </c>
      <c r="L38" t="s">
        <v>22</v>
      </c>
      <c r="M38" t="e">
        <f>+_xlfn.XLOOKUP(tbl_encuesta[[#This Row],[Mi supervisor o jefe directo fomenta que nos apoyemos entre todos en el equipo]],#REF!,#REF!)</f>
        <v>#REF!</v>
      </c>
      <c r="N38" t="s">
        <v>22</v>
      </c>
      <c r="O38" t="e">
        <f>+_xlfn.XLOOKUP(tbl_encuesta[[#This Row],[Siento que mi trabajo es reconocido por mi supervisor o jefe directo.]],#REF!,#REF!)</f>
        <v>#REF!</v>
      </c>
      <c r="P38" t="s">
        <v>67</v>
      </c>
      <c r="Q38" t="e">
        <f xml:space="preserve">
_xlfn.XLOOKUP(
tbl_encuesta[[#This Row],[Mi supervisor o jefe directo nos brinda charlas de 5 minutos y comunica las novedades relevantes a mi puesto de trabajo]],#REF!,#REF!
)</f>
        <v>#REF!</v>
      </c>
      <c r="U38" t="s">
        <v>20</v>
      </c>
      <c r="V38" t="s">
        <v>144</v>
      </c>
      <c r="W38" t="s">
        <v>25</v>
      </c>
      <c r="X38" t="s">
        <v>23</v>
      </c>
      <c r="Y38" t="e">
        <f>+_xlfn.XLOOKUP(tbl_encuesta[[#This Row],[Considero a Limtek como un buen lugar para trabajar]],#REF!,#REF!)</f>
        <v>#REF!</v>
      </c>
      <c r="Z38" t="s">
        <v>145</v>
      </c>
      <c r="AA38" t="s">
        <v>146</v>
      </c>
      <c r="AB38" t="s">
        <v>28</v>
      </c>
      <c r="AC38" s="3" t="s">
        <v>3714</v>
      </c>
      <c r="AD38" s="3" t="s">
        <v>3830</v>
      </c>
      <c r="AE38" t="s">
        <v>34</v>
      </c>
    </row>
    <row r="39" spans="1:31" x14ac:dyDescent="0.25">
      <c r="A39">
        <v>119034055053</v>
      </c>
      <c r="B39">
        <v>462598545</v>
      </c>
      <c r="C39" s="1">
        <v>46031.594097222223</v>
      </c>
      <c r="D39" s="1">
        <v>46031.59952546296</v>
      </c>
      <c r="E39" t="s">
        <v>147</v>
      </c>
      <c r="F39" t="s">
        <v>23</v>
      </c>
      <c r="G39" t="e">
        <f>+_xlfn.XLOOKUP(tbl_encuesta[[#This Row],[Me siento a gusto con el ambiente de trabajo que se genera en mi equipo.]],#REF!,#REF!)</f>
        <v>#REF!</v>
      </c>
      <c r="H39" t="s">
        <v>23</v>
      </c>
      <c r="I39" t="e">
        <f>+_xlfn.XLOOKUP(tbl_encuesta[[#This Row],[Me siento motivado a dar lo mejor de mí y hacer un buen trabajo]],#REF!,#REF!)</f>
        <v>#REF!</v>
      </c>
      <c r="J39" t="s">
        <v>23</v>
      </c>
      <c r="K39" t="e">
        <f>+_xlfn.XLOOKUP(tbl_encuesta[[#This Row],[Mi supervisor o jefe directo me otorga el soporte que necesito para afrontar cualquier problema que afecte mi trabajo]],#REF!,#REF!)</f>
        <v>#REF!</v>
      </c>
      <c r="L39" t="s">
        <v>23</v>
      </c>
      <c r="M39" t="e">
        <f>+_xlfn.XLOOKUP(tbl_encuesta[[#This Row],[Mi supervisor o jefe directo fomenta que nos apoyemos entre todos en el equipo]],#REF!,#REF!)</f>
        <v>#REF!</v>
      </c>
      <c r="N39" t="s">
        <v>22</v>
      </c>
      <c r="O39" t="e">
        <f>+_xlfn.XLOOKUP(tbl_encuesta[[#This Row],[Siento que mi trabajo es reconocido por mi supervisor o jefe directo.]],#REF!,#REF!)</f>
        <v>#REF!</v>
      </c>
      <c r="P39" t="s">
        <v>67</v>
      </c>
      <c r="Q39" t="e">
        <f xml:space="preserve">
_xlfn.XLOOKUP(
tbl_encuesta[[#This Row],[Mi supervisor o jefe directo nos brinda charlas de 5 minutos y comunica las novedades relevantes a mi puesto de trabajo]],#REF!,#REF!
)</f>
        <v>#REF!</v>
      </c>
      <c r="S39" t="s">
        <v>18</v>
      </c>
      <c r="W39" t="s">
        <v>25</v>
      </c>
      <c r="X39" t="s">
        <v>23</v>
      </c>
      <c r="Y39" t="e">
        <f>+_xlfn.XLOOKUP(tbl_encuesta[[#This Row],[Considero a Limtek como un buen lugar para trabajar]],#REF!,#REF!)</f>
        <v>#REF!</v>
      </c>
      <c r="Z39" t="s">
        <v>148</v>
      </c>
      <c r="AA39" t="s">
        <v>149</v>
      </c>
      <c r="AB39" t="s">
        <v>38</v>
      </c>
      <c r="AC39" t="s">
        <v>3744</v>
      </c>
      <c r="AD39" t="s">
        <v>3744</v>
      </c>
      <c r="AE39" t="s">
        <v>34</v>
      </c>
    </row>
    <row r="40" spans="1:31" x14ac:dyDescent="0.25">
      <c r="A40">
        <v>119034044529</v>
      </c>
      <c r="B40">
        <v>462598545</v>
      </c>
      <c r="C40" s="1">
        <v>46031.578958333332</v>
      </c>
      <c r="D40" s="1">
        <v>46031.58803240741</v>
      </c>
      <c r="E40" t="s">
        <v>150</v>
      </c>
      <c r="F40" t="s">
        <v>23</v>
      </c>
      <c r="G40" t="e">
        <f>+_xlfn.XLOOKUP(tbl_encuesta[[#This Row],[Me siento a gusto con el ambiente de trabajo que se genera en mi equipo.]],#REF!,#REF!)</f>
        <v>#REF!</v>
      </c>
      <c r="H40" t="s">
        <v>23</v>
      </c>
      <c r="I40" t="e">
        <f>+_xlfn.XLOOKUP(tbl_encuesta[[#This Row],[Me siento motivado a dar lo mejor de mí y hacer un buen trabajo]],#REF!,#REF!)</f>
        <v>#REF!</v>
      </c>
      <c r="J40" t="s">
        <v>23</v>
      </c>
      <c r="K40" t="e">
        <f>+_xlfn.XLOOKUP(tbl_encuesta[[#This Row],[Mi supervisor o jefe directo me otorga el soporte que necesito para afrontar cualquier problema que afecte mi trabajo]],#REF!,#REF!)</f>
        <v>#REF!</v>
      </c>
      <c r="L40" t="s">
        <v>23</v>
      </c>
      <c r="M40" t="e">
        <f>+_xlfn.XLOOKUP(tbl_encuesta[[#This Row],[Mi supervisor o jefe directo fomenta que nos apoyemos entre todos en el equipo]],#REF!,#REF!)</f>
        <v>#REF!</v>
      </c>
      <c r="N40" t="s">
        <v>23</v>
      </c>
      <c r="O40" t="e">
        <f>+_xlfn.XLOOKUP(tbl_encuesta[[#This Row],[Siento que mi trabajo es reconocido por mi supervisor o jefe directo.]],#REF!,#REF!)</f>
        <v>#REF!</v>
      </c>
      <c r="P40" t="s">
        <v>31</v>
      </c>
      <c r="Q40" t="e">
        <f xml:space="preserve">
_xlfn.XLOOKUP(
tbl_encuesta[[#This Row],[Mi supervisor o jefe directo nos brinda charlas de 5 minutos y comunica las novedades relevantes a mi puesto de trabajo]],#REF!,#REF!
)</f>
        <v>#REF!</v>
      </c>
      <c r="R40" t="s">
        <v>17</v>
      </c>
      <c r="W40" t="s">
        <v>25</v>
      </c>
      <c r="X40" t="s">
        <v>23</v>
      </c>
      <c r="Y40" t="e">
        <f>+_xlfn.XLOOKUP(tbl_encuesta[[#This Row],[Considero a Limtek como un buen lugar para trabajar]],#REF!,#REF!)</f>
        <v>#REF!</v>
      </c>
      <c r="Z40" t="s">
        <v>151</v>
      </c>
      <c r="AA40" t="s">
        <v>152</v>
      </c>
      <c r="AB40" t="s">
        <v>28</v>
      </c>
      <c r="AC40" s="3" t="s">
        <v>3714</v>
      </c>
      <c r="AD40" s="3" t="s">
        <v>3830</v>
      </c>
      <c r="AE40" t="s">
        <v>34</v>
      </c>
    </row>
    <row r="41" spans="1:31" x14ac:dyDescent="0.25">
      <c r="A41">
        <v>119034028043</v>
      </c>
      <c r="B41">
        <v>462598545</v>
      </c>
      <c r="C41" s="1">
        <v>46031.567372685182</v>
      </c>
      <c r="D41" s="1">
        <v>46031.570914351854</v>
      </c>
      <c r="E41" t="s">
        <v>153</v>
      </c>
      <c r="F41" t="s">
        <v>23</v>
      </c>
      <c r="G41" t="e">
        <f>+_xlfn.XLOOKUP(tbl_encuesta[[#This Row],[Me siento a gusto con el ambiente de trabajo que se genera en mi equipo.]],#REF!,#REF!)</f>
        <v>#REF!</v>
      </c>
      <c r="H41" t="s">
        <v>23</v>
      </c>
      <c r="I41" t="e">
        <f>+_xlfn.XLOOKUP(tbl_encuesta[[#This Row],[Me siento motivado a dar lo mejor de mí y hacer un buen trabajo]],#REF!,#REF!)</f>
        <v>#REF!</v>
      </c>
      <c r="J41" t="s">
        <v>23</v>
      </c>
      <c r="K41" t="e">
        <f>+_xlfn.XLOOKUP(tbl_encuesta[[#This Row],[Mi supervisor o jefe directo me otorga el soporte que necesito para afrontar cualquier problema que afecte mi trabajo]],#REF!,#REF!)</f>
        <v>#REF!</v>
      </c>
      <c r="L41" t="s">
        <v>23</v>
      </c>
      <c r="M41" t="e">
        <f>+_xlfn.XLOOKUP(tbl_encuesta[[#This Row],[Mi supervisor o jefe directo fomenta que nos apoyemos entre todos en el equipo]],#REF!,#REF!)</f>
        <v>#REF!</v>
      </c>
      <c r="N41" t="s">
        <v>23</v>
      </c>
      <c r="O41" t="e">
        <f>+_xlfn.XLOOKUP(tbl_encuesta[[#This Row],[Siento que mi trabajo es reconocido por mi supervisor o jefe directo.]],#REF!,#REF!)</f>
        <v>#REF!</v>
      </c>
      <c r="P41" t="s">
        <v>31</v>
      </c>
      <c r="Q41" t="e">
        <f xml:space="preserve">
_xlfn.XLOOKUP(
tbl_encuesta[[#This Row],[Mi supervisor o jefe directo nos brinda charlas de 5 minutos y comunica las novedades relevantes a mi puesto de trabajo]],#REF!,#REF!
)</f>
        <v>#REF!</v>
      </c>
      <c r="R41" t="s">
        <v>17</v>
      </c>
      <c r="S41" t="s">
        <v>18</v>
      </c>
      <c r="W41" t="s">
        <v>25</v>
      </c>
      <c r="X41" t="s">
        <v>23</v>
      </c>
      <c r="Y41" t="e">
        <f>+_xlfn.XLOOKUP(tbl_encuesta[[#This Row],[Considero a Limtek como un buen lugar para trabajar]],#REF!,#REF!)</f>
        <v>#REF!</v>
      </c>
      <c r="Z41" t="s">
        <v>154</v>
      </c>
      <c r="AA41" t="s">
        <v>155</v>
      </c>
      <c r="AB41" t="s">
        <v>72</v>
      </c>
      <c r="AC41" s="3" t="s">
        <v>3716</v>
      </c>
      <c r="AD41" s="3" t="s">
        <v>72</v>
      </c>
      <c r="AE41" t="s">
        <v>29</v>
      </c>
    </row>
    <row r="42" spans="1:31" x14ac:dyDescent="0.25">
      <c r="A42">
        <v>119034025042</v>
      </c>
      <c r="B42">
        <v>462598545</v>
      </c>
      <c r="C42" s="1">
        <v>46031.563356481478</v>
      </c>
      <c r="D42" s="1">
        <v>46031.567881944444</v>
      </c>
      <c r="E42" t="s">
        <v>156</v>
      </c>
      <c r="F42" t="s">
        <v>22</v>
      </c>
      <c r="G42" t="e">
        <f>+_xlfn.XLOOKUP(tbl_encuesta[[#This Row],[Me siento a gusto con el ambiente de trabajo que se genera en mi equipo.]],#REF!,#REF!)</f>
        <v>#REF!</v>
      </c>
      <c r="H42" t="s">
        <v>22</v>
      </c>
      <c r="I42" t="e">
        <f>+_xlfn.XLOOKUP(tbl_encuesta[[#This Row],[Me siento motivado a dar lo mejor de mí y hacer un buen trabajo]],#REF!,#REF!)</f>
        <v>#REF!</v>
      </c>
      <c r="J42" t="s">
        <v>22</v>
      </c>
      <c r="K42" t="e">
        <f>+_xlfn.XLOOKUP(tbl_encuesta[[#This Row],[Mi supervisor o jefe directo me otorga el soporte que necesito para afrontar cualquier problema que afecte mi trabajo]],#REF!,#REF!)</f>
        <v>#REF!</v>
      </c>
      <c r="L42" t="s">
        <v>22</v>
      </c>
      <c r="M42" t="e">
        <f>+_xlfn.XLOOKUP(tbl_encuesta[[#This Row],[Mi supervisor o jefe directo fomenta que nos apoyemos entre todos en el equipo]],#REF!,#REF!)</f>
        <v>#REF!</v>
      </c>
      <c r="N42" t="s">
        <v>22</v>
      </c>
      <c r="O42" t="e">
        <f>+_xlfn.XLOOKUP(tbl_encuesta[[#This Row],[Siento que mi trabajo es reconocido por mi supervisor o jefe directo.]],#REF!,#REF!)</f>
        <v>#REF!</v>
      </c>
      <c r="P42" t="s">
        <v>67</v>
      </c>
      <c r="Q42" t="e">
        <f xml:space="preserve">
_xlfn.XLOOKUP(
tbl_encuesta[[#This Row],[Mi supervisor o jefe directo nos brinda charlas de 5 minutos y comunica las novedades relevantes a mi puesto de trabajo]],#REF!,#REF!
)</f>
        <v>#REF!</v>
      </c>
      <c r="R42" t="s">
        <v>17</v>
      </c>
      <c r="W42" t="s">
        <v>25</v>
      </c>
      <c r="X42" t="s">
        <v>22</v>
      </c>
      <c r="Y42" t="e">
        <f>+_xlfn.XLOOKUP(tbl_encuesta[[#This Row],[Considero a Limtek como un buen lugar para trabajar]],#REF!,#REF!)</f>
        <v>#REF!</v>
      </c>
      <c r="Z42" t="s">
        <v>3744</v>
      </c>
      <c r="AA42" t="s">
        <v>157</v>
      </c>
      <c r="AB42" t="s">
        <v>72</v>
      </c>
      <c r="AC42" s="3" t="s">
        <v>3716</v>
      </c>
      <c r="AD42" s="3" t="s">
        <v>72</v>
      </c>
      <c r="AE42" t="s">
        <v>69</v>
      </c>
    </row>
    <row r="43" spans="1:31" x14ac:dyDescent="0.25">
      <c r="A43">
        <v>119034023645</v>
      </c>
      <c r="B43">
        <v>462598545</v>
      </c>
      <c r="C43" s="1">
        <v>46031.560520833336</v>
      </c>
      <c r="D43" s="1">
        <v>46031.56659722222</v>
      </c>
      <c r="E43" t="s">
        <v>158</v>
      </c>
      <c r="F43" t="s">
        <v>22</v>
      </c>
      <c r="G43" t="e">
        <f>+_xlfn.XLOOKUP(tbl_encuesta[[#This Row],[Me siento a gusto con el ambiente de trabajo que se genera en mi equipo.]],#REF!,#REF!)</f>
        <v>#REF!</v>
      </c>
      <c r="H43" t="s">
        <v>22</v>
      </c>
      <c r="I43" t="e">
        <f>+_xlfn.XLOOKUP(tbl_encuesta[[#This Row],[Me siento motivado a dar lo mejor de mí y hacer un buen trabajo]],#REF!,#REF!)</f>
        <v>#REF!</v>
      </c>
      <c r="J43" t="s">
        <v>22</v>
      </c>
      <c r="K43" t="e">
        <f>+_xlfn.XLOOKUP(tbl_encuesta[[#This Row],[Mi supervisor o jefe directo me otorga el soporte que necesito para afrontar cualquier problema que afecte mi trabajo]],#REF!,#REF!)</f>
        <v>#REF!</v>
      </c>
      <c r="L43" t="s">
        <v>22</v>
      </c>
      <c r="M43" t="e">
        <f>+_xlfn.XLOOKUP(tbl_encuesta[[#This Row],[Mi supervisor o jefe directo fomenta que nos apoyemos entre todos en el equipo]],#REF!,#REF!)</f>
        <v>#REF!</v>
      </c>
      <c r="N43" t="s">
        <v>22</v>
      </c>
      <c r="O43" t="e">
        <f>+_xlfn.XLOOKUP(tbl_encuesta[[#This Row],[Siento que mi trabajo es reconocido por mi supervisor o jefe directo.]],#REF!,#REF!)</f>
        <v>#REF!</v>
      </c>
      <c r="P43" t="s">
        <v>67</v>
      </c>
      <c r="Q43" t="e">
        <f xml:space="preserve">
_xlfn.XLOOKUP(
tbl_encuesta[[#This Row],[Mi supervisor o jefe directo nos brinda charlas de 5 minutos y comunica las novedades relevantes a mi puesto de trabajo]],#REF!,#REF!
)</f>
        <v>#REF!</v>
      </c>
      <c r="R43" t="s">
        <v>17</v>
      </c>
      <c r="T43" t="s">
        <v>19</v>
      </c>
      <c r="W43" t="s">
        <v>25</v>
      </c>
      <c r="X43" t="s">
        <v>22</v>
      </c>
      <c r="Y43" t="e">
        <f>+_xlfn.XLOOKUP(tbl_encuesta[[#This Row],[Considero a Limtek como un buen lugar para trabajar]],#REF!,#REF!)</f>
        <v>#REF!</v>
      </c>
      <c r="Z43" t="s">
        <v>159</v>
      </c>
      <c r="AA43" t="s">
        <v>160</v>
      </c>
      <c r="AB43" t="s">
        <v>72</v>
      </c>
      <c r="AC43" s="3" t="s">
        <v>3716</v>
      </c>
      <c r="AD43" s="3" t="s">
        <v>72</v>
      </c>
      <c r="AE43" t="s">
        <v>29</v>
      </c>
    </row>
    <row r="44" spans="1:31" x14ac:dyDescent="0.25">
      <c r="A44">
        <v>119034023129</v>
      </c>
      <c r="B44">
        <v>462598545</v>
      </c>
      <c r="C44" s="1">
        <v>46031.563472222224</v>
      </c>
      <c r="D44" s="1">
        <v>46031.566053240742</v>
      </c>
      <c r="E44" t="s">
        <v>161</v>
      </c>
      <c r="F44" t="s">
        <v>23</v>
      </c>
      <c r="G44" t="e">
        <f>+_xlfn.XLOOKUP(tbl_encuesta[[#This Row],[Me siento a gusto con el ambiente de trabajo que se genera en mi equipo.]],#REF!,#REF!)</f>
        <v>#REF!</v>
      </c>
      <c r="H44" t="s">
        <v>23</v>
      </c>
      <c r="I44" t="e">
        <f>+_xlfn.XLOOKUP(tbl_encuesta[[#This Row],[Me siento motivado a dar lo mejor de mí y hacer un buen trabajo]],#REF!,#REF!)</f>
        <v>#REF!</v>
      </c>
      <c r="J44" t="s">
        <v>23</v>
      </c>
      <c r="K44" t="e">
        <f>+_xlfn.XLOOKUP(tbl_encuesta[[#This Row],[Mi supervisor o jefe directo me otorga el soporte que necesito para afrontar cualquier problema que afecte mi trabajo]],#REF!,#REF!)</f>
        <v>#REF!</v>
      </c>
      <c r="L44" t="s">
        <v>23</v>
      </c>
      <c r="M44" t="e">
        <f>+_xlfn.XLOOKUP(tbl_encuesta[[#This Row],[Mi supervisor o jefe directo fomenta que nos apoyemos entre todos en el equipo]],#REF!,#REF!)</f>
        <v>#REF!</v>
      </c>
      <c r="N44" t="s">
        <v>23</v>
      </c>
      <c r="O44" t="e">
        <f>+_xlfn.XLOOKUP(tbl_encuesta[[#This Row],[Siento que mi trabajo es reconocido por mi supervisor o jefe directo.]],#REF!,#REF!)</f>
        <v>#REF!</v>
      </c>
      <c r="P44" t="s">
        <v>31</v>
      </c>
      <c r="Q44" t="e">
        <f xml:space="preserve">
_xlfn.XLOOKUP(
tbl_encuesta[[#This Row],[Mi supervisor o jefe directo nos brinda charlas de 5 minutos y comunica las novedades relevantes a mi puesto de trabajo]],#REF!,#REF!
)</f>
        <v>#REF!</v>
      </c>
      <c r="R44" t="s">
        <v>17</v>
      </c>
      <c r="W44" t="s">
        <v>25</v>
      </c>
      <c r="X44" t="s">
        <v>23</v>
      </c>
      <c r="Y44" t="e">
        <f>+_xlfn.XLOOKUP(tbl_encuesta[[#This Row],[Considero a Limtek como un buen lugar para trabajar]],#REF!,#REF!)</f>
        <v>#REF!</v>
      </c>
      <c r="Z44" t="s">
        <v>162</v>
      </c>
      <c r="AA44" t="s">
        <v>163</v>
      </c>
      <c r="AB44" t="s">
        <v>38</v>
      </c>
      <c r="AC44" s="3" t="s">
        <v>3610</v>
      </c>
      <c r="AD44" s="3" t="s">
        <v>3609</v>
      </c>
      <c r="AE44" t="s">
        <v>34</v>
      </c>
    </row>
    <row r="45" spans="1:31" x14ac:dyDescent="0.25">
      <c r="A45">
        <v>119034012763</v>
      </c>
      <c r="B45">
        <v>462598545</v>
      </c>
      <c r="C45" s="1">
        <v>46031.554062499999</v>
      </c>
      <c r="D45" s="1">
        <v>46031.555787037039</v>
      </c>
      <c r="E45" t="s">
        <v>164</v>
      </c>
      <c r="F45" t="s">
        <v>23</v>
      </c>
      <c r="G45" t="e">
        <f>+_xlfn.XLOOKUP(tbl_encuesta[[#This Row],[Me siento a gusto con el ambiente de trabajo que se genera en mi equipo.]],#REF!,#REF!)</f>
        <v>#REF!</v>
      </c>
      <c r="H45" t="s">
        <v>23</v>
      </c>
      <c r="I45" t="e">
        <f>+_xlfn.XLOOKUP(tbl_encuesta[[#This Row],[Me siento motivado a dar lo mejor de mí y hacer un buen trabajo]],#REF!,#REF!)</f>
        <v>#REF!</v>
      </c>
      <c r="J45" t="s">
        <v>23</v>
      </c>
      <c r="K45" t="e">
        <f>+_xlfn.XLOOKUP(tbl_encuesta[[#This Row],[Mi supervisor o jefe directo me otorga el soporte que necesito para afrontar cualquier problema que afecte mi trabajo]],#REF!,#REF!)</f>
        <v>#REF!</v>
      </c>
      <c r="L45" t="s">
        <v>23</v>
      </c>
      <c r="M45" t="e">
        <f>+_xlfn.XLOOKUP(tbl_encuesta[[#This Row],[Mi supervisor o jefe directo fomenta que nos apoyemos entre todos en el equipo]],#REF!,#REF!)</f>
        <v>#REF!</v>
      </c>
      <c r="N45" t="s">
        <v>23</v>
      </c>
      <c r="O45" t="e">
        <f>+_xlfn.XLOOKUP(tbl_encuesta[[#This Row],[Siento que mi trabajo es reconocido por mi supervisor o jefe directo.]],#REF!,#REF!)</f>
        <v>#REF!</v>
      </c>
      <c r="P45" t="s">
        <v>31</v>
      </c>
      <c r="Q45" t="e">
        <f xml:space="preserve">
_xlfn.XLOOKUP(
tbl_encuesta[[#This Row],[Mi supervisor o jefe directo nos brinda charlas de 5 minutos y comunica las novedades relevantes a mi puesto de trabajo]],#REF!,#REF!
)</f>
        <v>#REF!</v>
      </c>
      <c r="R45" t="s">
        <v>17</v>
      </c>
      <c r="T45" t="s">
        <v>19</v>
      </c>
      <c r="W45" t="s">
        <v>25</v>
      </c>
      <c r="X45" t="s">
        <v>23</v>
      </c>
      <c r="Y45" t="e">
        <f>+_xlfn.XLOOKUP(tbl_encuesta[[#This Row],[Considero a Limtek como un buen lugar para trabajar]],#REF!,#REF!)</f>
        <v>#REF!</v>
      </c>
      <c r="Z45" t="s">
        <v>165</v>
      </c>
      <c r="AA45" t="s">
        <v>165</v>
      </c>
      <c r="AB45" t="s">
        <v>38</v>
      </c>
      <c r="AC45" t="s">
        <v>3744</v>
      </c>
      <c r="AD45" t="s">
        <v>3744</v>
      </c>
      <c r="AE45" t="s">
        <v>61</v>
      </c>
    </row>
    <row r="46" spans="1:31" x14ac:dyDescent="0.25">
      <c r="A46">
        <v>119034012322</v>
      </c>
      <c r="B46">
        <v>462598545</v>
      </c>
      <c r="C46" s="1">
        <v>46031.550127314818</v>
      </c>
      <c r="D46" s="1">
        <v>46031.555358796293</v>
      </c>
      <c r="E46" t="s">
        <v>161</v>
      </c>
      <c r="F46" t="s">
        <v>23</v>
      </c>
      <c r="G46" t="e">
        <f>+_xlfn.XLOOKUP(tbl_encuesta[[#This Row],[Me siento a gusto con el ambiente de trabajo que se genera en mi equipo.]],#REF!,#REF!)</f>
        <v>#REF!</v>
      </c>
      <c r="H46" t="s">
        <v>23</v>
      </c>
      <c r="I46" t="e">
        <f>+_xlfn.XLOOKUP(tbl_encuesta[[#This Row],[Me siento motivado a dar lo mejor de mí y hacer un buen trabajo]],#REF!,#REF!)</f>
        <v>#REF!</v>
      </c>
      <c r="J46" t="s">
        <v>23</v>
      </c>
      <c r="K46" t="e">
        <f>+_xlfn.XLOOKUP(tbl_encuesta[[#This Row],[Mi supervisor o jefe directo me otorga el soporte que necesito para afrontar cualquier problema que afecte mi trabajo]],#REF!,#REF!)</f>
        <v>#REF!</v>
      </c>
      <c r="L46" t="s">
        <v>23</v>
      </c>
      <c r="M46" t="e">
        <f>+_xlfn.XLOOKUP(tbl_encuesta[[#This Row],[Mi supervisor o jefe directo fomenta que nos apoyemos entre todos en el equipo]],#REF!,#REF!)</f>
        <v>#REF!</v>
      </c>
      <c r="N46" t="s">
        <v>23</v>
      </c>
      <c r="O46" t="e">
        <f>+_xlfn.XLOOKUP(tbl_encuesta[[#This Row],[Siento que mi trabajo es reconocido por mi supervisor o jefe directo.]],#REF!,#REF!)</f>
        <v>#REF!</v>
      </c>
      <c r="P46" t="s">
        <v>31</v>
      </c>
      <c r="Q46" t="e">
        <f xml:space="preserve">
_xlfn.XLOOKUP(
tbl_encuesta[[#This Row],[Mi supervisor o jefe directo nos brinda charlas de 5 minutos y comunica las novedades relevantes a mi puesto de trabajo]],#REF!,#REF!
)</f>
        <v>#REF!</v>
      </c>
      <c r="R46" t="s">
        <v>17</v>
      </c>
      <c r="W46" t="s">
        <v>25</v>
      </c>
      <c r="X46" t="s">
        <v>23</v>
      </c>
      <c r="Y46" t="e">
        <f>+_xlfn.XLOOKUP(tbl_encuesta[[#This Row],[Considero a Limtek como un buen lugar para trabajar]],#REF!,#REF!)</f>
        <v>#REF!</v>
      </c>
      <c r="Z46" t="s">
        <v>167</v>
      </c>
      <c r="AA46" t="s">
        <v>168</v>
      </c>
      <c r="AB46" t="s">
        <v>38</v>
      </c>
      <c r="AC46" s="3" t="s">
        <v>3610</v>
      </c>
      <c r="AD46" s="3" t="s">
        <v>3610</v>
      </c>
      <c r="AE46" t="s">
        <v>34</v>
      </c>
    </row>
    <row r="47" spans="1:31" x14ac:dyDescent="0.25">
      <c r="A47">
        <v>119034011215</v>
      </c>
      <c r="B47">
        <v>462598545</v>
      </c>
      <c r="C47" s="1">
        <v>46031.54415509259</v>
      </c>
      <c r="D47" s="1">
        <v>46031.554293981484</v>
      </c>
      <c r="E47" t="s">
        <v>169</v>
      </c>
      <c r="F47" t="s">
        <v>23</v>
      </c>
      <c r="G47" t="e">
        <f>+_xlfn.XLOOKUP(tbl_encuesta[[#This Row],[Me siento a gusto con el ambiente de trabajo que se genera en mi equipo.]],#REF!,#REF!)</f>
        <v>#REF!</v>
      </c>
      <c r="H47" t="s">
        <v>23</v>
      </c>
      <c r="I47" t="e">
        <f>+_xlfn.XLOOKUP(tbl_encuesta[[#This Row],[Me siento motivado a dar lo mejor de mí y hacer un buen trabajo]],#REF!,#REF!)</f>
        <v>#REF!</v>
      </c>
      <c r="J47" t="s">
        <v>23</v>
      </c>
      <c r="K47" t="e">
        <f>+_xlfn.XLOOKUP(tbl_encuesta[[#This Row],[Mi supervisor o jefe directo me otorga el soporte que necesito para afrontar cualquier problema que afecte mi trabajo]],#REF!,#REF!)</f>
        <v>#REF!</v>
      </c>
      <c r="L47" t="s">
        <v>23</v>
      </c>
      <c r="M47" t="e">
        <f>+_xlfn.XLOOKUP(tbl_encuesta[[#This Row],[Mi supervisor o jefe directo fomenta que nos apoyemos entre todos en el equipo]],#REF!,#REF!)</f>
        <v>#REF!</v>
      </c>
      <c r="N47" t="s">
        <v>23</v>
      </c>
      <c r="O47" t="e">
        <f>+_xlfn.XLOOKUP(tbl_encuesta[[#This Row],[Siento que mi trabajo es reconocido por mi supervisor o jefe directo.]],#REF!,#REF!)</f>
        <v>#REF!</v>
      </c>
      <c r="P47" t="s">
        <v>31</v>
      </c>
      <c r="Q47" t="e">
        <f xml:space="preserve">
_xlfn.XLOOKUP(
tbl_encuesta[[#This Row],[Mi supervisor o jefe directo nos brinda charlas de 5 minutos y comunica las novedades relevantes a mi puesto de trabajo]],#REF!,#REF!
)</f>
        <v>#REF!</v>
      </c>
      <c r="R47" t="s">
        <v>17</v>
      </c>
      <c r="S47" t="s">
        <v>18</v>
      </c>
      <c r="W47" t="s">
        <v>25</v>
      </c>
      <c r="X47" t="s">
        <v>23</v>
      </c>
      <c r="Y47" t="e">
        <f>+_xlfn.XLOOKUP(tbl_encuesta[[#This Row],[Considero a Limtek como un buen lugar para trabajar]],#REF!,#REF!)</f>
        <v>#REF!</v>
      </c>
      <c r="Z47" t="s">
        <v>170</v>
      </c>
      <c r="AA47" t="s">
        <v>171</v>
      </c>
      <c r="AB47" t="s">
        <v>28</v>
      </c>
      <c r="AC47" s="3" t="s">
        <v>3736</v>
      </c>
      <c r="AD47" s="3" t="s">
        <v>3737</v>
      </c>
      <c r="AE47" t="s">
        <v>34</v>
      </c>
    </row>
    <row r="48" spans="1:31" x14ac:dyDescent="0.25">
      <c r="A48">
        <v>119033999077</v>
      </c>
      <c r="B48">
        <v>462598545</v>
      </c>
      <c r="C48" s="1">
        <v>46031.539872685185</v>
      </c>
      <c r="D48" s="1">
        <v>46031.542326388888</v>
      </c>
      <c r="E48" t="s">
        <v>172</v>
      </c>
      <c r="F48" t="s">
        <v>23</v>
      </c>
      <c r="G48" t="e">
        <f>+_xlfn.XLOOKUP(tbl_encuesta[[#This Row],[Me siento a gusto con el ambiente de trabajo que se genera en mi equipo.]],#REF!,#REF!)</f>
        <v>#REF!</v>
      </c>
      <c r="H48" t="s">
        <v>23</v>
      </c>
      <c r="I48" t="e">
        <f>+_xlfn.XLOOKUP(tbl_encuesta[[#This Row],[Me siento motivado a dar lo mejor de mí y hacer un buen trabajo]],#REF!,#REF!)</f>
        <v>#REF!</v>
      </c>
      <c r="J48" t="s">
        <v>22</v>
      </c>
      <c r="K48" t="e">
        <f>+_xlfn.XLOOKUP(tbl_encuesta[[#This Row],[Mi supervisor o jefe directo me otorga el soporte que necesito para afrontar cualquier problema que afecte mi trabajo]],#REF!,#REF!)</f>
        <v>#REF!</v>
      </c>
      <c r="L48" t="s">
        <v>22</v>
      </c>
      <c r="M48" t="e">
        <f>+_xlfn.XLOOKUP(tbl_encuesta[[#This Row],[Mi supervisor o jefe directo fomenta que nos apoyemos entre todos en el equipo]],#REF!,#REF!)</f>
        <v>#REF!</v>
      </c>
      <c r="N48" t="s">
        <v>23</v>
      </c>
      <c r="O48" t="e">
        <f>+_xlfn.XLOOKUP(tbl_encuesta[[#This Row],[Siento que mi trabajo es reconocido por mi supervisor o jefe directo.]],#REF!,#REF!)</f>
        <v>#REF!</v>
      </c>
      <c r="P48" t="s">
        <v>67</v>
      </c>
      <c r="Q48" t="e">
        <f xml:space="preserve">
_xlfn.XLOOKUP(
tbl_encuesta[[#This Row],[Mi supervisor o jefe directo nos brinda charlas de 5 minutos y comunica las novedades relevantes a mi puesto de trabajo]],#REF!,#REF!
)</f>
        <v>#REF!</v>
      </c>
      <c r="R48" t="s">
        <v>17</v>
      </c>
      <c r="S48" t="s">
        <v>18</v>
      </c>
      <c r="W48" t="s">
        <v>25</v>
      </c>
      <c r="X48" t="s">
        <v>23</v>
      </c>
      <c r="Y48" t="e">
        <f>+_xlfn.XLOOKUP(tbl_encuesta[[#This Row],[Considero a Limtek como un buen lugar para trabajar]],#REF!,#REF!)</f>
        <v>#REF!</v>
      </c>
      <c r="Z48" t="s">
        <v>3744</v>
      </c>
      <c r="AA48" t="s">
        <v>173</v>
      </c>
      <c r="AB48" t="s">
        <v>28</v>
      </c>
      <c r="AC48" s="3" t="s">
        <v>3705</v>
      </c>
      <c r="AD48" s="3" t="s">
        <v>3705</v>
      </c>
      <c r="AE48" t="s">
        <v>29</v>
      </c>
    </row>
    <row r="49" spans="1:31" x14ac:dyDescent="0.25">
      <c r="A49">
        <v>119033998370</v>
      </c>
      <c r="B49">
        <v>462598545</v>
      </c>
      <c r="C49" s="1">
        <v>46031.540092592593</v>
      </c>
      <c r="D49" s="1">
        <v>46031.541585648149</v>
      </c>
      <c r="E49" t="s">
        <v>174</v>
      </c>
      <c r="F49" t="s">
        <v>23</v>
      </c>
      <c r="G49" t="e">
        <f>+_xlfn.XLOOKUP(tbl_encuesta[[#This Row],[Me siento a gusto con el ambiente de trabajo que se genera en mi equipo.]],#REF!,#REF!)</f>
        <v>#REF!</v>
      </c>
      <c r="H49" t="s">
        <v>23</v>
      </c>
      <c r="I49" t="e">
        <f>+_xlfn.XLOOKUP(tbl_encuesta[[#This Row],[Me siento motivado a dar lo mejor de mí y hacer un buen trabajo]],#REF!,#REF!)</f>
        <v>#REF!</v>
      </c>
      <c r="J49" t="s">
        <v>23</v>
      </c>
      <c r="K49" t="e">
        <f>+_xlfn.XLOOKUP(tbl_encuesta[[#This Row],[Mi supervisor o jefe directo me otorga el soporte que necesito para afrontar cualquier problema que afecte mi trabajo]],#REF!,#REF!)</f>
        <v>#REF!</v>
      </c>
      <c r="L49" t="s">
        <v>23</v>
      </c>
      <c r="M49" t="e">
        <f>+_xlfn.XLOOKUP(tbl_encuesta[[#This Row],[Mi supervisor o jefe directo fomenta que nos apoyemos entre todos en el equipo]],#REF!,#REF!)</f>
        <v>#REF!</v>
      </c>
      <c r="N49" t="s">
        <v>23</v>
      </c>
      <c r="O49" t="e">
        <f>+_xlfn.XLOOKUP(tbl_encuesta[[#This Row],[Siento que mi trabajo es reconocido por mi supervisor o jefe directo.]],#REF!,#REF!)</f>
        <v>#REF!</v>
      </c>
      <c r="P49" t="s">
        <v>175</v>
      </c>
      <c r="Q49" t="e">
        <f xml:space="preserve">
_xlfn.XLOOKUP(
tbl_encuesta[[#This Row],[Mi supervisor o jefe directo nos brinda charlas de 5 minutos y comunica las novedades relevantes a mi puesto de trabajo]],#REF!,#REF!
)</f>
        <v>#REF!</v>
      </c>
      <c r="R49" t="s">
        <v>17</v>
      </c>
      <c r="W49" t="s">
        <v>25</v>
      </c>
      <c r="X49" t="s">
        <v>23</v>
      </c>
      <c r="Y49" t="e">
        <f>+_xlfn.XLOOKUP(tbl_encuesta[[#This Row],[Considero a Limtek como un buen lugar para trabajar]],#REF!,#REF!)</f>
        <v>#REF!</v>
      </c>
      <c r="Z49" t="s">
        <v>176</v>
      </c>
      <c r="AA49" t="s">
        <v>177</v>
      </c>
      <c r="AB49" t="s">
        <v>72</v>
      </c>
      <c r="AC49" s="3" t="s">
        <v>3716</v>
      </c>
      <c r="AD49" s="3" t="s">
        <v>72</v>
      </c>
      <c r="AE49" t="s">
        <v>29</v>
      </c>
    </row>
    <row r="50" spans="1:31" x14ac:dyDescent="0.25">
      <c r="A50">
        <v>119033996068</v>
      </c>
      <c r="B50">
        <v>462598545</v>
      </c>
      <c r="C50" s="1">
        <v>46031.537407407406</v>
      </c>
      <c r="D50" s="1">
        <v>46031.539212962962</v>
      </c>
      <c r="E50" t="s">
        <v>178</v>
      </c>
      <c r="F50" t="s">
        <v>23</v>
      </c>
      <c r="G50" t="e">
        <f>+_xlfn.XLOOKUP(tbl_encuesta[[#This Row],[Me siento a gusto con el ambiente de trabajo que se genera en mi equipo.]],#REF!,#REF!)</f>
        <v>#REF!</v>
      </c>
      <c r="H50" t="s">
        <v>23</v>
      </c>
      <c r="I50" t="e">
        <f>+_xlfn.XLOOKUP(tbl_encuesta[[#This Row],[Me siento motivado a dar lo mejor de mí y hacer un buen trabajo]],#REF!,#REF!)</f>
        <v>#REF!</v>
      </c>
      <c r="J50" t="s">
        <v>23</v>
      </c>
      <c r="K50" t="e">
        <f>+_xlfn.XLOOKUP(tbl_encuesta[[#This Row],[Mi supervisor o jefe directo me otorga el soporte que necesito para afrontar cualquier problema que afecte mi trabajo]],#REF!,#REF!)</f>
        <v>#REF!</v>
      </c>
      <c r="L50" t="s">
        <v>23</v>
      </c>
      <c r="M50" t="e">
        <f>+_xlfn.XLOOKUP(tbl_encuesta[[#This Row],[Mi supervisor o jefe directo fomenta que nos apoyemos entre todos en el equipo]],#REF!,#REF!)</f>
        <v>#REF!</v>
      </c>
      <c r="N50" t="s">
        <v>23</v>
      </c>
      <c r="O50" t="e">
        <f>+_xlfn.XLOOKUP(tbl_encuesta[[#This Row],[Siento que mi trabajo es reconocido por mi supervisor o jefe directo.]],#REF!,#REF!)</f>
        <v>#REF!</v>
      </c>
      <c r="P50" t="s">
        <v>175</v>
      </c>
      <c r="Q50" t="e">
        <f xml:space="preserve">
_xlfn.XLOOKUP(
tbl_encuesta[[#This Row],[Mi supervisor o jefe directo nos brinda charlas de 5 minutos y comunica las novedades relevantes a mi puesto de trabajo]],#REF!,#REF!
)</f>
        <v>#REF!</v>
      </c>
      <c r="R50" t="s">
        <v>17</v>
      </c>
      <c r="W50" t="s">
        <v>25</v>
      </c>
      <c r="X50" t="s">
        <v>23</v>
      </c>
      <c r="Y50" t="e">
        <f>+_xlfn.XLOOKUP(tbl_encuesta[[#This Row],[Considero a Limtek como un buen lugar para trabajar]],#REF!,#REF!)</f>
        <v>#REF!</v>
      </c>
      <c r="Z50" t="s">
        <v>132</v>
      </c>
      <c r="AA50" t="s">
        <v>179</v>
      </c>
      <c r="AB50" t="s">
        <v>72</v>
      </c>
      <c r="AC50" s="3" t="s">
        <v>3716</v>
      </c>
      <c r="AD50" s="3" t="s">
        <v>72</v>
      </c>
      <c r="AE50" t="s">
        <v>61</v>
      </c>
    </row>
    <row r="51" spans="1:31" x14ac:dyDescent="0.25">
      <c r="A51">
        <v>119033995384</v>
      </c>
      <c r="B51">
        <v>462598545</v>
      </c>
      <c r="C51" s="1">
        <v>46031.536354166667</v>
      </c>
      <c r="D51" s="1">
        <v>46031.538541666669</v>
      </c>
      <c r="E51" t="s">
        <v>180</v>
      </c>
      <c r="F51" t="s">
        <v>23</v>
      </c>
      <c r="G51" t="e">
        <f>+_xlfn.XLOOKUP(tbl_encuesta[[#This Row],[Me siento a gusto con el ambiente de trabajo que se genera en mi equipo.]],#REF!,#REF!)</f>
        <v>#REF!</v>
      </c>
      <c r="H51" t="s">
        <v>23</v>
      </c>
      <c r="I51" t="e">
        <f>+_xlfn.XLOOKUP(tbl_encuesta[[#This Row],[Me siento motivado a dar lo mejor de mí y hacer un buen trabajo]],#REF!,#REF!)</f>
        <v>#REF!</v>
      </c>
      <c r="J51" t="s">
        <v>22</v>
      </c>
      <c r="K51" t="e">
        <f>+_xlfn.XLOOKUP(tbl_encuesta[[#This Row],[Mi supervisor o jefe directo me otorga el soporte que necesito para afrontar cualquier problema que afecte mi trabajo]],#REF!,#REF!)</f>
        <v>#REF!</v>
      </c>
      <c r="L51" t="s">
        <v>23</v>
      </c>
      <c r="M51" t="e">
        <f>+_xlfn.XLOOKUP(tbl_encuesta[[#This Row],[Mi supervisor o jefe directo fomenta que nos apoyemos entre todos en el equipo]],#REF!,#REF!)</f>
        <v>#REF!</v>
      </c>
      <c r="N51" t="s">
        <v>22</v>
      </c>
      <c r="O51" t="e">
        <f>+_xlfn.XLOOKUP(tbl_encuesta[[#This Row],[Siento que mi trabajo es reconocido por mi supervisor o jefe directo.]],#REF!,#REF!)</f>
        <v>#REF!</v>
      </c>
      <c r="P51" t="s">
        <v>31</v>
      </c>
      <c r="Q51" t="e">
        <f xml:space="preserve">
_xlfn.XLOOKUP(
tbl_encuesta[[#This Row],[Mi supervisor o jefe directo nos brinda charlas de 5 minutos y comunica las novedades relevantes a mi puesto de trabajo]],#REF!,#REF!
)</f>
        <v>#REF!</v>
      </c>
      <c r="R51" t="s">
        <v>17</v>
      </c>
      <c r="T51" t="s">
        <v>19</v>
      </c>
      <c r="W51" t="s">
        <v>25</v>
      </c>
      <c r="X51" t="s">
        <v>23</v>
      </c>
      <c r="Y51" t="e">
        <f>+_xlfn.XLOOKUP(tbl_encuesta[[#This Row],[Considero a Limtek como un buen lugar para trabajar]],#REF!,#REF!)</f>
        <v>#REF!</v>
      </c>
      <c r="Z51" t="s">
        <v>181</v>
      </c>
      <c r="AA51" t="s">
        <v>182</v>
      </c>
      <c r="AB51" t="s">
        <v>38</v>
      </c>
      <c r="AC51" s="3" t="s">
        <v>3610</v>
      </c>
      <c r="AD51" s="3" t="s">
        <v>3610</v>
      </c>
      <c r="AE51" t="s">
        <v>29</v>
      </c>
    </row>
    <row r="52" spans="1:31" x14ac:dyDescent="0.25">
      <c r="A52">
        <v>119033993173</v>
      </c>
      <c r="B52">
        <v>462598545</v>
      </c>
      <c r="C52" s="1">
        <v>46031.533750000002</v>
      </c>
      <c r="D52" s="1">
        <v>46031.536319444444</v>
      </c>
      <c r="E52" t="s">
        <v>183</v>
      </c>
      <c r="F52" t="s">
        <v>23</v>
      </c>
      <c r="G52" t="e">
        <f>+_xlfn.XLOOKUP(tbl_encuesta[[#This Row],[Me siento a gusto con el ambiente de trabajo que se genera en mi equipo.]],#REF!,#REF!)</f>
        <v>#REF!</v>
      </c>
      <c r="H52" t="s">
        <v>23</v>
      </c>
      <c r="I52" t="e">
        <f>+_xlfn.XLOOKUP(tbl_encuesta[[#This Row],[Me siento motivado a dar lo mejor de mí y hacer un buen trabajo]],#REF!,#REF!)</f>
        <v>#REF!</v>
      </c>
      <c r="J52" t="s">
        <v>23</v>
      </c>
      <c r="K52" t="e">
        <f>+_xlfn.XLOOKUP(tbl_encuesta[[#This Row],[Mi supervisor o jefe directo me otorga el soporte que necesito para afrontar cualquier problema que afecte mi trabajo]],#REF!,#REF!)</f>
        <v>#REF!</v>
      </c>
      <c r="L52" t="s">
        <v>23</v>
      </c>
      <c r="M52" t="e">
        <f>+_xlfn.XLOOKUP(tbl_encuesta[[#This Row],[Mi supervisor o jefe directo fomenta que nos apoyemos entre todos en el equipo]],#REF!,#REF!)</f>
        <v>#REF!</v>
      </c>
      <c r="N52" t="s">
        <v>23</v>
      </c>
      <c r="O52" t="e">
        <f>+_xlfn.XLOOKUP(tbl_encuesta[[#This Row],[Siento que mi trabajo es reconocido por mi supervisor o jefe directo.]],#REF!,#REF!)</f>
        <v>#REF!</v>
      </c>
      <c r="P52" t="s">
        <v>31</v>
      </c>
      <c r="Q52" t="e">
        <f xml:space="preserve">
_xlfn.XLOOKUP(
tbl_encuesta[[#This Row],[Mi supervisor o jefe directo nos brinda charlas de 5 minutos y comunica las novedades relevantes a mi puesto de trabajo]],#REF!,#REF!
)</f>
        <v>#REF!</v>
      </c>
      <c r="R52" t="s">
        <v>17</v>
      </c>
      <c r="S52" t="s">
        <v>18</v>
      </c>
      <c r="W52" t="s">
        <v>25</v>
      </c>
      <c r="X52" t="s">
        <v>23</v>
      </c>
      <c r="Y52" t="e">
        <f>+_xlfn.XLOOKUP(tbl_encuesta[[#This Row],[Considero a Limtek como un buen lugar para trabajar]],#REF!,#REF!)</f>
        <v>#REF!</v>
      </c>
      <c r="Z52" t="s">
        <v>184</v>
      </c>
      <c r="AA52" t="s">
        <v>185</v>
      </c>
      <c r="AB52" t="s">
        <v>38</v>
      </c>
      <c r="AC52" s="3" t="s">
        <v>3767</v>
      </c>
      <c r="AD52" s="3" t="s">
        <v>3765</v>
      </c>
      <c r="AE52" t="s">
        <v>55</v>
      </c>
    </row>
    <row r="53" spans="1:31" x14ac:dyDescent="0.25">
      <c r="A53">
        <v>119033991519</v>
      </c>
      <c r="B53">
        <v>462598545</v>
      </c>
      <c r="C53" s="1">
        <v>46031.530150462961</v>
      </c>
      <c r="D53" s="1">
        <v>46031.53465277778</v>
      </c>
      <c r="E53" t="s">
        <v>186</v>
      </c>
      <c r="F53" t="s">
        <v>23</v>
      </c>
      <c r="G53" t="e">
        <f>+_xlfn.XLOOKUP(tbl_encuesta[[#This Row],[Me siento a gusto con el ambiente de trabajo que se genera en mi equipo.]],#REF!,#REF!)</f>
        <v>#REF!</v>
      </c>
      <c r="H53" t="s">
        <v>23</v>
      </c>
      <c r="I53" t="e">
        <f>+_xlfn.XLOOKUP(tbl_encuesta[[#This Row],[Me siento motivado a dar lo mejor de mí y hacer un buen trabajo]],#REF!,#REF!)</f>
        <v>#REF!</v>
      </c>
      <c r="J53" t="s">
        <v>23</v>
      </c>
      <c r="K53" t="e">
        <f>+_xlfn.XLOOKUP(tbl_encuesta[[#This Row],[Mi supervisor o jefe directo me otorga el soporte que necesito para afrontar cualquier problema que afecte mi trabajo]],#REF!,#REF!)</f>
        <v>#REF!</v>
      </c>
      <c r="L53" t="s">
        <v>23</v>
      </c>
      <c r="M53" t="e">
        <f>+_xlfn.XLOOKUP(tbl_encuesta[[#This Row],[Mi supervisor o jefe directo fomenta que nos apoyemos entre todos en el equipo]],#REF!,#REF!)</f>
        <v>#REF!</v>
      </c>
      <c r="N53" t="s">
        <v>23</v>
      </c>
      <c r="O53" t="e">
        <f>+_xlfn.XLOOKUP(tbl_encuesta[[#This Row],[Siento que mi trabajo es reconocido por mi supervisor o jefe directo.]],#REF!,#REF!)</f>
        <v>#REF!</v>
      </c>
      <c r="P53" t="s">
        <v>31</v>
      </c>
      <c r="Q53" t="e">
        <f xml:space="preserve">
_xlfn.XLOOKUP(
tbl_encuesta[[#This Row],[Mi supervisor o jefe directo nos brinda charlas de 5 minutos y comunica las novedades relevantes a mi puesto de trabajo]],#REF!,#REF!
)</f>
        <v>#REF!</v>
      </c>
      <c r="R53" t="s">
        <v>17</v>
      </c>
      <c r="S53" t="s">
        <v>18</v>
      </c>
      <c r="W53" t="s">
        <v>25</v>
      </c>
      <c r="X53" t="s">
        <v>23</v>
      </c>
      <c r="Y53" t="e">
        <f>+_xlfn.XLOOKUP(tbl_encuesta[[#This Row],[Considero a Limtek como un buen lugar para trabajar]],#REF!,#REF!)</f>
        <v>#REF!</v>
      </c>
      <c r="Z53" t="s">
        <v>187</v>
      </c>
      <c r="AA53" t="s">
        <v>188</v>
      </c>
      <c r="AB53" t="s">
        <v>72</v>
      </c>
      <c r="AC53" s="3" t="s">
        <v>3716</v>
      </c>
      <c r="AD53" s="3" t="s">
        <v>72</v>
      </c>
      <c r="AE53" t="s">
        <v>69</v>
      </c>
    </row>
    <row r="54" spans="1:31" x14ac:dyDescent="0.25">
      <c r="A54">
        <v>119033989769</v>
      </c>
      <c r="B54">
        <v>462598545</v>
      </c>
      <c r="C54" s="1">
        <v>46031.53056712963</v>
      </c>
      <c r="D54" s="1">
        <v>46031.532986111109</v>
      </c>
      <c r="E54" t="s">
        <v>189</v>
      </c>
      <c r="F54" t="s">
        <v>23</v>
      </c>
      <c r="G54" t="e">
        <f>+_xlfn.XLOOKUP(tbl_encuesta[[#This Row],[Me siento a gusto con el ambiente de trabajo que se genera en mi equipo.]],#REF!,#REF!)</f>
        <v>#REF!</v>
      </c>
      <c r="H54" t="s">
        <v>23</v>
      </c>
      <c r="I54" t="e">
        <f>+_xlfn.XLOOKUP(tbl_encuesta[[#This Row],[Me siento motivado a dar lo mejor de mí y hacer un buen trabajo]],#REF!,#REF!)</f>
        <v>#REF!</v>
      </c>
      <c r="J54" t="s">
        <v>23</v>
      </c>
      <c r="K54" t="e">
        <f>+_xlfn.XLOOKUP(tbl_encuesta[[#This Row],[Mi supervisor o jefe directo me otorga el soporte que necesito para afrontar cualquier problema que afecte mi trabajo]],#REF!,#REF!)</f>
        <v>#REF!</v>
      </c>
      <c r="L54" t="s">
        <v>23</v>
      </c>
      <c r="M54" t="e">
        <f>+_xlfn.XLOOKUP(tbl_encuesta[[#This Row],[Mi supervisor o jefe directo fomenta que nos apoyemos entre todos en el equipo]],#REF!,#REF!)</f>
        <v>#REF!</v>
      </c>
      <c r="N54" t="s">
        <v>23</v>
      </c>
      <c r="O54" t="e">
        <f>+_xlfn.XLOOKUP(tbl_encuesta[[#This Row],[Siento que mi trabajo es reconocido por mi supervisor o jefe directo.]],#REF!,#REF!)</f>
        <v>#REF!</v>
      </c>
      <c r="P54" t="s">
        <v>31</v>
      </c>
      <c r="Q54" t="e">
        <f xml:space="preserve">
_xlfn.XLOOKUP(
tbl_encuesta[[#This Row],[Mi supervisor o jefe directo nos brinda charlas de 5 minutos y comunica las novedades relevantes a mi puesto de trabajo]],#REF!,#REF!
)</f>
        <v>#REF!</v>
      </c>
      <c r="S54" t="s">
        <v>18</v>
      </c>
      <c r="T54" t="s">
        <v>19</v>
      </c>
      <c r="W54" t="s">
        <v>25</v>
      </c>
      <c r="X54" t="s">
        <v>23</v>
      </c>
      <c r="Y54" t="e">
        <f>+_xlfn.XLOOKUP(tbl_encuesta[[#This Row],[Considero a Limtek como un buen lugar para trabajar]],#REF!,#REF!)</f>
        <v>#REF!</v>
      </c>
      <c r="Z54" t="s">
        <v>190</v>
      </c>
      <c r="AA54" t="s">
        <v>191</v>
      </c>
      <c r="AB54" t="s">
        <v>38</v>
      </c>
      <c r="AC54" s="3" t="s">
        <v>3610</v>
      </c>
      <c r="AD54" s="3" t="s">
        <v>3616</v>
      </c>
      <c r="AE54" t="s">
        <v>34</v>
      </c>
    </row>
    <row r="55" spans="1:31" x14ac:dyDescent="0.25">
      <c r="A55">
        <v>119033977744</v>
      </c>
      <c r="B55">
        <v>462598545</v>
      </c>
      <c r="C55" s="1">
        <v>46031.519143518519</v>
      </c>
      <c r="D55" s="1">
        <v>46031.52171296296</v>
      </c>
      <c r="E55" t="s">
        <v>192</v>
      </c>
      <c r="F55" t="s">
        <v>23</v>
      </c>
      <c r="G55" t="e">
        <f>+_xlfn.XLOOKUP(tbl_encuesta[[#This Row],[Me siento a gusto con el ambiente de trabajo que se genera en mi equipo.]],#REF!,#REF!)</f>
        <v>#REF!</v>
      </c>
      <c r="H55" t="s">
        <v>23</v>
      </c>
      <c r="I55" t="e">
        <f>+_xlfn.XLOOKUP(tbl_encuesta[[#This Row],[Me siento motivado a dar lo mejor de mí y hacer un buen trabajo]],#REF!,#REF!)</f>
        <v>#REF!</v>
      </c>
      <c r="J55" t="s">
        <v>97</v>
      </c>
      <c r="K55" t="e">
        <f>+_xlfn.XLOOKUP(tbl_encuesta[[#This Row],[Mi supervisor o jefe directo me otorga el soporte que necesito para afrontar cualquier problema que afecte mi trabajo]],#REF!,#REF!)</f>
        <v>#REF!</v>
      </c>
      <c r="L55" t="s">
        <v>22</v>
      </c>
      <c r="M55" t="e">
        <f>+_xlfn.XLOOKUP(tbl_encuesta[[#This Row],[Mi supervisor o jefe directo fomenta que nos apoyemos entre todos en el equipo]],#REF!,#REF!)</f>
        <v>#REF!</v>
      </c>
      <c r="N55" t="s">
        <v>43</v>
      </c>
      <c r="O55" t="e">
        <f>+_xlfn.XLOOKUP(tbl_encuesta[[#This Row],[Siento que mi trabajo es reconocido por mi supervisor o jefe directo.]],#REF!,#REF!)</f>
        <v>#REF!</v>
      </c>
      <c r="P55" t="s">
        <v>67</v>
      </c>
      <c r="Q55" t="e">
        <f xml:space="preserve">
_xlfn.XLOOKUP(
tbl_encuesta[[#This Row],[Mi supervisor o jefe directo nos brinda charlas de 5 minutos y comunica las novedades relevantes a mi puesto de trabajo]],#REF!,#REF!
)</f>
        <v>#REF!</v>
      </c>
      <c r="S55" t="s">
        <v>18</v>
      </c>
      <c r="W55" t="s">
        <v>25</v>
      </c>
      <c r="X55" t="s">
        <v>23</v>
      </c>
      <c r="Y55" t="e">
        <f>+_xlfn.XLOOKUP(tbl_encuesta[[#This Row],[Considero a Limtek como un buen lugar para trabajar]],#REF!,#REF!)</f>
        <v>#REF!</v>
      </c>
      <c r="Z55" t="s">
        <v>193</v>
      </c>
      <c r="AA55" t="s">
        <v>194</v>
      </c>
      <c r="AB55" t="s">
        <v>72</v>
      </c>
      <c r="AC55" s="3" t="s">
        <v>3716</v>
      </c>
      <c r="AD55" s="3" t="s">
        <v>3716</v>
      </c>
      <c r="AE55" t="s">
        <v>29</v>
      </c>
    </row>
    <row r="56" spans="1:31" x14ac:dyDescent="0.25">
      <c r="A56">
        <v>119033976629</v>
      </c>
      <c r="B56">
        <v>462598545</v>
      </c>
      <c r="C56" s="1">
        <v>46031.517314814817</v>
      </c>
      <c r="D56" s="1">
        <v>46031.520671296297</v>
      </c>
      <c r="E56" t="s">
        <v>195</v>
      </c>
      <c r="F56" t="s">
        <v>23</v>
      </c>
      <c r="G56" t="e">
        <f>+_xlfn.XLOOKUP(tbl_encuesta[[#This Row],[Me siento a gusto con el ambiente de trabajo que se genera en mi equipo.]],#REF!,#REF!)</f>
        <v>#REF!</v>
      </c>
      <c r="H56" t="s">
        <v>23</v>
      </c>
      <c r="I56" t="e">
        <f>+_xlfn.XLOOKUP(tbl_encuesta[[#This Row],[Me siento motivado a dar lo mejor de mí y hacer un buen trabajo]],#REF!,#REF!)</f>
        <v>#REF!</v>
      </c>
      <c r="J56" t="s">
        <v>23</v>
      </c>
      <c r="K56" t="e">
        <f>+_xlfn.XLOOKUP(tbl_encuesta[[#This Row],[Mi supervisor o jefe directo me otorga el soporte que necesito para afrontar cualquier problema que afecte mi trabajo]],#REF!,#REF!)</f>
        <v>#REF!</v>
      </c>
      <c r="L56" t="s">
        <v>22</v>
      </c>
      <c r="M56" t="e">
        <f>+_xlfn.XLOOKUP(tbl_encuesta[[#This Row],[Mi supervisor o jefe directo fomenta que nos apoyemos entre todos en el equipo]],#REF!,#REF!)</f>
        <v>#REF!</v>
      </c>
      <c r="N56" t="s">
        <v>22</v>
      </c>
      <c r="O56" t="e">
        <f>+_xlfn.XLOOKUP(tbl_encuesta[[#This Row],[Siento que mi trabajo es reconocido por mi supervisor o jefe directo.]],#REF!,#REF!)</f>
        <v>#REF!</v>
      </c>
      <c r="P56" t="s">
        <v>31</v>
      </c>
      <c r="Q56" t="e">
        <f xml:space="preserve">
_xlfn.XLOOKUP(
tbl_encuesta[[#This Row],[Mi supervisor o jefe directo nos brinda charlas de 5 minutos y comunica las novedades relevantes a mi puesto de trabajo]],#REF!,#REF!
)</f>
        <v>#REF!</v>
      </c>
      <c r="R56" t="s">
        <v>17</v>
      </c>
      <c r="T56" t="s">
        <v>19</v>
      </c>
      <c r="W56" t="s">
        <v>25</v>
      </c>
      <c r="X56" t="s">
        <v>23</v>
      </c>
      <c r="Y56" t="e">
        <f>+_xlfn.XLOOKUP(tbl_encuesta[[#This Row],[Considero a Limtek como un buen lugar para trabajar]],#REF!,#REF!)</f>
        <v>#REF!</v>
      </c>
      <c r="Z56" t="s">
        <v>196</v>
      </c>
      <c r="AA56" t="s">
        <v>122</v>
      </c>
      <c r="AB56" t="s">
        <v>38</v>
      </c>
      <c r="AC56" s="3" t="s">
        <v>3791</v>
      </c>
      <c r="AD56" s="3" t="s">
        <v>3791</v>
      </c>
      <c r="AE56" t="s">
        <v>55</v>
      </c>
    </row>
    <row r="57" spans="1:31" x14ac:dyDescent="0.25">
      <c r="A57">
        <v>119033971105</v>
      </c>
      <c r="B57">
        <v>462598545</v>
      </c>
      <c r="C57" s="1">
        <v>46031.513136574074</v>
      </c>
      <c r="D57" s="1">
        <v>46031.515474537038</v>
      </c>
      <c r="E57" t="s">
        <v>197</v>
      </c>
      <c r="F57" t="s">
        <v>23</v>
      </c>
      <c r="G57" t="e">
        <f>+_xlfn.XLOOKUP(tbl_encuesta[[#This Row],[Me siento a gusto con el ambiente de trabajo que se genera en mi equipo.]],#REF!,#REF!)</f>
        <v>#REF!</v>
      </c>
      <c r="H57" t="s">
        <v>23</v>
      </c>
      <c r="I57" t="e">
        <f>+_xlfn.XLOOKUP(tbl_encuesta[[#This Row],[Me siento motivado a dar lo mejor de mí y hacer un buen trabajo]],#REF!,#REF!)</f>
        <v>#REF!</v>
      </c>
      <c r="J57" t="s">
        <v>23</v>
      </c>
      <c r="K57" t="e">
        <f>+_xlfn.XLOOKUP(tbl_encuesta[[#This Row],[Mi supervisor o jefe directo me otorga el soporte que necesito para afrontar cualquier problema que afecte mi trabajo]],#REF!,#REF!)</f>
        <v>#REF!</v>
      </c>
      <c r="L57" t="s">
        <v>23</v>
      </c>
      <c r="M57" t="e">
        <f>+_xlfn.XLOOKUP(tbl_encuesta[[#This Row],[Mi supervisor o jefe directo fomenta que nos apoyemos entre todos en el equipo]],#REF!,#REF!)</f>
        <v>#REF!</v>
      </c>
      <c r="N57" t="s">
        <v>23</v>
      </c>
      <c r="O57" t="e">
        <f>+_xlfn.XLOOKUP(tbl_encuesta[[#This Row],[Siento que mi trabajo es reconocido por mi supervisor o jefe directo.]],#REF!,#REF!)</f>
        <v>#REF!</v>
      </c>
      <c r="P57" t="s">
        <v>67</v>
      </c>
      <c r="Q57" t="e">
        <f xml:space="preserve">
_xlfn.XLOOKUP(
tbl_encuesta[[#This Row],[Mi supervisor o jefe directo nos brinda charlas de 5 minutos y comunica las novedades relevantes a mi puesto de trabajo]],#REF!,#REF!
)</f>
        <v>#REF!</v>
      </c>
      <c r="R57" t="s">
        <v>17</v>
      </c>
      <c r="W57" t="s">
        <v>25</v>
      </c>
      <c r="X57" t="s">
        <v>23</v>
      </c>
      <c r="Y57" t="e">
        <f>+_xlfn.XLOOKUP(tbl_encuesta[[#This Row],[Considero a Limtek como un buen lugar para trabajar]],#REF!,#REF!)</f>
        <v>#REF!</v>
      </c>
      <c r="Z57" t="s">
        <v>3744</v>
      </c>
      <c r="AA57" t="s">
        <v>198</v>
      </c>
      <c r="AB57" t="s">
        <v>38</v>
      </c>
      <c r="AC57" s="3" t="s">
        <v>3758</v>
      </c>
      <c r="AD57" s="3" t="s">
        <v>3785</v>
      </c>
      <c r="AE57" t="s">
        <v>34</v>
      </c>
    </row>
    <row r="58" spans="1:31" x14ac:dyDescent="0.25">
      <c r="A58">
        <v>119033966392</v>
      </c>
      <c r="B58">
        <v>462598545</v>
      </c>
      <c r="C58" s="1">
        <v>46031.508692129632</v>
      </c>
      <c r="D58" s="1">
        <v>46031.511354166665</v>
      </c>
      <c r="E58" t="s">
        <v>178</v>
      </c>
      <c r="F58" t="s">
        <v>23</v>
      </c>
      <c r="G58" t="e">
        <f>+_xlfn.XLOOKUP(tbl_encuesta[[#This Row],[Me siento a gusto con el ambiente de trabajo que se genera en mi equipo.]],#REF!,#REF!)</f>
        <v>#REF!</v>
      </c>
      <c r="H58" t="s">
        <v>23</v>
      </c>
      <c r="I58" t="e">
        <f>+_xlfn.XLOOKUP(tbl_encuesta[[#This Row],[Me siento motivado a dar lo mejor de mí y hacer un buen trabajo]],#REF!,#REF!)</f>
        <v>#REF!</v>
      </c>
      <c r="J58" t="s">
        <v>22</v>
      </c>
      <c r="K58" t="e">
        <f>+_xlfn.XLOOKUP(tbl_encuesta[[#This Row],[Mi supervisor o jefe directo me otorga el soporte que necesito para afrontar cualquier problema que afecte mi trabajo]],#REF!,#REF!)</f>
        <v>#REF!</v>
      </c>
      <c r="L58" t="s">
        <v>23</v>
      </c>
      <c r="M58" t="e">
        <f>+_xlfn.XLOOKUP(tbl_encuesta[[#This Row],[Mi supervisor o jefe directo fomenta que nos apoyemos entre todos en el equipo]],#REF!,#REF!)</f>
        <v>#REF!</v>
      </c>
      <c r="N58" t="s">
        <v>23</v>
      </c>
      <c r="O58" t="e">
        <f>+_xlfn.XLOOKUP(tbl_encuesta[[#This Row],[Siento que mi trabajo es reconocido por mi supervisor o jefe directo.]],#REF!,#REF!)</f>
        <v>#REF!</v>
      </c>
      <c r="P58" t="s">
        <v>175</v>
      </c>
      <c r="Q58" t="e">
        <f xml:space="preserve">
_xlfn.XLOOKUP(
tbl_encuesta[[#This Row],[Mi supervisor o jefe directo nos brinda charlas de 5 minutos y comunica las novedades relevantes a mi puesto de trabajo]],#REF!,#REF!
)</f>
        <v>#REF!</v>
      </c>
      <c r="R58" t="s">
        <v>17</v>
      </c>
      <c r="W58" t="s">
        <v>25</v>
      </c>
      <c r="X58" t="s">
        <v>23</v>
      </c>
      <c r="Y58" t="e">
        <f>+_xlfn.XLOOKUP(tbl_encuesta[[#This Row],[Considero a Limtek como un buen lugar para trabajar]],#REF!,#REF!)</f>
        <v>#REF!</v>
      </c>
      <c r="Z58" t="s">
        <v>3744</v>
      </c>
      <c r="AA58" t="s">
        <v>179</v>
      </c>
      <c r="AB58" t="s">
        <v>72</v>
      </c>
      <c r="AC58" t="s">
        <v>3744</v>
      </c>
      <c r="AD58" t="s">
        <v>3744</v>
      </c>
      <c r="AE58" t="s">
        <v>61</v>
      </c>
    </row>
    <row r="59" spans="1:31" x14ac:dyDescent="0.25">
      <c r="A59">
        <v>119033964660</v>
      </c>
      <c r="B59">
        <v>462598545</v>
      </c>
      <c r="C59" s="1">
        <v>46031.506805555553</v>
      </c>
      <c r="D59" s="1">
        <v>46031.509791666664</v>
      </c>
      <c r="E59" t="s">
        <v>199</v>
      </c>
      <c r="F59" t="s">
        <v>23</v>
      </c>
      <c r="G59" t="e">
        <f>+_xlfn.XLOOKUP(tbl_encuesta[[#This Row],[Me siento a gusto con el ambiente de trabajo que se genera en mi equipo.]],#REF!,#REF!)</f>
        <v>#REF!</v>
      </c>
      <c r="H59" t="s">
        <v>23</v>
      </c>
      <c r="I59" t="e">
        <f>+_xlfn.XLOOKUP(tbl_encuesta[[#This Row],[Me siento motivado a dar lo mejor de mí y hacer un buen trabajo]],#REF!,#REF!)</f>
        <v>#REF!</v>
      </c>
      <c r="J59" t="s">
        <v>23</v>
      </c>
      <c r="K59" t="e">
        <f>+_xlfn.XLOOKUP(tbl_encuesta[[#This Row],[Mi supervisor o jefe directo me otorga el soporte que necesito para afrontar cualquier problema que afecte mi trabajo]],#REF!,#REF!)</f>
        <v>#REF!</v>
      </c>
      <c r="L59" t="s">
        <v>23</v>
      </c>
      <c r="M59" t="e">
        <f>+_xlfn.XLOOKUP(tbl_encuesta[[#This Row],[Mi supervisor o jefe directo fomenta que nos apoyemos entre todos en el equipo]],#REF!,#REF!)</f>
        <v>#REF!</v>
      </c>
      <c r="N59" t="s">
        <v>23</v>
      </c>
      <c r="O59" t="e">
        <f>+_xlfn.XLOOKUP(tbl_encuesta[[#This Row],[Siento que mi trabajo es reconocido por mi supervisor o jefe directo.]],#REF!,#REF!)</f>
        <v>#REF!</v>
      </c>
      <c r="P59" t="s">
        <v>31</v>
      </c>
      <c r="Q59" t="e">
        <f xml:space="preserve">
_xlfn.XLOOKUP(
tbl_encuesta[[#This Row],[Mi supervisor o jefe directo nos brinda charlas de 5 minutos y comunica las novedades relevantes a mi puesto de trabajo]],#REF!,#REF!
)</f>
        <v>#REF!</v>
      </c>
      <c r="R59" t="s">
        <v>17</v>
      </c>
      <c r="S59" t="s">
        <v>18</v>
      </c>
      <c r="W59" t="s">
        <v>25</v>
      </c>
      <c r="X59" t="s">
        <v>23</v>
      </c>
      <c r="Y59" t="e">
        <f>+_xlfn.XLOOKUP(tbl_encuesta[[#This Row],[Considero a Limtek como un buen lugar para trabajar]],#REF!,#REF!)</f>
        <v>#REF!</v>
      </c>
      <c r="Z59" t="s">
        <v>3877</v>
      </c>
      <c r="AA59" t="s">
        <v>200</v>
      </c>
      <c r="AB59" t="s">
        <v>72</v>
      </c>
      <c r="AC59" s="3" t="s">
        <v>3716</v>
      </c>
      <c r="AD59" s="3" t="s">
        <v>72</v>
      </c>
      <c r="AE59" t="s">
        <v>29</v>
      </c>
    </row>
    <row r="60" spans="1:31" x14ac:dyDescent="0.25">
      <c r="A60">
        <v>119033961581</v>
      </c>
      <c r="B60">
        <v>462598545</v>
      </c>
      <c r="C60" s="1">
        <v>46031.504224537035</v>
      </c>
      <c r="D60" s="1">
        <v>46031.507407407407</v>
      </c>
      <c r="E60" t="s">
        <v>201</v>
      </c>
      <c r="F60" t="s">
        <v>23</v>
      </c>
      <c r="G60" t="e">
        <f>+_xlfn.XLOOKUP(tbl_encuesta[[#This Row],[Me siento a gusto con el ambiente de trabajo que se genera en mi equipo.]],#REF!,#REF!)</f>
        <v>#REF!</v>
      </c>
      <c r="H60" t="s">
        <v>23</v>
      </c>
      <c r="I60" t="e">
        <f>+_xlfn.XLOOKUP(tbl_encuesta[[#This Row],[Me siento motivado a dar lo mejor de mí y hacer un buen trabajo]],#REF!,#REF!)</f>
        <v>#REF!</v>
      </c>
      <c r="J60" t="s">
        <v>22</v>
      </c>
      <c r="K60" t="e">
        <f>+_xlfn.XLOOKUP(tbl_encuesta[[#This Row],[Mi supervisor o jefe directo me otorga el soporte que necesito para afrontar cualquier problema que afecte mi trabajo]],#REF!,#REF!)</f>
        <v>#REF!</v>
      </c>
      <c r="L60" t="s">
        <v>23</v>
      </c>
      <c r="M60" t="e">
        <f>+_xlfn.XLOOKUP(tbl_encuesta[[#This Row],[Mi supervisor o jefe directo fomenta que nos apoyemos entre todos en el equipo]],#REF!,#REF!)</f>
        <v>#REF!</v>
      </c>
      <c r="N60" t="s">
        <v>22</v>
      </c>
      <c r="O60" t="e">
        <f>+_xlfn.XLOOKUP(tbl_encuesta[[#This Row],[Siento que mi trabajo es reconocido por mi supervisor o jefe directo.]],#REF!,#REF!)</f>
        <v>#REF!</v>
      </c>
      <c r="P60" t="s">
        <v>31</v>
      </c>
      <c r="Q60" t="e">
        <f xml:space="preserve">
_xlfn.XLOOKUP(
tbl_encuesta[[#This Row],[Mi supervisor o jefe directo nos brinda charlas de 5 minutos y comunica las novedades relevantes a mi puesto de trabajo]],#REF!,#REF!
)</f>
        <v>#REF!</v>
      </c>
      <c r="R60" t="s">
        <v>17</v>
      </c>
      <c r="S60" t="s">
        <v>18</v>
      </c>
      <c r="W60" t="s">
        <v>25</v>
      </c>
      <c r="X60" t="s">
        <v>23</v>
      </c>
      <c r="Y60" t="e">
        <f>+_xlfn.XLOOKUP(tbl_encuesta[[#This Row],[Considero a Limtek como un buen lugar para trabajar]],#REF!,#REF!)</f>
        <v>#REF!</v>
      </c>
      <c r="Z60" t="s">
        <v>202</v>
      </c>
      <c r="AA60" t="s">
        <v>203</v>
      </c>
      <c r="AB60" t="s">
        <v>38</v>
      </c>
      <c r="AC60" s="3" t="s">
        <v>3845</v>
      </c>
      <c r="AD60" s="3" t="s">
        <v>3846</v>
      </c>
      <c r="AE60" t="s">
        <v>34</v>
      </c>
    </row>
    <row r="61" spans="1:31" x14ac:dyDescent="0.25">
      <c r="A61">
        <v>119033951711</v>
      </c>
      <c r="B61">
        <v>462598545</v>
      </c>
      <c r="C61" s="1">
        <v>46031.493611111109</v>
      </c>
      <c r="D61" s="1">
        <v>46031.499537037038</v>
      </c>
      <c r="E61" t="s">
        <v>204</v>
      </c>
      <c r="F61" t="s">
        <v>23</v>
      </c>
      <c r="G61" t="e">
        <f>+_xlfn.XLOOKUP(tbl_encuesta[[#This Row],[Me siento a gusto con el ambiente de trabajo que se genera en mi equipo.]],#REF!,#REF!)</f>
        <v>#REF!</v>
      </c>
      <c r="H61" t="s">
        <v>22</v>
      </c>
      <c r="I61" t="e">
        <f>+_xlfn.XLOOKUP(tbl_encuesta[[#This Row],[Me siento motivado a dar lo mejor de mí y hacer un buen trabajo]],#REF!,#REF!)</f>
        <v>#REF!</v>
      </c>
      <c r="J61" t="s">
        <v>23</v>
      </c>
      <c r="K61" t="e">
        <f>+_xlfn.XLOOKUP(tbl_encuesta[[#This Row],[Mi supervisor o jefe directo me otorga el soporte que necesito para afrontar cualquier problema que afecte mi trabajo]],#REF!,#REF!)</f>
        <v>#REF!</v>
      </c>
      <c r="L61" t="s">
        <v>23</v>
      </c>
      <c r="M61" t="e">
        <f>+_xlfn.XLOOKUP(tbl_encuesta[[#This Row],[Mi supervisor o jefe directo fomenta que nos apoyemos entre todos en el equipo]],#REF!,#REF!)</f>
        <v>#REF!</v>
      </c>
      <c r="N61" t="s">
        <v>22</v>
      </c>
      <c r="O61" t="e">
        <f>+_xlfn.XLOOKUP(tbl_encuesta[[#This Row],[Siento que mi trabajo es reconocido por mi supervisor o jefe directo.]],#REF!,#REF!)</f>
        <v>#REF!</v>
      </c>
      <c r="P61" t="s">
        <v>67</v>
      </c>
      <c r="Q61" t="e">
        <f xml:space="preserve">
_xlfn.XLOOKUP(
tbl_encuesta[[#This Row],[Mi supervisor o jefe directo nos brinda charlas de 5 minutos y comunica las novedades relevantes a mi puesto de trabajo]],#REF!,#REF!
)</f>
        <v>#REF!</v>
      </c>
      <c r="R61" t="s">
        <v>17</v>
      </c>
      <c r="T61" t="s">
        <v>19</v>
      </c>
      <c r="W61" t="s">
        <v>25</v>
      </c>
      <c r="X61" t="s">
        <v>22</v>
      </c>
      <c r="Y61" t="e">
        <f>+_xlfn.XLOOKUP(tbl_encuesta[[#This Row],[Considero a Limtek como un buen lugar para trabajar]],#REF!,#REF!)</f>
        <v>#REF!</v>
      </c>
      <c r="Z61" t="s">
        <v>205</v>
      </c>
      <c r="AA61" t="s">
        <v>206</v>
      </c>
      <c r="AB61" t="s">
        <v>72</v>
      </c>
      <c r="AC61" s="3" t="s">
        <v>3716</v>
      </c>
      <c r="AD61" s="3" t="s">
        <v>72</v>
      </c>
      <c r="AE61" t="s">
        <v>29</v>
      </c>
    </row>
    <row r="62" spans="1:31" x14ac:dyDescent="0.25">
      <c r="A62">
        <v>119033950093</v>
      </c>
      <c r="B62">
        <v>462598545</v>
      </c>
      <c r="C62" s="1">
        <v>46031.497256944444</v>
      </c>
      <c r="D62" s="1">
        <v>46031.498344907406</v>
      </c>
      <c r="E62" t="s">
        <v>207</v>
      </c>
      <c r="F62" t="s">
        <v>23</v>
      </c>
      <c r="G62" t="e">
        <f>+_xlfn.XLOOKUP(tbl_encuesta[[#This Row],[Me siento a gusto con el ambiente de trabajo que se genera en mi equipo.]],#REF!,#REF!)</f>
        <v>#REF!</v>
      </c>
      <c r="H62" t="s">
        <v>23</v>
      </c>
      <c r="I62" t="e">
        <f>+_xlfn.XLOOKUP(tbl_encuesta[[#This Row],[Me siento motivado a dar lo mejor de mí y hacer un buen trabajo]],#REF!,#REF!)</f>
        <v>#REF!</v>
      </c>
      <c r="J62" t="s">
        <v>23</v>
      </c>
      <c r="K62" t="e">
        <f>+_xlfn.XLOOKUP(tbl_encuesta[[#This Row],[Mi supervisor o jefe directo me otorga el soporte que necesito para afrontar cualquier problema que afecte mi trabajo]],#REF!,#REF!)</f>
        <v>#REF!</v>
      </c>
      <c r="L62" t="s">
        <v>23</v>
      </c>
      <c r="M62" t="e">
        <f>+_xlfn.XLOOKUP(tbl_encuesta[[#This Row],[Mi supervisor o jefe directo fomenta que nos apoyemos entre todos en el equipo]],#REF!,#REF!)</f>
        <v>#REF!</v>
      </c>
      <c r="N62" t="s">
        <v>23</v>
      </c>
      <c r="O62" t="e">
        <f>+_xlfn.XLOOKUP(tbl_encuesta[[#This Row],[Siento que mi trabajo es reconocido por mi supervisor o jefe directo.]],#REF!,#REF!)</f>
        <v>#REF!</v>
      </c>
      <c r="P62" t="s">
        <v>31</v>
      </c>
      <c r="Q62" t="e">
        <f xml:space="preserve">
_xlfn.XLOOKUP(
tbl_encuesta[[#This Row],[Mi supervisor o jefe directo nos brinda charlas de 5 minutos y comunica las novedades relevantes a mi puesto de trabajo]],#REF!,#REF!
)</f>
        <v>#REF!</v>
      </c>
      <c r="R62" t="s">
        <v>17</v>
      </c>
      <c r="S62" t="s">
        <v>18</v>
      </c>
      <c r="W62" t="s">
        <v>25</v>
      </c>
      <c r="X62" t="s">
        <v>23</v>
      </c>
      <c r="Y62" t="e">
        <f>+_xlfn.XLOOKUP(tbl_encuesta[[#This Row],[Considero a Limtek como un buen lugar para trabajar]],#REF!,#REF!)</f>
        <v>#REF!</v>
      </c>
      <c r="Z62" t="s">
        <v>208</v>
      </c>
      <c r="AA62" t="s">
        <v>209</v>
      </c>
      <c r="AB62" t="s">
        <v>72</v>
      </c>
      <c r="AC62" s="3" t="s">
        <v>3716</v>
      </c>
      <c r="AD62" s="3" t="s">
        <v>72</v>
      </c>
      <c r="AE62" t="s">
        <v>29</v>
      </c>
    </row>
    <row r="63" spans="1:31" x14ac:dyDescent="0.25">
      <c r="A63">
        <v>119033948430</v>
      </c>
      <c r="B63">
        <v>462598545</v>
      </c>
      <c r="C63" s="1">
        <v>46031.493136574078</v>
      </c>
      <c r="D63" s="1">
        <v>46031.496863425928</v>
      </c>
      <c r="E63" t="s">
        <v>207</v>
      </c>
      <c r="F63" t="s">
        <v>23</v>
      </c>
      <c r="G63" t="e">
        <f>+_xlfn.XLOOKUP(tbl_encuesta[[#This Row],[Me siento a gusto con el ambiente de trabajo que se genera en mi equipo.]],#REF!,#REF!)</f>
        <v>#REF!</v>
      </c>
      <c r="H63" t="s">
        <v>23</v>
      </c>
      <c r="I63" t="e">
        <f>+_xlfn.XLOOKUP(tbl_encuesta[[#This Row],[Me siento motivado a dar lo mejor de mí y hacer un buen trabajo]],#REF!,#REF!)</f>
        <v>#REF!</v>
      </c>
      <c r="J63" t="s">
        <v>23</v>
      </c>
      <c r="K63" t="e">
        <f>+_xlfn.XLOOKUP(tbl_encuesta[[#This Row],[Mi supervisor o jefe directo me otorga el soporte que necesito para afrontar cualquier problema que afecte mi trabajo]],#REF!,#REF!)</f>
        <v>#REF!</v>
      </c>
      <c r="L63" t="s">
        <v>23</v>
      </c>
      <c r="M63" t="e">
        <f>+_xlfn.XLOOKUP(tbl_encuesta[[#This Row],[Mi supervisor o jefe directo fomenta que nos apoyemos entre todos en el equipo]],#REF!,#REF!)</f>
        <v>#REF!</v>
      </c>
      <c r="N63" t="s">
        <v>23</v>
      </c>
      <c r="O63" t="e">
        <f>+_xlfn.XLOOKUP(tbl_encuesta[[#This Row],[Siento que mi trabajo es reconocido por mi supervisor o jefe directo.]],#REF!,#REF!)</f>
        <v>#REF!</v>
      </c>
      <c r="P63" t="s">
        <v>31</v>
      </c>
      <c r="Q63" t="e">
        <f xml:space="preserve">
_xlfn.XLOOKUP(
tbl_encuesta[[#This Row],[Mi supervisor o jefe directo nos brinda charlas de 5 minutos y comunica las novedades relevantes a mi puesto de trabajo]],#REF!,#REF!
)</f>
        <v>#REF!</v>
      </c>
      <c r="R63" t="s">
        <v>17</v>
      </c>
      <c r="S63" t="s">
        <v>18</v>
      </c>
      <c r="W63" t="s">
        <v>25</v>
      </c>
      <c r="X63" t="s">
        <v>23</v>
      </c>
      <c r="Y63" t="e">
        <f>+_xlfn.XLOOKUP(tbl_encuesta[[#This Row],[Considero a Limtek como un buen lugar para trabajar]],#REF!,#REF!)</f>
        <v>#REF!</v>
      </c>
      <c r="Z63" t="s">
        <v>210</v>
      </c>
      <c r="AA63" t="s">
        <v>211</v>
      </c>
      <c r="AB63" t="s">
        <v>72</v>
      </c>
      <c r="AC63" s="3" t="s">
        <v>3716</v>
      </c>
      <c r="AD63" s="3" t="s">
        <v>72</v>
      </c>
      <c r="AE63" t="s">
        <v>29</v>
      </c>
    </row>
    <row r="64" spans="1:31" x14ac:dyDescent="0.25">
      <c r="A64">
        <v>119033943639</v>
      </c>
      <c r="B64">
        <v>462598545</v>
      </c>
      <c r="C64" s="1">
        <v>46031.491331018522</v>
      </c>
      <c r="D64" s="1">
        <v>46031.492291666669</v>
      </c>
      <c r="E64" t="s">
        <v>212</v>
      </c>
      <c r="F64" t="s">
        <v>23</v>
      </c>
      <c r="G64" t="e">
        <f>+_xlfn.XLOOKUP(tbl_encuesta[[#This Row],[Me siento a gusto con el ambiente de trabajo que se genera en mi equipo.]],#REF!,#REF!)</f>
        <v>#REF!</v>
      </c>
      <c r="H64" t="s">
        <v>23</v>
      </c>
      <c r="I64" t="e">
        <f>+_xlfn.XLOOKUP(tbl_encuesta[[#This Row],[Me siento motivado a dar lo mejor de mí y hacer un buen trabajo]],#REF!,#REF!)</f>
        <v>#REF!</v>
      </c>
      <c r="J64" t="s">
        <v>23</v>
      </c>
      <c r="K64" t="e">
        <f>+_xlfn.XLOOKUP(tbl_encuesta[[#This Row],[Mi supervisor o jefe directo me otorga el soporte que necesito para afrontar cualquier problema que afecte mi trabajo]],#REF!,#REF!)</f>
        <v>#REF!</v>
      </c>
      <c r="L64" t="s">
        <v>23</v>
      </c>
      <c r="M64" t="e">
        <f>+_xlfn.XLOOKUP(tbl_encuesta[[#This Row],[Mi supervisor o jefe directo fomenta que nos apoyemos entre todos en el equipo]],#REF!,#REF!)</f>
        <v>#REF!</v>
      </c>
      <c r="N64" t="s">
        <v>23</v>
      </c>
      <c r="O64" t="e">
        <f>+_xlfn.XLOOKUP(tbl_encuesta[[#This Row],[Siento que mi trabajo es reconocido por mi supervisor o jefe directo.]],#REF!,#REF!)</f>
        <v>#REF!</v>
      </c>
      <c r="P64" t="s">
        <v>31</v>
      </c>
      <c r="Q64" t="e">
        <f xml:space="preserve">
_xlfn.XLOOKUP(
tbl_encuesta[[#This Row],[Mi supervisor o jefe directo nos brinda charlas de 5 minutos y comunica las novedades relevantes a mi puesto de trabajo]],#REF!,#REF!
)</f>
        <v>#REF!</v>
      </c>
      <c r="R64" t="s">
        <v>17</v>
      </c>
      <c r="W64" t="s">
        <v>25</v>
      </c>
      <c r="X64" t="s">
        <v>23</v>
      </c>
      <c r="Y64" t="e">
        <f>+_xlfn.XLOOKUP(tbl_encuesta[[#This Row],[Considero a Limtek como un buen lugar para trabajar]],#REF!,#REF!)</f>
        <v>#REF!</v>
      </c>
      <c r="Z64" t="s">
        <v>213</v>
      </c>
      <c r="AA64" t="s">
        <v>122</v>
      </c>
      <c r="AB64" t="s">
        <v>28</v>
      </c>
      <c r="AC64" s="3" t="s">
        <v>3705</v>
      </c>
      <c r="AD64" s="3" t="s">
        <v>3707</v>
      </c>
      <c r="AE64" t="s">
        <v>69</v>
      </c>
    </row>
    <row r="65" spans="1:31" x14ac:dyDescent="0.25">
      <c r="A65">
        <v>119033942146</v>
      </c>
      <c r="B65">
        <v>462598545</v>
      </c>
      <c r="C65" s="1">
        <v>46031.487407407411</v>
      </c>
      <c r="D65" s="1">
        <v>46031.490717592591</v>
      </c>
      <c r="E65" t="s">
        <v>212</v>
      </c>
      <c r="F65" t="s">
        <v>23</v>
      </c>
      <c r="G65" t="e">
        <f>+_xlfn.XLOOKUP(tbl_encuesta[[#This Row],[Me siento a gusto con el ambiente de trabajo que se genera en mi equipo.]],#REF!,#REF!)</f>
        <v>#REF!</v>
      </c>
      <c r="H65" t="s">
        <v>23</v>
      </c>
      <c r="I65" t="e">
        <f>+_xlfn.XLOOKUP(tbl_encuesta[[#This Row],[Me siento motivado a dar lo mejor de mí y hacer un buen trabajo]],#REF!,#REF!)</f>
        <v>#REF!</v>
      </c>
      <c r="J65" t="s">
        <v>23</v>
      </c>
      <c r="K65" t="e">
        <f>+_xlfn.XLOOKUP(tbl_encuesta[[#This Row],[Mi supervisor o jefe directo me otorga el soporte que necesito para afrontar cualquier problema que afecte mi trabajo]],#REF!,#REF!)</f>
        <v>#REF!</v>
      </c>
      <c r="L65" t="s">
        <v>23</v>
      </c>
      <c r="M65" t="e">
        <f>+_xlfn.XLOOKUP(tbl_encuesta[[#This Row],[Mi supervisor o jefe directo fomenta que nos apoyemos entre todos en el equipo]],#REF!,#REF!)</f>
        <v>#REF!</v>
      </c>
      <c r="N65" t="s">
        <v>23</v>
      </c>
      <c r="O65" t="e">
        <f>+_xlfn.XLOOKUP(tbl_encuesta[[#This Row],[Siento que mi trabajo es reconocido por mi supervisor o jefe directo.]],#REF!,#REF!)</f>
        <v>#REF!</v>
      </c>
      <c r="P65" t="s">
        <v>31</v>
      </c>
      <c r="Q65" t="e">
        <f xml:space="preserve">
_xlfn.XLOOKUP(
tbl_encuesta[[#This Row],[Mi supervisor o jefe directo nos brinda charlas de 5 minutos y comunica las novedades relevantes a mi puesto de trabajo]],#REF!,#REF!
)</f>
        <v>#REF!</v>
      </c>
      <c r="R65" t="s">
        <v>17</v>
      </c>
      <c r="W65" t="s">
        <v>25</v>
      </c>
      <c r="X65" t="s">
        <v>23</v>
      </c>
      <c r="Y65" t="e">
        <f>+_xlfn.XLOOKUP(tbl_encuesta[[#This Row],[Considero a Limtek como un buen lugar para trabajar]],#REF!,#REF!)</f>
        <v>#REF!</v>
      </c>
      <c r="Z65" t="s">
        <v>213</v>
      </c>
      <c r="AA65" t="s">
        <v>122</v>
      </c>
      <c r="AB65" t="s">
        <v>28</v>
      </c>
      <c r="AC65" s="3" t="s">
        <v>3705</v>
      </c>
      <c r="AD65" s="3" t="s">
        <v>3707</v>
      </c>
      <c r="AE65" t="s">
        <v>69</v>
      </c>
    </row>
    <row r="66" spans="1:31" x14ac:dyDescent="0.25">
      <c r="A66">
        <v>119033940853</v>
      </c>
      <c r="B66">
        <v>462598545</v>
      </c>
      <c r="C66" s="1">
        <v>46031.486678240741</v>
      </c>
      <c r="D66" s="1">
        <v>46031.489398148151</v>
      </c>
      <c r="E66" t="s">
        <v>214</v>
      </c>
      <c r="F66" t="s">
        <v>22</v>
      </c>
      <c r="G66" t="e">
        <f>+_xlfn.XLOOKUP(tbl_encuesta[[#This Row],[Me siento a gusto con el ambiente de trabajo que se genera en mi equipo.]],#REF!,#REF!)</f>
        <v>#REF!</v>
      </c>
      <c r="H66" t="s">
        <v>23</v>
      </c>
      <c r="I66" t="e">
        <f>+_xlfn.XLOOKUP(tbl_encuesta[[#This Row],[Me siento motivado a dar lo mejor de mí y hacer un buen trabajo]],#REF!,#REF!)</f>
        <v>#REF!</v>
      </c>
      <c r="J66" t="s">
        <v>23</v>
      </c>
      <c r="K66" t="e">
        <f>+_xlfn.XLOOKUP(tbl_encuesta[[#This Row],[Mi supervisor o jefe directo me otorga el soporte que necesito para afrontar cualquier problema que afecte mi trabajo]],#REF!,#REF!)</f>
        <v>#REF!</v>
      </c>
      <c r="L66" t="s">
        <v>23</v>
      </c>
      <c r="M66" t="e">
        <f>+_xlfn.XLOOKUP(tbl_encuesta[[#This Row],[Mi supervisor o jefe directo fomenta que nos apoyemos entre todos en el equipo]],#REF!,#REF!)</f>
        <v>#REF!</v>
      </c>
      <c r="N66" t="s">
        <v>22</v>
      </c>
      <c r="O66" t="e">
        <f>+_xlfn.XLOOKUP(tbl_encuesta[[#This Row],[Siento que mi trabajo es reconocido por mi supervisor o jefe directo.]],#REF!,#REF!)</f>
        <v>#REF!</v>
      </c>
      <c r="P66" t="s">
        <v>31</v>
      </c>
      <c r="Q66" t="e">
        <f xml:space="preserve">
_xlfn.XLOOKUP(
tbl_encuesta[[#This Row],[Mi supervisor o jefe directo nos brinda charlas de 5 minutos y comunica las novedades relevantes a mi puesto de trabajo]],#REF!,#REF!
)</f>
        <v>#REF!</v>
      </c>
      <c r="R66" t="s">
        <v>17</v>
      </c>
      <c r="W66" t="s">
        <v>25</v>
      </c>
      <c r="X66" t="s">
        <v>22</v>
      </c>
      <c r="Y66" t="e">
        <f>+_xlfn.XLOOKUP(tbl_encuesta[[#This Row],[Considero a Limtek como un buen lugar para trabajar]],#REF!,#REF!)</f>
        <v>#REF!</v>
      </c>
      <c r="Z66" t="s">
        <v>215</v>
      </c>
      <c r="AA66" t="s">
        <v>216</v>
      </c>
      <c r="AB66" t="s">
        <v>38</v>
      </c>
      <c r="AC66" s="3" t="s">
        <v>3610</v>
      </c>
      <c r="AD66" s="3" t="s">
        <v>3617</v>
      </c>
      <c r="AE66" t="s">
        <v>34</v>
      </c>
    </row>
    <row r="67" spans="1:31" x14ac:dyDescent="0.25">
      <c r="A67">
        <v>119033939509</v>
      </c>
      <c r="B67">
        <v>462598545</v>
      </c>
      <c r="C67" s="1">
        <v>46031.483356481483</v>
      </c>
      <c r="D67" s="1">
        <v>46031.488055555557</v>
      </c>
      <c r="E67" t="s">
        <v>153</v>
      </c>
      <c r="F67" t="s">
        <v>23</v>
      </c>
      <c r="G67" t="e">
        <f>+_xlfn.XLOOKUP(tbl_encuesta[[#This Row],[Me siento a gusto con el ambiente de trabajo que se genera en mi equipo.]],#REF!,#REF!)</f>
        <v>#REF!</v>
      </c>
      <c r="H67" t="s">
        <v>23</v>
      </c>
      <c r="I67" t="e">
        <f>+_xlfn.XLOOKUP(tbl_encuesta[[#This Row],[Me siento motivado a dar lo mejor de mí y hacer un buen trabajo]],#REF!,#REF!)</f>
        <v>#REF!</v>
      </c>
      <c r="J67" t="s">
        <v>22</v>
      </c>
      <c r="K67" t="e">
        <f>+_xlfn.XLOOKUP(tbl_encuesta[[#This Row],[Mi supervisor o jefe directo me otorga el soporte que necesito para afrontar cualquier problema que afecte mi trabajo]],#REF!,#REF!)</f>
        <v>#REF!</v>
      </c>
      <c r="L67" t="s">
        <v>23</v>
      </c>
      <c r="M67" t="e">
        <f>+_xlfn.XLOOKUP(tbl_encuesta[[#This Row],[Mi supervisor o jefe directo fomenta que nos apoyemos entre todos en el equipo]],#REF!,#REF!)</f>
        <v>#REF!</v>
      </c>
      <c r="N67" t="s">
        <v>23</v>
      </c>
      <c r="O67" t="e">
        <f>+_xlfn.XLOOKUP(tbl_encuesta[[#This Row],[Siento que mi trabajo es reconocido por mi supervisor o jefe directo.]],#REF!,#REF!)</f>
        <v>#REF!</v>
      </c>
      <c r="P67" t="s">
        <v>31</v>
      </c>
      <c r="Q67" t="e">
        <f xml:space="preserve">
_xlfn.XLOOKUP(
tbl_encuesta[[#This Row],[Mi supervisor o jefe directo nos brinda charlas de 5 minutos y comunica las novedades relevantes a mi puesto de trabajo]],#REF!,#REF!
)</f>
        <v>#REF!</v>
      </c>
      <c r="R67" t="s">
        <v>17</v>
      </c>
      <c r="W67" t="s">
        <v>25</v>
      </c>
      <c r="X67" t="s">
        <v>23</v>
      </c>
      <c r="Y67" t="e">
        <f>+_xlfn.XLOOKUP(tbl_encuesta[[#This Row],[Considero a Limtek como un buen lugar para trabajar]],#REF!,#REF!)</f>
        <v>#REF!</v>
      </c>
      <c r="Z67" t="s">
        <v>217</v>
      </c>
      <c r="AA67" t="s">
        <v>218</v>
      </c>
      <c r="AB67" t="s">
        <v>72</v>
      </c>
      <c r="AC67" s="3" t="s">
        <v>3716</v>
      </c>
      <c r="AD67" s="3" t="s">
        <v>3716</v>
      </c>
      <c r="AE67" t="s">
        <v>29</v>
      </c>
    </row>
    <row r="68" spans="1:31" x14ac:dyDescent="0.25">
      <c r="A68">
        <v>119033936187</v>
      </c>
      <c r="B68">
        <v>462598545</v>
      </c>
      <c r="C68" s="1">
        <v>46031.480416666665</v>
      </c>
      <c r="D68" s="1">
        <v>46031.4846875</v>
      </c>
      <c r="E68" t="s">
        <v>219</v>
      </c>
      <c r="F68" t="s">
        <v>23</v>
      </c>
      <c r="G68" t="e">
        <f>+_xlfn.XLOOKUP(tbl_encuesta[[#This Row],[Me siento a gusto con el ambiente de trabajo que se genera en mi equipo.]],#REF!,#REF!)</f>
        <v>#REF!</v>
      </c>
      <c r="H68" t="s">
        <v>23</v>
      </c>
      <c r="I68" t="e">
        <f>+_xlfn.XLOOKUP(tbl_encuesta[[#This Row],[Me siento motivado a dar lo mejor de mí y hacer un buen trabajo]],#REF!,#REF!)</f>
        <v>#REF!</v>
      </c>
      <c r="J68" t="s">
        <v>23</v>
      </c>
      <c r="K68" t="e">
        <f>+_xlfn.XLOOKUP(tbl_encuesta[[#This Row],[Mi supervisor o jefe directo me otorga el soporte que necesito para afrontar cualquier problema que afecte mi trabajo]],#REF!,#REF!)</f>
        <v>#REF!</v>
      </c>
      <c r="L68" t="s">
        <v>23</v>
      </c>
      <c r="M68" t="e">
        <f>+_xlfn.XLOOKUP(tbl_encuesta[[#This Row],[Mi supervisor o jefe directo fomenta que nos apoyemos entre todos en el equipo]],#REF!,#REF!)</f>
        <v>#REF!</v>
      </c>
      <c r="N68" t="s">
        <v>23</v>
      </c>
      <c r="O68" t="e">
        <f>+_xlfn.XLOOKUP(tbl_encuesta[[#This Row],[Siento que mi trabajo es reconocido por mi supervisor o jefe directo.]],#REF!,#REF!)</f>
        <v>#REF!</v>
      </c>
      <c r="P68" t="s">
        <v>31</v>
      </c>
      <c r="Q68" t="e">
        <f xml:space="preserve">
_xlfn.XLOOKUP(
tbl_encuesta[[#This Row],[Mi supervisor o jefe directo nos brinda charlas de 5 minutos y comunica las novedades relevantes a mi puesto de trabajo]],#REF!,#REF!
)</f>
        <v>#REF!</v>
      </c>
      <c r="R68" t="s">
        <v>17</v>
      </c>
      <c r="W68" t="s">
        <v>25</v>
      </c>
      <c r="X68" t="s">
        <v>23</v>
      </c>
      <c r="Y68" t="e">
        <f>+_xlfn.XLOOKUP(tbl_encuesta[[#This Row],[Considero a Limtek como un buen lugar para trabajar]],#REF!,#REF!)</f>
        <v>#REF!</v>
      </c>
      <c r="Z68" t="s">
        <v>220</v>
      </c>
      <c r="AA68" t="s">
        <v>221</v>
      </c>
      <c r="AB68" t="s">
        <v>38</v>
      </c>
      <c r="AC68" s="3" t="s">
        <v>3610</v>
      </c>
      <c r="AD68" s="3" t="s">
        <v>3618</v>
      </c>
      <c r="AE68" t="s">
        <v>55</v>
      </c>
    </row>
    <row r="69" spans="1:31" x14ac:dyDescent="0.25">
      <c r="A69">
        <v>119033935755</v>
      </c>
      <c r="B69">
        <v>462598545</v>
      </c>
      <c r="C69" s="1">
        <v>46031.482118055559</v>
      </c>
      <c r="D69" s="1">
        <v>46031.484270833331</v>
      </c>
      <c r="E69" t="s">
        <v>222</v>
      </c>
      <c r="F69" t="s">
        <v>23</v>
      </c>
      <c r="G69" t="e">
        <f>+_xlfn.XLOOKUP(tbl_encuesta[[#This Row],[Me siento a gusto con el ambiente de trabajo que se genera en mi equipo.]],#REF!,#REF!)</f>
        <v>#REF!</v>
      </c>
      <c r="H69" t="s">
        <v>23</v>
      </c>
      <c r="I69" t="e">
        <f>+_xlfn.XLOOKUP(tbl_encuesta[[#This Row],[Me siento motivado a dar lo mejor de mí y hacer un buen trabajo]],#REF!,#REF!)</f>
        <v>#REF!</v>
      </c>
      <c r="J69" t="s">
        <v>23</v>
      </c>
      <c r="K69" t="e">
        <f>+_xlfn.XLOOKUP(tbl_encuesta[[#This Row],[Mi supervisor o jefe directo me otorga el soporte que necesito para afrontar cualquier problema que afecte mi trabajo]],#REF!,#REF!)</f>
        <v>#REF!</v>
      </c>
      <c r="L69" t="s">
        <v>23</v>
      </c>
      <c r="M69" t="e">
        <f>+_xlfn.XLOOKUP(tbl_encuesta[[#This Row],[Mi supervisor o jefe directo fomenta que nos apoyemos entre todos en el equipo]],#REF!,#REF!)</f>
        <v>#REF!</v>
      </c>
      <c r="N69" t="s">
        <v>23</v>
      </c>
      <c r="O69" t="e">
        <f>+_xlfn.XLOOKUP(tbl_encuesta[[#This Row],[Siento que mi trabajo es reconocido por mi supervisor o jefe directo.]],#REF!,#REF!)</f>
        <v>#REF!</v>
      </c>
      <c r="P69" t="s">
        <v>31</v>
      </c>
      <c r="Q69" t="e">
        <f xml:space="preserve">
_xlfn.XLOOKUP(
tbl_encuesta[[#This Row],[Mi supervisor o jefe directo nos brinda charlas de 5 minutos y comunica las novedades relevantes a mi puesto de trabajo]],#REF!,#REF!
)</f>
        <v>#REF!</v>
      </c>
      <c r="R69" t="s">
        <v>17</v>
      </c>
      <c r="S69" t="s">
        <v>18</v>
      </c>
      <c r="W69" t="s">
        <v>25</v>
      </c>
      <c r="X69" t="s">
        <v>23</v>
      </c>
      <c r="Y69" t="e">
        <f>+_xlfn.XLOOKUP(tbl_encuesta[[#This Row],[Considero a Limtek como un buen lugar para trabajar]],#REF!,#REF!)</f>
        <v>#REF!</v>
      </c>
      <c r="Z69" t="s">
        <v>223</v>
      </c>
      <c r="AA69" t="s">
        <v>224</v>
      </c>
      <c r="AB69" t="s">
        <v>38</v>
      </c>
      <c r="AC69" t="s">
        <v>3744</v>
      </c>
      <c r="AD69" t="s">
        <v>3744</v>
      </c>
      <c r="AE69" t="s">
        <v>69</v>
      </c>
    </row>
    <row r="70" spans="1:31" x14ac:dyDescent="0.25">
      <c r="A70">
        <v>119033933315</v>
      </c>
      <c r="B70">
        <v>462598545</v>
      </c>
      <c r="C70" s="1">
        <v>46031.478171296294</v>
      </c>
      <c r="D70" s="1">
        <v>46031.481909722221</v>
      </c>
      <c r="E70" t="s">
        <v>225</v>
      </c>
      <c r="F70" t="s">
        <v>23</v>
      </c>
      <c r="G70" t="e">
        <f>+_xlfn.XLOOKUP(tbl_encuesta[[#This Row],[Me siento a gusto con el ambiente de trabajo que se genera en mi equipo.]],#REF!,#REF!)</f>
        <v>#REF!</v>
      </c>
      <c r="H70" t="s">
        <v>23</v>
      </c>
      <c r="I70" t="e">
        <f>+_xlfn.XLOOKUP(tbl_encuesta[[#This Row],[Me siento motivado a dar lo mejor de mí y hacer un buen trabajo]],#REF!,#REF!)</f>
        <v>#REF!</v>
      </c>
      <c r="J70" t="s">
        <v>23</v>
      </c>
      <c r="K70" t="e">
        <f>+_xlfn.XLOOKUP(tbl_encuesta[[#This Row],[Mi supervisor o jefe directo me otorga el soporte que necesito para afrontar cualquier problema que afecte mi trabajo]],#REF!,#REF!)</f>
        <v>#REF!</v>
      </c>
      <c r="L70" t="s">
        <v>23</v>
      </c>
      <c r="M70" t="e">
        <f>+_xlfn.XLOOKUP(tbl_encuesta[[#This Row],[Mi supervisor o jefe directo fomenta que nos apoyemos entre todos en el equipo]],#REF!,#REF!)</f>
        <v>#REF!</v>
      </c>
      <c r="N70" t="s">
        <v>23</v>
      </c>
      <c r="O70" t="e">
        <f>+_xlfn.XLOOKUP(tbl_encuesta[[#This Row],[Siento que mi trabajo es reconocido por mi supervisor o jefe directo.]],#REF!,#REF!)</f>
        <v>#REF!</v>
      </c>
      <c r="P70" t="s">
        <v>31</v>
      </c>
      <c r="Q70" t="e">
        <f xml:space="preserve">
_xlfn.XLOOKUP(
tbl_encuesta[[#This Row],[Mi supervisor o jefe directo nos brinda charlas de 5 minutos y comunica las novedades relevantes a mi puesto de trabajo]],#REF!,#REF!
)</f>
        <v>#REF!</v>
      </c>
      <c r="R70" t="s">
        <v>17</v>
      </c>
      <c r="W70" t="s">
        <v>25</v>
      </c>
      <c r="X70" t="s">
        <v>23</v>
      </c>
      <c r="Y70" t="e">
        <f>+_xlfn.XLOOKUP(tbl_encuesta[[#This Row],[Considero a Limtek como un buen lugar para trabajar]],#REF!,#REF!)</f>
        <v>#REF!</v>
      </c>
      <c r="Z70" t="s">
        <v>226</v>
      </c>
      <c r="AA70" t="s">
        <v>227</v>
      </c>
      <c r="AB70" t="s">
        <v>72</v>
      </c>
      <c r="AC70" s="3" t="s">
        <v>3716</v>
      </c>
      <c r="AD70" s="3" t="s">
        <v>72</v>
      </c>
      <c r="AE70" t="s">
        <v>29</v>
      </c>
    </row>
    <row r="71" spans="1:31" x14ac:dyDescent="0.25">
      <c r="A71">
        <v>119033931692</v>
      </c>
      <c r="B71">
        <v>462598545</v>
      </c>
      <c r="C71" s="1">
        <v>46031.477372685185</v>
      </c>
      <c r="D71" s="1">
        <v>46031.48033564815</v>
      </c>
      <c r="E71" t="s">
        <v>228</v>
      </c>
      <c r="F71" t="s">
        <v>23</v>
      </c>
      <c r="G71" t="e">
        <f>+_xlfn.XLOOKUP(tbl_encuesta[[#This Row],[Me siento a gusto con el ambiente de trabajo que se genera en mi equipo.]],#REF!,#REF!)</f>
        <v>#REF!</v>
      </c>
      <c r="H71" t="s">
        <v>23</v>
      </c>
      <c r="I71" t="e">
        <f>+_xlfn.XLOOKUP(tbl_encuesta[[#This Row],[Me siento motivado a dar lo mejor de mí y hacer un buen trabajo]],#REF!,#REF!)</f>
        <v>#REF!</v>
      </c>
      <c r="J71" t="s">
        <v>23</v>
      </c>
      <c r="K71" t="e">
        <f>+_xlfn.XLOOKUP(tbl_encuesta[[#This Row],[Mi supervisor o jefe directo me otorga el soporte que necesito para afrontar cualquier problema que afecte mi trabajo]],#REF!,#REF!)</f>
        <v>#REF!</v>
      </c>
      <c r="L71" t="s">
        <v>23</v>
      </c>
      <c r="M71" t="e">
        <f>+_xlfn.XLOOKUP(tbl_encuesta[[#This Row],[Mi supervisor o jefe directo fomenta que nos apoyemos entre todos en el equipo]],#REF!,#REF!)</f>
        <v>#REF!</v>
      </c>
      <c r="N71" t="s">
        <v>23</v>
      </c>
      <c r="O71" t="e">
        <f>+_xlfn.XLOOKUP(tbl_encuesta[[#This Row],[Siento que mi trabajo es reconocido por mi supervisor o jefe directo.]],#REF!,#REF!)</f>
        <v>#REF!</v>
      </c>
      <c r="P71" t="s">
        <v>31</v>
      </c>
      <c r="Q71" t="e">
        <f xml:space="preserve">
_xlfn.XLOOKUP(
tbl_encuesta[[#This Row],[Mi supervisor o jefe directo nos brinda charlas de 5 minutos y comunica las novedades relevantes a mi puesto de trabajo]],#REF!,#REF!
)</f>
        <v>#REF!</v>
      </c>
      <c r="R71" t="s">
        <v>17</v>
      </c>
      <c r="W71" t="s">
        <v>25</v>
      </c>
      <c r="X71" t="s">
        <v>23</v>
      </c>
      <c r="Y71" t="e">
        <f>+_xlfn.XLOOKUP(tbl_encuesta[[#This Row],[Considero a Limtek como un buen lugar para trabajar]],#REF!,#REF!)</f>
        <v>#REF!</v>
      </c>
      <c r="Z71" t="s">
        <v>229</v>
      </c>
      <c r="AA71" t="s">
        <v>230</v>
      </c>
      <c r="AB71" t="s">
        <v>38</v>
      </c>
      <c r="AC71" s="3" t="s">
        <v>3758</v>
      </c>
      <c r="AD71" s="3" t="s">
        <v>3785</v>
      </c>
      <c r="AE71" t="s">
        <v>61</v>
      </c>
    </row>
    <row r="72" spans="1:31" x14ac:dyDescent="0.25">
      <c r="A72">
        <v>119033931554</v>
      </c>
      <c r="B72">
        <v>462598545</v>
      </c>
      <c r="C72" s="1">
        <v>46031.478379629632</v>
      </c>
      <c r="D72" s="1">
        <v>46031.480208333334</v>
      </c>
      <c r="E72" t="s">
        <v>231</v>
      </c>
      <c r="F72" t="s">
        <v>23</v>
      </c>
      <c r="G72" t="e">
        <f>+_xlfn.XLOOKUP(tbl_encuesta[[#This Row],[Me siento a gusto con el ambiente de trabajo que se genera en mi equipo.]],#REF!,#REF!)</f>
        <v>#REF!</v>
      </c>
      <c r="H72" t="s">
        <v>23</v>
      </c>
      <c r="I72" t="e">
        <f>+_xlfn.XLOOKUP(tbl_encuesta[[#This Row],[Me siento motivado a dar lo mejor de mí y hacer un buen trabajo]],#REF!,#REF!)</f>
        <v>#REF!</v>
      </c>
      <c r="J72" t="s">
        <v>23</v>
      </c>
      <c r="K72" t="e">
        <f>+_xlfn.XLOOKUP(tbl_encuesta[[#This Row],[Mi supervisor o jefe directo me otorga el soporte que necesito para afrontar cualquier problema que afecte mi trabajo]],#REF!,#REF!)</f>
        <v>#REF!</v>
      </c>
      <c r="L72" t="s">
        <v>23</v>
      </c>
      <c r="M72" t="e">
        <f>+_xlfn.XLOOKUP(tbl_encuesta[[#This Row],[Mi supervisor o jefe directo fomenta que nos apoyemos entre todos en el equipo]],#REF!,#REF!)</f>
        <v>#REF!</v>
      </c>
      <c r="N72" t="s">
        <v>23</v>
      </c>
      <c r="O72" t="e">
        <f>+_xlfn.XLOOKUP(tbl_encuesta[[#This Row],[Siento que mi trabajo es reconocido por mi supervisor o jefe directo.]],#REF!,#REF!)</f>
        <v>#REF!</v>
      </c>
      <c r="P72" t="s">
        <v>31</v>
      </c>
      <c r="Q72" t="e">
        <f xml:space="preserve">
_xlfn.XLOOKUP(
tbl_encuesta[[#This Row],[Mi supervisor o jefe directo nos brinda charlas de 5 minutos y comunica las novedades relevantes a mi puesto de trabajo]],#REF!,#REF!
)</f>
        <v>#REF!</v>
      </c>
      <c r="R72" t="s">
        <v>17</v>
      </c>
      <c r="T72" t="s">
        <v>19</v>
      </c>
      <c r="W72" t="s">
        <v>25</v>
      </c>
      <c r="X72" t="s">
        <v>23</v>
      </c>
      <c r="Y72" t="e">
        <f>+_xlfn.XLOOKUP(tbl_encuesta[[#This Row],[Considero a Limtek como un buen lugar para trabajar]],#REF!,#REF!)</f>
        <v>#REF!</v>
      </c>
      <c r="Z72" t="s">
        <v>232</v>
      </c>
      <c r="AA72" t="s">
        <v>233</v>
      </c>
      <c r="AB72" t="s">
        <v>38</v>
      </c>
      <c r="AC72" s="3" t="s">
        <v>3850</v>
      </c>
      <c r="AD72" s="3" t="s">
        <v>38</v>
      </c>
      <c r="AE72" t="s">
        <v>29</v>
      </c>
    </row>
    <row r="73" spans="1:31" x14ac:dyDescent="0.25">
      <c r="A73">
        <v>119033928776</v>
      </c>
      <c r="B73">
        <v>462598545</v>
      </c>
      <c r="C73" s="1">
        <v>46031.475081018521</v>
      </c>
      <c r="D73" s="1">
        <v>46031.477523148147</v>
      </c>
      <c r="E73" t="s">
        <v>234</v>
      </c>
      <c r="F73" t="s">
        <v>23</v>
      </c>
      <c r="G73" t="e">
        <f>+_xlfn.XLOOKUP(tbl_encuesta[[#This Row],[Me siento a gusto con el ambiente de trabajo que se genera en mi equipo.]],#REF!,#REF!)</f>
        <v>#REF!</v>
      </c>
      <c r="H73" t="s">
        <v>23</v>
      </c>
      <c r="I73" t="e">
        <f>+_xlfn.XLOOKUP(tbl_encuesta[[#This Row],[Me siento motivado a dar lo mejor de mí y hacer un buen trabajo]],#REF!,#REF!)</f>
        <v>#REF!</v>
      </c>
      <c r="J73" t="s">
        <v>23</v>
      </c>
      <c r="K73" t="e">
        <f>+_xlfn.XLOOKUP(tbl_encuesta[[#This Row],[Mi supervisor o jefe directo me otorga el soporte que necesito para afrontar cualquier problema que afecte mi trabajo]],#REF!,#REF!)</f>
        <v>#REF!</v>
      </c>
      <c r="L73" t="s">
        <v>23</v>
      </c>
      <c r="M73" t="e">
        <f>+_xlfn.XLOOKUP(tbl_encuesta[[#This Row],[Mi supervisor o jefe directo fomenta que nos apoyemos entre todos en el equipo]],#REF!,#REF!)</f>
        <v>#REF!</v>
      </c>
      <c r="N73" t="s">
        <v>23</v>
      </c>
      <c r="O73" t="e">
        <f>+_xlfn.XLOOKUP(tbl_encuesta[[#This Row],[Siento que mi trabajo es reconocido por mi supervisor o jefe directo.]],#REF!,#REF!)</f>
        <v>#REF!</v>
      </c>
      <c r="P73" t="s">
        <v>31</v>
      </c>
      <c r="Q73" t="e">
        <f xml:space="preserve">
_xlfn.XLOOKUP(
tbl_encuesta[[#This Row],[Mi supervisor o jefe directo nos brinda charlas de 5 minutos y comunica las novedades relevantes a mi puesto de trabajo]],#REF!,#REF!
)</f>
        <v>#REF!</v>
      </c>
      <c r="R73" t="s">
        <v>17</v>
      </c>
      <c r="S73" t="s">
        <v>18</v>
      </c>
      <c r="W73" t="s">
        <v>25</v>
      </c>
      <c r="X73" t="s">
        <v>23</v>
      </c>
      <c r="Y73" t="e">
        <f>+_xlfn.XLOOKUP(tbl_encuesta[[#This Row],[Considero a Limtek como un buen lugar para trabajar]],#REF!,#REF!)</f>
        <v>#REF!</v>
      </c>
      <c r="Z73" t="s">
        <v>235</v>
      </c>
      <c r="AA73" t="s">
        <v>236</v>
      </c>
      <c r="AB73" t="s">
        <v>38</v>
      </c>
      <c r="AC73" s="3" t="s">
        <v>3769</v>
      </c>
      <c r="AD73" s="3" t="s">
        <v>38</v>
      </c>
      <c r="AE73" t="s">
        <v>61</v>
      </c>
    </row>
    <row r="74" spans="1:31" x14ac:dyDescent="0.25">
      <c r="A74">
        <v>119033928011</v>
      </c>
      <c r="B74">
        <v>462598545</v>
      </c>
      <c r="C74" s="1">
        <v>46031.472256944442</v>
      </c>
      <c r="D74" s="1">
        <v>46031.476793981485</v>
      </c>
      <c r="E74" t="s">
        <v>237</v>
      </c>
      <c r="F74" t="s">
        <v>22</v>
      </c>
      <c r="G74" t="e">
        <f>+_xlfn.XLOOKUP(tbl_encuesta[[#This Row],[Me siento a gusto con el ambiente de trabajo que se genera en mi equipo.]],#REF!,#REF!)</f>
        <v>#REF!</v>
      </c>
      <c r="H74" t="s">
        <v>23</v>
      </c>
      <c r="I74" t="e">
        <f>+_xlfn.XLOOKUP(tbl_encuesta[[#This Row],[Me siento motivado a dar lo mejor de mí y hacer un buen trabajo]],#REF!,#REF!)</f>
        <v>#REF!</v>
      </c>
      <c r="J74" t="s">
        <v>23</v>
      </c>
      <c r="K74" t="e">
        <f>+_xlfn.XLOOKUP(tbl_encuesta[[#This Row],[Mi supervisor o jefe directo me otorga el soporte que necesito para afrontar cualquier problema que afecte mi trabajo]],#REF!,#REF!)</f>
        <v>#REF!</v>
      </c>
      <c r="L74" t="s">
        <v>23</v>
      </c>
      <c r="M74" t="e">
        <f>+_xlfn.XLOOKUP(tbl_encuesta[[#This Row],[Mi supervisor o jefe directo fomenta que nos apoyemos entre todos en el equipo]],#REF!,#REF!)</f>
        <v>#REF!</v>
      </c>
      <c r="N74" t="s">
        <v>23</v>
      </c>
      <c r="O74" t="e">
        <f>+_xlfn.XLOOKUP(tbl_encuesta[[#This Row],[Siento que mi trabajo es reconocido por mi supervisor o jefe directo.]],#REF!,#REF!)</f>
        <v>#REF!</v>
      </c>
      <c r="P74" t="s">
        <v>31</v>
      </c>
      <c r="Q74" t="e">
        <f xml:space="preserve">
_xlfn.XLOOKUP(
tbl_encuesta[[#This Row],[Mi supervisor o jefe directo nos brinda charlas de 5 minutos y comunica las novedades relevantes a mi puesto de trabajo]],#REF!,#REF!
)</f>
        <v>#REF!</v>
      </c>
      <c r="S74" t="s">
        <v>18</v>
      </c>
      <c r="W74" t="s">
        <v>25</v>
      </c>
      <c r="X74" t="s">
        <v>23</v>
      </c>
      <c r="Y74" t="e">
        <f>+_xlfn.XLOOKUP(tbl_encuesta[[#This Row],[Considero a Limtek como un buen lugar para trabajar]],#REF!,#REF!)</f>
        <v>#REF!</v>
      </c>
      <c r="Z74" t="s">
        <v>238</v>
      </c>
      <c r="AA74" t="s">
        <v>239</v>
      </c>
      <c r="AB74" t="s">
        <v>38</v>
      </c>
      <c r="AC74" s="3" t="s">
        <v>3758</v>
      </c>
      <c r="AD74" s="3" t="s">
        <v>3785</v>
      </c>
      <c r="AE74" t="s">
        <v>34</v>
      </c>
    </row>
    <row r="75" spans="1:31" x14ac:dyDescent="0.25">
      <c r="A75">
        <v>119033927888</v>
      </c>
      <c r="B75">
        <v>462598545</v>
      </c>
      <c r="C75" s="1">
        <v>46031.471944444442</v>
      </c>
      <c r="D75" s="1">
        <v>46031.476689814815</v>
      </c>
      <c r="E75" t="s">
        <v>231</v>
      </c>
      <c r="F75" t="s">
        <v>23</v>
      </c>
      <c r="G75" t="e">
        <f>+_xlfn.XLOOKUP(tbl_encuesta[[#This Row],[Me siento a gusto con el ambiente de trabajo que se genera en mi equipo.]],#REF!,#REF!)</f>
        <v>#REF!</v>
      </c>
      <c r="H75" t="s">
        <v>23</v>
      </c>
      <c r="I75" t="e">
        <f>+_xlfn.XLOOKUP(tbl_encuesta[[#This Row],[Me siento motivado a dar lo mejor de mí y hacer un buen trabajo]],#REF!,#REF!)</f>
        <v>#REF!</v>
      </c>
      <c r="J75" t="s">
        <v>23</v>
      </c>
      <c r="K75" t="e">
        <f>+_xlfn.XLOOKUP(tbl_encuesta[[#This Row],[Mi supervisor o jefe directo me otorga el soporte que necesito para afrontar cualquier problema que afecte mi trabajo]],#REF!,#REF!)</f>
        <v>#REF!</v>
      </c>
      <c r="L75" t="s">
        <v>23</v>
      </c>
      <c r="M75" t="e">
        <f>+_xlfn.XLOOKUP(tbl_encuesta[[#This Row],[Mi supervisor o jefe directo fomenta que nos apoyemos entre todos en el equipo]],#REF!,#REF!)</f>
        <v>#REF!</v>
      </c>
      <c r="N75" t="s">
        <v>23</v>
      </c>
      <c r="O75" t="e">
        <f>+_xlfn.XLOOKUP(tbl_encuesta[[#This Row],[Siento que mi trabajo es reconocido por mi supervisor o jefe directo.]],#REF!,#REF!)</f>
        <v>#REF!</v>
      </c>
      <c r="P75" t="s">
        <v>31</v>
      </c>
      <c r="Q75" t="e">
        <f xml:space="preserve">
_xlfn.XLOOKUP(
tbl_encuesta[[#This Row],[Mi supervisor o jefe directo nos brinda charlas de 5 minutos y comunica las novedades relevantes a mi puesto de trabajo]],#REF!,#REF!
)</f>
        <v>#REF!</v>
      </c>
      <c r="R75" t="s">
        <v>17</v>
      </c>
      <c r="T75" t="s">
        <v>19</v>
      </c>
      <c r="W75" t="s">
        <v>25</v>
      </c>
      <c r="X75" t="s">
        <v>23</v>
      </c>
      <c r="Y75" t="e">
        <f>+_xlfn.XLOOKUP(tbl_encuesta[[#This Row],[Considero a Limtek como un buen lugar para trabajar]],#REF!,#REF!)</f>
        <v>#REF!</v>
      </c>
      <c r="Z75" t="s">
        <v>232</v>
      </c>
      <c r="AA75" t="s">
        <v>233</v>
      </c>
      <c r="AB75" t="s">
        <v>38</v>
      </c>
      <c r="AC75" s="3" t="s">
        <v>3850</v>
      </c>
      <c r="AD75" s="3" t="s">
        <v>38</v>
      </c>
      <c r="AE75" t="s">
        <v>29</v>
      </c>
    </row>
    <row r="76" spans="1:31" x14ac:dyDescent="0.25">
      <c r="A76">
        <v>119033927862</v>
      </c>
      <c r="B76">
        <v>462598545</v>
      </c>
      <c r="C76" s="1">
        <v>46031.472870370373</v>
      </c>
      <c r="D76" s="1">
        <v>46031.476666666669</v>
      </c>
      <c r="E76" t="s">
        <v>240</v>
      </c>
      <c r="F76" t="s">
        <v>23</v>
      </c>
      <c r="G76" t="e">
        <f>+_xlfn.XLOOKUP(tbl_encuesta[[#This Row],[Me siento a gusto con el ambiente de trabajo que se genera en mi equipo.]],#REF!,#REF!)</f>
        <v>#REF!</v>
      </c>
      <c r="H76" t="s">
        <v>23</v>
      </c>
      <c r="I76" t="e">
        <f>+_xlfn.XLOOKUP(tbl_encuesta[[#This Row],[Me siento motivado a dar lo mejor de mí y hacer un buen trabajo]],#REF!,#REF!)</f>
        <v>#REF!</v>
      </c>
      <c r="J76" t="s">
        <v>23</v>
      </c>
      <c r="K76" t="e">
        <f>+_xlfn.XLOOKUP(tbl_encuesta[[#This Row],[Mi supervisor o jefe directo me otorga el soporte que necesito para afrontar cualquier problema que afecte mi trabajo]],#REF!,#REF!)</f>
        <v>#REF!</v>
      </c>
      <c r="L76" t="s">
        <v>23</v>
      </c>
      <c r="M76" t="e">
        <f>+_xlfn.XLOOKUP(tbl_encuesta[[#This Row],[Mi supervisor o jefe directo fomenta que nos apoyemos entre todos en el equipo]],#REF!,#REF!)</f>
        <v>#REF!</v>
      </c>
      <c r="N76" t="s">
        <v>23</v>
      </c>
      <c r="O76" t="e">
        <f>+_xlfn.XLOOKUP(tbl_encuesta[[#This Row],[Siento que mi trabajo es reconocido por mi supervisor o jefe directo.]],#REF!,#REF!)</f>
        <v>#REF!</v>
      </c>
      <c r="P76" t="s">
        <v>31</v>
      </c>
      <c r="Q76" t="e">
        <f xml:space="preserve">
_xlfn.XLOOKUP(
tbl_encuesta[[#This Row],[Mi supervisor o jefe directo nos brinda charlas de 5 minutos y comunica las novedades relevantes a mi puesto de trabajo]],#REF!,#REF!
)</f>
        <v>#REF!</v>
      </c>
      <c r="R76" t="s">
        <v>17</v>
      </c>
      <c r="S76" t="s">
        <v>18</v>
      </c>
      <c r="W76" t="s">
        <v>25</v>
      </c>
      <c r="X76" t="s">
        <v>23</v>
      </c>
      <c r="Y76" t="e">
        <f>+_xlfn.XLOOKUP(tbl_encuesta[[#This Row],[Considero a Limtek como un buen lugar para trabajar]],#REF!,#REF!)</f>
        <v>#REF!</v>
      </c>
      <c r="Z76" t="s">
        <v>241</v>
      </c>
      <c r="AA76" t="s">
        <v>242</v>
      </c>
      <c r="AB76" t="s">
        <v>38</v>
      </c>
      <c r="AC76" t="s">
        <v>3744</v>
      </c>
      <c r="AD76" t="s">
        <v>3744</v>
      </c>
      <c r="AE76" t="s">
        <v>34</v>
      </c>
    </row>
    <row r="77" spans="1:31" x14ac:dyDescent="0.25">
      <c r="A77">
        <v>119033927239</v>
      </c>
      <c r="B77">
        <v>462598545</v>
      </c>
      <c r="C77" s="1">
        <v>46031.465428240743</v>
      </c>
      <c r="D77" s="1">
        <v>46031.476064814815</v>
      </c>
      <c r="E77" t="s">
        <v>222</v>
      </c>
      <c r="F77" t="s">
        <v>23</v>
      </c>
      <c r="G77" t="e">
        <f>+_xlfn.XLOOKUP(tbl_encuesta[[#This Row],[Me siento a gusto con el ambiente de trabajo que se genera en mi equipo.]],#REF!,#REF!)</f>
        <v>#REF!</v>
      </c>
      <c r="H77" t="s">
        <v>23</v>
      </c>
      <c r="I77" t="e">
        <f>+_xlfn.XLOOKUP(tbl_encuesta[[#This Row],[Me siento motivado a dar lo mejor de mí y hacer un buen trabajo]],#REF!,#REF!)</f>
        <v>#REF!</v>
      </c>
      <c r="J77" t="s">
        <v>23</v>
      </c>
      <c r="K77" t="e">
        <f>+_xlfn.XLOOKUP(tbl_encuesta[[#This Row],[Mi supervisor o jefe directo me otorga el soporte que necesito para afrontar cualquier problema que afecte mi trabajo]],#REF!,#REF!)</f>
        <v>#REF!</v>
      </c>
      <c r="L77" t="s">
        <v>23</v>
      </c>
      <c r="M77" t="e">
        <f>+_xlfn.XLOOKUP(tbl_encuesta[[#This Row],[Mi supervisor o jefe directo fomenta que nos apoyemos entre todos en el equipo]],#REF!,#REF!)</f>
        <v>#REF!</v>
      </c>
      <c r="N77" t="s">
        <v>23</v>
      </c>
      <c r="O77" t="e">
        <f>+_xlfn.XLOOKUP(tbl_encuesta[[#This Row],[Siento que mi trabajo es reconocido por mi supervisor o jefe directo.]],#REF!,#REF!)</f>
        <v>#REF!</v>
      </c>
      <c r="P77" t="s">
        <v>31</v>
      </c>
      <c r="Q77" t="e">
        <f xml:space="preserve">
_xlfn.XLOOKUP(
tbl_encuesta[[#This Row],[Mi supervisor o jefe directo nos brinda charlas de 5 minutos y comunica las novedades relevantes a mi puesto de trabajo]],#REF!,#REF!
)</f>
        <v>#REF!</v>
      </c>
      <c r="R77" t="s">
        <v>17</v>
      </c>
      <c r="S77" t="s">
        <v>18</v>
      </c>
      <c r="W77" t="s">
        <v>25</v>
      </c>
      <c r="X77" t="s">
        <v>23</v>
      </c>
      <c r="Y77" t="e">
        <f>+_xlfn.XLOOKUP(tbl_encuesta[[#This Row],[Considero a Limtek como un buen lugar para trabajar]],#REF!,#REF!)</f>
        <v>#REF!</v>
      </c>
      <c r="Z77" t="s">
        <v>223</v>
      </c>
      <c r="AA77" t="s">
        <v>224</v>
      </c>
      <c r="AB77" t="s">
        <v>38</v>
      </c>
      <c r="AC77" t="s">
        <v>3744</v>
      </c>
      <c r="AD77" t="s">
        <v>3744</v>
      </c>
      <c r="AE77" t="s">
        <v>69</v>
      </c>
    </row>
    <row r="78" spans="1:31" x14ac:dyDescent="0.25">
      <c r="A78">
        <v>119033924453</v>
      </c>
      <c r="B78">
        <v>462598545</v>
      </c>
      <c r="C78" s="1">
        <v>46031.471747685187</v>
      </c>
      <c r="D78" s="1">
        <v>46031.473333333335</v>
      </c>
      <c r="E78" t="s">
        <v>244</v>
      </c>
      <c r="F78" t="s">
        <v>23</v>
      </c>
      <c r="G78" t="e">
        <f>+_xlfn.XLOOKUP(tbl_encuesta[[#This Row],[Me siento a gusto con el ambiente de trabajo que se genera en mi equipo.]],#REF!,#REF!)</f>
        <v>#REF!</v>
      </c>
      <c r="H78" t="s">
        <v>22</v>
      </c>
      <c r="I78" t="e">
        <f>+_xlfn.XLOOKUP(tbl_encuesta[[#This Row],[Me siento motivado a dar lo mejor de mí y hacer un buen trabajo]],#REF!,#REF!)</f>
        <v>#REF!</v>
      </c>
      <c r="J78" t="s">
        <v>22</v>
      </c>
      <c r="K78" t="e">
        <f>+_xlfn.XLOOKUP(tbl_encuesta[[#This Row],[Mi supervisor o jefe directo me otorga el soporte que necesito para afrontar cualquier problema que afecte mi trabajo]],#REF!,#REF!)</f>
        <v>#REF!</v>
      </c>
      <c r="L78" t="s">
        <v>22</v>
      </c>
      <c r="M78" t="e">
        <f>+_xlfn.XLOOKUP(tbl_encuesta[[#This Row],[Mi supervisor o jefe directo fomenta que nos apoyemos entre todos en el equipo]],#REF!,#REF!)</f>
        <v>#REF!</v>
      </c>
      <c r="N78" t="s">
        <v>23</v>
      </c>
      <c r="O78" t="e">
        <f>+_xlfn.XLOOKUP(tbl_encuesta[[#This Row],[Siento que mi trabajo es reconocido por mi supervisor o jefe directo.]],#REF!,#REF!)</f>
        <v>#REF!</v>
      </c>
      <c r="P78" t="s">
        <v>31</v>
      </c>
      <c r="Q78" t="e">
        <f xml:space="preserve">
_xlfn.XLOOKUP(
tbl_encuesta[[#This Row],[Mi supervisor o jefe directo nos brinda charlas de 5 minutos y comunica las novedades relevantes a mi puesto de trabajo]],#REF!,#REF!
)</f>
        <v>#REF!</v>
      </c>
      <c r="R78" t="s">
        <v>17</v>
      </c>
      <c r="T78" t="s">
        <v>19</v>
      </c>
      <c r="W78" t="s">
        <v>25</v>
      </c>
      <c r="X78" t="s">
        <v>23</v>
      </c>
      <c r="Y78" t="e">
        <f>+_xlfn.XLOOKUP(tbl_encuesta[[#This Row],[Considero a Limtek como un buen lugar para trabajar]],#REF!,#REF!)</f>
        <v>#REF!</v>
      </c>
      <c r="Z78" t="s">
        <v>245</v>
      </c>
      <c r="AA78" t="s">
        <v>246</v>
      </c>
      <c r="AB78" t="s">
        <v>38</v>
      </c>
      <c r="AC78" t="s">
        <v>3744</v>
      </c>
      <c r="AD78" t="s">
        <v>3744</v>
      </c>
      <c r="AE78" t="s">
        <v>55</v>
      </c>
    </row>
    <row r="79" spans="1:31" x14ac:dyDescent="0.25">
      <c r="A79">
        <v>119033922587</v>
      </c>
      <c r="B79">
        <v>462598545</v>
      </c>
      <c r="C79" s="1">
        <v>46031.470046296294</v>
      </c>
      <c r="D79" s="1">
        <v>46031.471493055556</v>
      </c>
      <c r="E79" t="s">
        <v>247</v>
      </c>
      <c r="F79" t="s">
        <v>23</v>
      </c>
      <c r="G79" t="e">
        <f>+_xlfn.XLOOKUP(tbl_encuesta[[#This Row],[Me siento a gusto con el ambiente de trabajo que se genera en mi equipo.]],#REF!,#REF!)</f>
        <v>#REF!</v>
      </c>
      <c r="H79" t="s">
        <v>23</v>
      </c>
      <c r="I79" t="e">
        <f>+_xlfn.XLOOKUP(tbl_encuesta[[#This Row],[Me siento motivado a dar lo mejor de mí y hacer un buen trabajo]],#REF!,#REF!)</f>
        <v>#REF!</v>
      </c>
      <c r="J79" t="s">
        <v>23</v>
      </c>
      <c r="K79" t="e">
        <f>+_xlfn.XLOOKUP(tbl_encuesta[[#This Row],[Mi supervisor o jefe directo me otorga el soporte que necesito para afrontar cualquier problema que afecte mi trabajo]],#REF!,#REF!)</f>
        <v>#REF!</v>
      </c>
      <c r="L79" t="s">
        <v>23</v>
      </c>
      <c r="M79" t="e">
        <f>+_xlfn.XLOOKUP(tbl_encuesta[[#This Row],[Mi supervisor o jefe directo fomenta que nos apoyemos entre todos en el equipo]],#REF!,#REF!)</f>
        <v>#REF!</v>
      </c>
      <c r="N79" t="s">
        <v>23</v>
      </c>
      <c r="O79" t="e">
        <f>+_xlfn.XLOOKUP(tbl_encuesta[[#This Row],[Siento que mi trabajo es reconocido por mi supervisor o jefe directo.]],#REF!,#REF!)</f>
        <v>#REF!</v>
      </c>
      <c r="P79" t="s">
        <v>31</v>
      </c>
      <c r="Q79" t="e">
        <f xml:space="preserve">
_xlfn.XLOOKUP(
tbl_encuesta[[#This Row],[Mi supervisor o jefe directo nos brinda charlas de 5 minutos y comunica las novedades relevantes a mi puesto de trabajo]],#REF!,#REF!
)</f>
        <v>#REF!</v>
      </c>
      <c r="R79" t="s">
        <v>17</v>
      </c>
      <c r="W79" t="s">
        <v>25</v>
      </c>
      <c r="X79" t="s">
        <v>23</v>
      </c>
      <c r="Y79" t="e">
        <f>+_xlfn.XLOOKUP(tbl_encuesta[[#This Row],[Considero a Limtek como un buen lugar para trabajar]],#REF!,#REF!)</f>
        <v>#REF!</v>
      </c>
      <c r="Z79" t="s">
        <v>132</v>
      </c>
      <c r="AA79" t="s">
        <v>248</v>
      </c>
      <c r="AB79" t="s">
        <v>38</v>
      </c>
      <c r="AC79" t="s">
        <v>3744</v>
      </c>
      <c r="AD79" t="s">
        <v>3744</v>
      </c>
      <c r="AE79" t="s">
        <v>34</v>
      </c>
    </row>
    <row r="80" spans="1:31" x14ac:dyDescent="0.25">
      <c r="A80">
        <v>119033922255</v>
      </c>
      <c r="B80">
        <v>462598545</v>
      </c>
      <c r="C80" s="1">
        <v>46031.459386574075</v>
      </c>
      <c r="D80" s="1">
        <v>46031.471180555556</v>
      </c>
      <c r="E80" t="s">
        <v>244</v>
      </c>
      <c r="F80" t="s">
        <v>23</v>
      </c>
      <c r="G80" t="e">
        <f>+_xlfn.XLOOKUP(tbl_encuesta[[#This Row],[Me siento a gusto con el ambiente de trabajo que se genera en mi equipo.]],#REF!,#REF!)</f>
        <v>#REF!</v>
      </c>
      <c r="H80" t="s">
        <v>23</v>
      </c>
      <c r="I80" t="e">
        <f>+_xlfn.XLOOKUP(tbl_encuesta[[#This Row],[Me siento motivado a dar lo mejor de mí y hacer un buen trabajo]],#REF!,#REF!)</f>
        <v>#REF!</v>
      </c>
      <c r="J80" t="s">
        <v>23</v>
      </c>
      <c r="K80" t="e">
        <f>+_xlfn.XLOOKUP(tbl_encuesta[[#This Row],[Mi supervisor o jefe directo me otorga el soporte que necesito para afrontar cualquier problema que afecte mi trabajo]],#REF!,#REF!)</f>
        <v>#REF!</v>
      </c>
      <c r="L80" t="s">
        <v>23</v>
      </c>
      <c r="M80" t="e">
        <f>+_xlfn.XLOOKUP(tbl_encuesta[[#This Row],[Mi supervisor o jefe directo fomenta que nos apoyemos entre todos en el equipo]],#REF!,#REF!)</f>
        <v>#REF!</v>
      </c>
      <c r="N80" t="s">
        <v>23</v>
      </c>
      <c r="O80" t="e">
        <f>+_xlfn.XLOOKUP(tbl_encuesta[[#This Row],[Siento que mi trabajo es reconocido por mi supervisor o jefe directo.]],#REF!,#REF!)</f>
        <v>#REF!</v>
      </c>
      <c r="P80" t="s">
        <v>31</v>
      </c>
      <c r="Q80" t="e">
        <f xml:space="preserve">
_xlfn.XLOOKUP(
tbl_encuesta[[#This Row],[Mi supervisor o jefe directo nos brinda charlas de 5 minutos y comunica las novedades relevantes a mi puesto de trabajo]],#REF!,#REF!
)</f>
        <v>#REF!</v>
      </c>
      <c r="R80" t="s">
        <v>17</v>
      </c>
      <c r="T80" t="s">
        <v>19</v>
      </c>
      <c r="W80" t="s">
        <v>25</v>
      </c>
      <c r="X80" t="s">
        <v>23</v>
      </c>
      <c r="Y80" t="e">
        <f>+_xlfn.XLOOKUP(tbl_encuesta[[#This Row],[Considero a Limtek como un buen lugar para trabajar]],#REF!,#REF!)</f>
        <v>#REF!</v>
      </c>
      <c r="Z80" t="s">
        <v>245</v>
      </c>
      <c r="AA80" t="s">
        <v>246</v>
      </c>
      <c r="AB80" t="s">
        <v>38</v>
      </c>
      <c r="AC80" t="s">
        <v>3744</v>
      </c>
      <c r="AD80" t="s">
        <v>3744</v>
      </c>
      <c r="AE80" t="s">
        <v>55</v>
      </c>
    </row>
    <row r="81" spans="1:31" x14ac:dyDescent="0.25">
      <c r="A81">
        <v>119033921999</v>
      </c>
      <c r="B81">
        <v>462598545</v>
      </c>
      <c r="C81" s="1">
        <v>46031.466944444444</v>
      </c>
      <c r="D81" s="1">
        <v>46031.470925925925</v>
      </c>
      <c r="E81" t="s">
        <v>249</v>
      </c>
      <c r="F81" t="s">
        <v>23</v>
      </c>
      <c r="G81" t="e">
        <f>+_xlfn.XLOOKUP(tbl_encuesta[[#This Row],[Me siento a gusto con el ambiente de trabajo que se genera en mi equipo.]],#REF!,#REF!)</f>
        <v>#REF!</v>
      </c>
      <c r="H81" t="s">
        <v>23</v>
      </c>
      <c r="I81" t="e">
        <f>+_xlfn.XLOOKUP(tbl_encuesta[[#This Row],[Me siento motivado a dar lo mejor de mí y hacer un buen trabajo]],#REF!,#REF!)</f>
        <v>#REF!</v>
      </c>
      <c r="J81" t="s">
        <v>22</v>
      </c>
      <c r="K81" t="e">
        <f>+_xlfn.XLOOKUP(tbl_encuesta[[#This Row],[Mi supervisor o jefe directo me otorga el soporte que necesito para afrontar cualquier problema que afecte mi trabajo]],#REF!,#REF!)</f>
        <v>#REF!</v>
      </c>
      <c r="L81" t="s">
        <v>23</v>
      </c>
      <c r="M81" t="e">
        <f>+_xlfn.XLOOKUP(tbl_encuesta[[#This Row],[Mi supervisor o jefe directo fomenta que nos apoyemos entre todos en el equipo]],#REF!,#REF!)</f>
        <v>#REF!</v>
      </c>
      <c r="N81" t="s">
        <v>23</v>
      </c>
      <c r="O81" t="e">
        <f>+_xlfn.XLOOKUP(tbl_encuesta[[#This Row],[Siento que mi trabajo es reconocido por mi supervisor o jefe directo.]],#REF!,#REF!)</f>
        <v>#REF!</v>
      </c>
      <c r="P81" t="s">
        <v>67</v>
      </c>
      <c r="Q81" t="e">
        <f xml:space="preserve">
_xlfn.XLOOKUP(
tbl_encuesta[[#This Row],[Mi supervisor o jefe directo nos brinda charlas de 5 minutos y comunica las novedades relevantes a mi puesto de trabajo]],#REF!,#REF!
)</f>
        <v>#REF!</v>
      </c>
      <c r="R81" t="s">
        <v>17</v>
      </c>
      <c r="W81" t="s">
        <v>25</v>
      </c>
      <c r="X81" t="s">
        <v>23</v>
      </c>
      <c r="Y81" t="e">
        <f>+_xlfn.XLOOKUP(tbl_encuesta[[#This Row],[Considero a Limtek como un buen lugar para trabajar]],#REF!,#REF!)</f>
        <v>#REF!</v>
      </c>
      <c r="Z81" t="s">
        <v>250</v>
      </c>
      <c r="AA81" t="s">
        <v>251</v>
      </c>
      <c r="AB81" t="s">
        <v>38</v>
      </c>
      <c r="AC81" s="3" t="s">
        <v>3610</v>
      </c>
      <c r="AD81" s="3" t="s">
        <v>3619</v>
      </c>
      <c r="AE81" t="s">
        <v>34</v>
      </c>
    </row>
    <row r="82" spans="1:31" x14ac:dyDescent="0.25">
      <c r="A82">
        <v>119033921047</v>
      </c>
      <c r="B82">
        <v>462598545</v>
      </c>
      <c r="C82" s="1">
        <v>46031.467060185183</v>
      </c>
      <c r="D82" s="1">
        <v>46031.469988425924</v>
      </c>
      <c r="E82" t="s">
        <v>247</v>
      </c>
      <c r="F82" t="s">
        <v>23</v>
      </c>
      <c r="G82" t="e">
        <f>+_xlfn.XLOOKUP(tbl_encuesta[[#This Row],[Me siento a gusto con el ambiente de trabajo que se genera en mi equipo.]],#REF!,#REF!)</f>
        <v>#REF!</v>
      </c>
      <c r="H82" t="s">
        <v>23</v>
      </c>
      <c r="I82" t="e">
        <f>+_xlfn.XLOOKUP(tbl_encuesta[[#This Row],[Me siento motivado a dar lo mejor de mí y hacer un buen trabajo]],#REF!,#REF!)</f>
        <v>#REF!</v>
      </c>
      <c r="J82" t="s">
        <v>23</v>
      </c>
      <c r="K82" t="e">
        <f>+_xlfn.XLOOKUP(tbl_encuesta[[#This Row],[Mi supervisor o jefe directo me otorga el soporte que necesito para afrontar cualquier problema que afecte mi trabajo]],#REF!,#REF!)</f>
        <v>#REF!</v>
      </c>
      <c r="L82" t="s">
        <v>23</v>
      </c>
      <c r="M82" t="e">
        <f>+_xlfn.XLOOKUP(tbl_encuesta[[#This Row],[Mi supervisor o jefe directo fomenta que nos apoyemos entre todos en el equipo]],#REF!,#REF!)</f>
        <v>#REF!</v>
      </c>
      <c r="N82" t="s">
        <v>23</v>
      </c>
      <c r="O82" t="e">
        <f>+_xlfn.XLOOKUP(tbl_encuesta[[#This Row],[Siento que mi trabajo es reconocido por mi supervisor o jefe directo.]],#REF!,#REF!)</f>
        <v>#REF!</v>
      </c>
      <c r="P82" t="s">
        <v>31</v>
      </c>
      <c r="Q82" t="e">
        <f xml:space="preserve">
_xlfn.XLOOKUP(
tbl_encuesta[[#This Row],[Mi supervisor o jefe directo nos brinda charlas de 5 minutos y comunica las novedades relevantes a mi puesto de trabajo]],#REF!,#REF!
)</f>
        <v>#REF!</v>
      </c>
      <c r="R82" t="s">
        <v>17</v>
      </c>
      <c r="W82" t="s">
        <v>25</v>
      </c>
      <c r="X82" t="s">
        <v>23</v>
      </c>
      <c r="Y82" t="e">
        <f>+_xlfn.XLOOKUP(tbl_encuesta[[#This Row],[Considero a Limtek como un buen lugar para trabajar]],#REF!,#REF!)</f>
        <v>#REF!</v>
      </c>
      <c r="Z82" t="s">
        <v>252</v>
      </c>
      <c r="AA82" t="s">
        <v>253</v>
      </c>
      <c r="AB82" t="s">
        <v>38</v>
      </c>
      <c r="AC82" s="3" t="s">
        <v>3758</v>
      </c>
      <c r="AD82" s="3" t="s">
        <v>3758</v>
      </c>
      <c r="AE82" t="s">
        <v>34</v>
      </c>
    </row>
    <row r="83" spans="1:31" x14ac:dyDescent="0.25">
      <c r="A83">
        <v>119033919422</v>
      </c>
      <c r="B83">
        <v>462598545</v>
      </c>
      <c r="C83" s="1">
        <v>46031.467245370368</v>
      </c>
      <c r="D83" s="1">
        <v>46031.468495370369</v>
      </c>
      <c r="E83" t="s">
        <v>254</v>
      </c>
      <c r="F83" t="s">
        <v>23</v>
      </c>
      <c r="G83" t="e">
        <f>+_xlfn.XLOOKUP(tbl_encuesta[[#This Row],[Me siento a gusto con el ambiente de trabajo que se genera en mi equipo.]],#REF!,#REF!)</f>
        <v>#REF!</v>
      </c>
      <c r="H83" t="s">
        <v>23</v>
      </c>
      <c r="I83" t="e">
        <f>+_xlfn.XLOOKUP(tbl_encuesta[[#This Row],[Me siento motivado a dar lo mejor de mí y hacer un buen trabajo]],#REF!,#REF!)</f>
        <v>#REF!</v>
      </c>
      <c r="J83" t="s">
        <v>22</v>
      </c>
      <c r="K83" t="e">
        <f>+_xlfn.XLOOKUP(tbl_encuesta[[#This Row],[Mi supervisor o jefe directo me otorga el soporte que necesito para afrontar cualquier problema que afecte mi trabajo]],#REF!,#REF!)</f>
        <v>#REF!</v>
      </c>
      <c r="L83" t="s">
        <v>23</v>
      </c>
      <c r="M83" t="e">
        <f>+_xlfn.XLOOKUP(tbl_encuesta[[#This Row],[Mi supervisor o jefe directo fomenta que nos apoyemos entre todos en el equipo]],#REF!,#REF!)</f>
        <v>#REF!</v>
      </c>
      <c r="N83" t="s">
        <v>22</v>
      </c>
      <c r="O83" t="e">
        <f>+_xlfn.XLOOKUP(tbl_encuesta[[#This Row],[Siento que mi trabajo es reconocido por mi supervisor o jefe directo.]],#REF!,#REF!)</f>
        <v>#REF!</v>
      </c>
      <c r="P83" t="s">
        <v>67</v>
      </c>
      <c r="Q83" t="e">
        <f xml:space="preserve">
_xlfn.XLOOKUP(
tbl_encuesta[[#This Row],[Mi supervisor o jefe directo nos brinda charlas de 5 minutos y comunica las novedades relevantes a mi puesto de trabajo]],#REF!,#REF!
)</f>
        <v>#REF!</v>
      </c>
      <c r="R83" t="s">
        <v>17</v>
      </c>
      <c r="T83" t="s">
        <v>19</v>
      </c>
      <c r="W83" t="s">
        <v>25</v>
      </c>
      <c r="X83" t="s">
        <v>23</v>
      </c>
      <c r="Y83" t="e">
        <f>+_xlfn.XLOOKUP(tbl_encuesta[[#This Row],[Considero a Limtek como un buen lugar para trabajar]],#REF!,#REF!)</f>
        <v>#REF!</v>
      </c>
      <c r="Z83" t="s">
        <v>255</v>
      </c>
      <c r="AA83" t="s">
        <v>256</v>
      </c>
      <c r="AB83" t="s">
        <v>65</v>
      </c>
      <c r="AC83" s="3" t="s">
        <v>3610</v>
      </c>
      <c r="AD83" s="3" t="s">
        <v>3610</v>
      </c>
      <c r="AE83" t="s">
        <v>34</v>
      </c>
    </row>
    <row r="84" spans="1:31" x14ac:dyDescent="0.25">
      <c r="A84">
        <v>119033919083</v>
      </c>
      <c r="B84">
        <v>462598545</v>
      </c>
      <c r="C84" s="1">
        <v>46031.447233796294</v>
      </c>
      <c r="D84" s="1">
        <v>46031.468182870369</v>
      </c>
      <c r="E84" t="s">
        <v>257</v>
      </c>
      <c r="F84" t="s">
        <v>23</v>
      </c>
      <c r="G84" t="e">
        <f>+_xlfn.XLOOKUP(tbl_encuesta[[#This Row],[Me siento a gusto con el ambiente de trabajo que se genera en mi equipo.]],#REF!,#REF!)</f>
        <v>#REF!</v>
      </c>
      <c r="H84" t="s">
        <v>23</v>
      </c>
      <c r="I84" t="e">
        <f>+_xlfn.XLOOKUP(tbl_encuesta[[#This Row],[Me siento motivado a dar lo mejor de mí y hacer un buen trabajo]],#REF!,#REF!)</f>
        <v>#REF!</v>
      </c>
      <c r="J84" t="s">
        <v>23</v>
      </c>
      <c r="K84" t="e">
        <f>+_xlfn.XLOOKUP(tbl_encuesta[[#This Row],[Mi supervisor o jefe directo me otorga el soporte que necesito para afrontar cualquier problema que afecte mi trabajo]],#REF!,#REF!)</f>
        <v>#REF!</v>
      </c>
      <c r="L84" t="s">
        <v>23</v>
      </c>
      <c r="M84" t="e">
        <f>+_xlfn.XLOOKUP(tbl_encuesta[[#This Row],[Mi supervisor o jefe directo fomenta que nos apoyemos entre todos en el equipo]],#REF!,#REF!)</f>
        <v>#REF!</v>
      </c>
      <c r="N84" t="s">
        <v>23</v>
      </c>
      <c r="O84" t="e">
        <f>+_xlfn.XLOOKUP(tbl_encuesta[[#This Row],[Siento que mi trabajo es reconocido por mi supervisor o jefe directo.]],#REF!,#REF!)</f>
        <v>#REF!</v>
      </c>
      <c r="P84" t="s">
        <v>31</v>
      </c>
      <c r="Q84" t="e">
        <f xml:space="preserve">
_xlfn.XLOOKUP(
tbl_encuesta[[#This Row],[Mi supervisor o jefe directo nos brinda charlas de 5 minutos y comunica las novedades relevantes a mi puesto de trabajo]],#REF!,#REF!
)</f>
        <v>#REF!</v>
      </c>
      <c r="R84" t="s">
        <v>17</v>
      </c>
      <c r="T84" t="s">
        <v>19</v>
      </c>
      <c r="W84" t="s">
        <v>25</v>
      </c>
      <c r="X84" t="s">
        <v>23</v>
      </c>
      <c r="Y84" t="e">
        <f>+_xlfn.XLOOKUP(tbl_encuesta[[#This Row],[Considero a Limtek como un buen lugar para trabajar]],#REF!,#REF!)</f>
        <v>#REF!</v>
      </c>
      <c r="Z84" t="s">
        <v>258</v>
      </c>
      <c r="AA84" t="s">
        <v>259</v>
      </c>
      <c r="AB84" t="s">
        <v>72</v>
      </c>
      <c r="AC84" s="3" t="s">
        <v>3716</v>
      </c>
      <c r="AD84" s="3" t="s">
        <v>3716</v>
      </c>
      <c r="AE84" t="s">
        <v>29</v>
      </c>
    </row>
    <row r="85" spans="1:31" x14ac:dyDescent="0.25">
      <c r="A85">
        <v>119033915448</v>
      </c>
      <c r="B85">
        <v>462598545</v>
      </c>
      <c r="C85" s="1">
        <v>46031.461122685185</v>
      </c>
      <c r="D85" s="1">
        <v>46031.464803240742</v>
      </c>
      <c r="E85" t="s">
        <v>260</v>
      </c>
      <c r="F85" t="s">
        <v>23</v>
      </c>
      <c r="G85" t="e">
        <f>+_xlfn.XLOOKUP(tbl_encuesta[[#This Row],[Me siento a gusto con el ambiente de trabajo que se genera en mi equipo.]],#REF!,#REF!)</f>
        <v>#REF!</v>
      </c>
      <c r="H85" t="s">
        <v>23</v>
      </c>
      <c r="I85" t="e">
        <f>+_xlfn.XLOOKUP(tbl_encuesta[[#This Row],[Me siento motivado a dar lo mejor de mí y hacer un buen trabajo]],#REF!,#REF!)</f>
        <v>#REF!</v>
      </c>
      <c r="J85" t="s">
        <v>23</v>
      </c>
      <c r="K85" t="e">
        <f>+_xlfn.XLOOKUP(tbl_encuesta[[#This Row],[Mi supervisor o jefe directo me otorga el soporte que necesito para afrontar cualquier problema que afecte mi trabajo]],#REF!,#REF!)</f>
        <v>#REF!</v>
      </c>
      <c r="L85" t="s">
        <v>23</v>
      </c>
      <c r="M85" t="e">
        <f>+_xlfn.XLOOKUP(tbl_encuesta[[#This Row],[Mi supervisor o jefe directo fomenta que nos apoyemos entre todos en el equipo]],#REF!,#REF!)</f>
        <v>#REF!</v>
      </c>
      <c r="N85" t="s">
        <v>23</v>
      </c>
      <c r="O85" t="e">
        <f>+_xlfn.XLOOKUP(tbl_encuesta[[#This Row],[Siento que mi trabajo es reconocido por mi supervisor o jefe directo.]],#REF!,#REF!)</f>
        <v>#REF!</v>
      </c>
      <c r="P85" t="s">
        <v>31</v>
      </c>
      <c r="Q85" t="e">
        <f xml:space="preserve">
_xlfn.XLOOKUP(
tbl_encuesta[[#This Row],[Mi supervisor o jefe directo nos brinda charlas de 5 minutos y comunica las novedades relevantes a mi puesto de trabajo]],#REF!,#REF!
)</f>
        <v>#REF!</v>
      </c>
      <c r="R85" t="s">
        <v>17</v>
      </c>
      <c r="S85" t="s">
        <v>18</v>
      </c>
      <c r="W85" t="s">
        <v>25</v>
      </c>
      <c r="X85" t="s">
        <v>23</v>
      </c>
      <c r="Y85" t="e">
        <f>+_xlfn.XLOOKUP(tbl_encuesta[[#This Row],[Considero a Limtek como un buen lugar para trabajar]],#REF!,#REF!)</f>
        <v>#REF!</v>
      </c>
      <c r="Z85" t="s">
        <v>261</v>
      </c>
      <c r="AA85" t="s">
        <v>262</v>
      </c>
      <c r="AB85" t="s">
        <v>72</v>
      </c>
      <c r="AC85" s="3" t="s">
        <v>3716</v>
      </c>
      <c r="AD85" s="3" t="s">
        <v>72</v>
      </c>
      <c r="AE85" t="s">
        <v>69</v>
      </c>
    </row>
    <row r="86" spans="1:31" x14ac:dyDescent="0.25">
      <c r="A86">
        <v>119033915335</v>
      </c>
      <c r="B86">
        <v>462598545</v>
      </c>
      <c r="C86" s="1">
        <v>46031.462569444448</v>
      </c>
      <c r="D86" s="1">
        <v>46031.464699074073</v>
      </c>
      <c r="E86" t="s">
        <v>263</v>
      </c>
      <c r="F86" t="s">
        <v>23</v>
      </c>
      <c r="G86" t="e">
        <f>+_xlfn.XLOOKUP(tbl_encuesta[[#This Row],[Me siento a gusto con el ambiente de trabajo que se genera en mi equipo.]],#REF!,#REF!)</f>
        <v>#REF!</v>
      </c>
      <c r="H86" t="s">
        <v>23</v>
      </c>
      <c r="I86" t="e">
        <f>+_xlfn.XLOOKUP(tbl_encuesta[[#This Row],[Me siento motivado a dar lo mejor de mí y hacer un buen trabajo]],#REF!,#REF!)</f>
        <v>#REF!</v>
      </c>
      <c r="J86" t="s">
        <v>23</v>
      </c>
      <c r="K86" t="e">
        <f>+_xlfn.XLOOKUP(tbl_encuesta[[#This Row],[Mi supervisor o jefe directo me otorga el soporte que necesito para afrontar cualquier problema que afecte mi trabajo]],#REF!,#REF!)</f>
        <v>#REF!</v>
      </c>
      <c r="L86" t="s">
        <v>23</v>
      </c>
      <c r="M86" t="e">
        <f>+_xlfn.XLOOKUP(tbl_encuesta[[#This Row],[Mi supervisor o jefe directo fomenta que nos apoyemos entre todos en el equipo]],#REF!,#REF!)</f>
        <v>#REF!</v>
      </c>
      <c r="N86" t="s">
        <v>23</v>
      </c>
      <c r="O86" t="e">
        <f>+_xlfn.XLOOKUP(tbl_encuesta[[#This Row],[Siento que mi trabajo es reconocido por mi supervisor o jefe directo.]],#REF!,#REF!)</f>
        <v>#REF!</v>
      </c>
      <c r="P86" t="s">
        <v>31</v>
      </c>
      <c r="Q86" t="e">
        <f xml:space="preserve">
_xlfn.XLOOKUP(
tbl_encuesta[[#This Row],[Mi supervisor o jefe directo nos brinda charlas de 5 minutos y comunica las novedades relevantes a mi puesto de trabajo]],#REF!,#REF!
)</f>
        <v>#REF!</v>
      </c>
      <c r="R86" t="s">
        <v>17</v>
      </c>
      <c r="U86" t="s">
        <v>20</v>
      </c>
      <c r="W86" t="s">
        <v>25</v>
      </c>
      <c r="X86" t="s">
        <v>23</v>
      </c>
      <c r="Y86" t="e">
        <f>+_xlfn.XLOOKUP(tbl_encuesta[[#This Row],[Considero a Limtek como un buen lugar para trabajar]],#REF!,#REF!)</f>
        <v>#REF!</v>
      </c>
      <c r="Z86" t="s">
        <v>264</v>
      </c>
      <c r="AA86" t="s">
        <v>265</v>
      </c>
      <c r="AB86" t="s">
        <v>72</v>
      </c>
      <c r="AC86" s="3" t="s">
        <v>3716</v>
      </c>
      <c r="AD86" s="3" t="s">
        <v>3716</v>
      </c>
      <c r="AE86" t="s">
        <v>55</v>
      </c>
    </row>
    <row r="87" spans="1:31" x14ac:dyDescent="0.25">
      <c r="A87">
        <v>119033912219</v>
      </c>
      <c r="B87">
        <v>462598545</v>
      </c>
      <c r="C87" s="1">
        <v>46031.453518518516</v>
      </c>
      <c r="D87" s="1">
        <v>46031.461851851855</v>
      </c>
      <c r="E87" t="s">
        <v>263</v>
      </c>
      <c r="F87" t="s">
        <v>23</v>
      </c>
      <c r="G87" t="e">
        <f>+_xlfn.XLOOKUP(tbl_encuesta[[#This Row],[Me siento a gusto con el ambiente de trabajo que se genera en mi equipo.]],#REF!,#REF!)</f>
        <v>#REF!</v>
      </c>
      <c r="H87" t="s">
        <v>23</v>
      </c>
      <c r="I87" t="e">
        <f>+_xlfn.XLOOKUP(tbl_encuesta[[#This Row],[Me siento motivado a dar lo mejor de mí y hacer un buen trabajo]],#REF!,#REF!)</f>
        <v>#REF!</v>
      </c>
      <c r="J87" t="s">
        <v>23</v>
      </c>
      <c r="K87" t="e">
        <f>+_xlfn.XLOOKUP(tbl_encuesta[[#This Row],[Mi supervisor o jefe directo me otorga el soporte que necesito para afrontar cualquier problema que afecte mi trabajo]],#REF!,#REF!)</f>
        <v>#REF!</v>
      </c>
      <c r="L87" t="s">
        <v>23</v>
      </c>
      <c r="M87" t="e">
        <f>+_xlfn.XLOOKUP(tbl_encuesta[[#This Row],[Mi supervisor o jefe directo fomenta que nos apoyemos entre todos en el equipo]],#REF!,#REF!)</f>
        <v>#REF!</v>
      </c>
      <c r="N87" t="s">
        <v>23</v>
      </c>
      <c r="O87" t="e">
        <f>+_xlfn.XLOOKUP(tbl_encuesta[[#This Row],[Siento que mi trabajo es reconocido por mi supervisor o jefe directo.]],#REF!,#REF!)</f>
        <v>#REF!</v>
      </c>
      <c r="P87" t="s">
        <v>31</v>
      </c>
      <c r="Q87" t="e">
        <f xml:space="preserve">
_xlfn.XLOOKUP(
tbl_encuesta[[#This Row],[Mi supervisor o jefe directo nos brinda charlas de 5 minutos y comunica las novedades relevantes a mi puesto de trabajo]],#REF!,#REF!
)</f>
        <v>#REF!</v>
      </c>
      <c r="R87" t="s">
        <v>17</v>
      </c>
      <c r="S87" t="s">
        <v>18</v>
      </c>
      <c r="W87" t="s">
        <v>25</v>
      </c>
      <c r="X87" t="s">
        <v>23</v>
      </c>
      <c r="Y87" t="e">
        <f>+_xlfn.XLOOKUP(tbl_encuesta[[#This Row],[Considero a Limtek como un buen lugar para trabajar]],#REF!,#REF!)</f>
        <v>#REF!</v>
      </c>
      <c r="Z87" t="s">
        <v>266</v>
      </c>
      <c r="AA87" t="s">
        <v>267</v>
      </c>
      <c r="AB87" t="s">
        <v>72</v>
      </c>
      <c r="AC87" s="3" t="s">
        <v>3716</v>
      </c>
      <c r="AD87" s="3" t="s">
        <v>3716</v>
      </c>
      <c r="AE87" t="s">
        <v>34</v>
      </c>
    </row>
    <row r="88" spans="1:31" x14ac:dyDescent="0.25">
      <c r="A88">
        <v>119033911466</v>
      </c>
      <c r="B88">
        <v>462598545</v>
      </c>
      <c r="C88" s="1">
        <v>46031.459270833337</v>
      </c>
      <c r="D88" s="1">
        <v>46031.461168981485</v>
      </c>
      <c r="E88" t="s">
        <v>268</v>
      </c>
      <c r="F88" t="s">
        <v>23</v>
      </c>
      <c r="G88" t="e">
        <f>+_xlfn.XLOOKUP(tbl_encuesta[[#This Row],[Me siento a gusto con el ambiente de trabajo que se genera en mi equipo.]],#REF!,#REF!)</f>
        <v>#REF!</v>
      </c>
      <c r="H88" t="s">
        <v>23</v>
      </c>
      <c r="I88" t="e">
        <f>+_xlfn.XLOOKUP(tbl_encuesta[[#This Row],[Me siento motivado a dar lo mejor de mí y hacer un buen trabajo]],#REF!,#REF!)</f>
        <v>#REF!</v>
      </c>
      <c r="J88" t="s">
        <v>23</v>
      </c>
      <c r="K88" t="e">
        <f>+_xlfn.XLOOKUP(tbl_encuesta[[#This Row],[Mi supervisor o jefe directo me otorga el soporte que necesito para afrontar cualquier problema que afecte mi trabajo]],#REF!,#REF!)</f>
        <v>#REF!</v>
      </c>
      <c r="L88" t="s">
        <v>23</v>
      </c>
      <c r="M88" t="e">
        <f>+_xlfn.XLOOKUP(tbl_encuesta[[#This Row],[Mi supervisor o jefe directo fomenta que nos apoyemos entre todos en el equipo]],#REF!,#REF!)</f>
        <v>#REF!</v>
      </c>
      <c r="N88" t="s">
        <v>23</v>
      </c>
      <c r="O88" t="e">
        <f>+_xlfn.XLOOKUP(tbl_encuesta[[#This Row],[Siento que mi trabajo es reconocido por mi supervisor o jefe directo.]],#REF!,#REF!)</f>
        <v>#REF!</v>
      </c>
      <c r="P88" t="s">
        <v>31</v>
      </c>
      <c r="Q88" t="e">
        <f xml:space="preserve">
_xlfn.XLOOKUP(
tbl_encuesta[[#This Row],[Mi supervisor o jefe directo nos brinda charlas de 5 minutos y comunica las novedades relevantes a mi puesto de trabajo]],#REF!,#REF!
)</f>
        <v>#REF!</v>
      </c>
      <c r="S88" t="s">
        <v>18</v>
      </c>
      <c r="T88" t="s">
        <v>19</v>
      </c>
      <c r="W88" t="s">
        <v>25</v>
      </c>
      <c r="X88" t="s">
        <v>23</v>
      </c>
      <c r="Y88" t="e">
        <f>+_xlfn.XLOOKUP(tbl_encuesta[[#This Row],[Considero a Limtek como un buen lugar para trabajar]],#REF!,#REF!)</f>
        <v>#REF!</v>
      </c>
      <c r="Z88" t="s">
        <v>269</v>
      </c>
      <c r="AA88" t="s">
        <v>270</v>
      </c>
      <c r="AB88" t="s">
        <v>38</v>
      </c>
      <c r="AC88" s="3" t="s">
        <v>3610</v>
      </c>
      <c r="AD88" s="3" t="s">
        <v>3610</v>
      </c>
      <c r="AE88" t="s">
        <v>61</v>
      </c>
    </row>
    <row r="89" spans="1:31" x14ac:dyDescent="0.25">
      <c r="A89">
        <v>119033911128</v>
      </c>
      <c r="B89">
        <v>462598545</v>
      </c>
      <c r="C89" s="1">
        <v>46031.459421296298</v>
      </c>
      <c r="D89" s="1">
        <v>46031.460868055554</v>
      </c>
      <c r="E89" t="s">
        <v>271</v>
      </c>
      <c r="F89" t="s">
        <v>23</v>
      </c>
      <c r="G89" t="e">
        <f>+_xlfn.XLOOKUP(tbl_encuesta[[#This Row],[Me siento a gusto con el ambiente de trabajo que se genera en mi equipo.]],#REF!,#REF!)</f>
        <v>#REF!</v>
      </c>
      <c r="H89" t="s">
        <v>23</v>
      </c>
      <c r="I89" t="e">
        <f>+_xlfn.XLOOKUP(tbl_encuesta[[#This Row],[Me siento motivado a dar lo mejor de mí y hacer un buen trabajo]],#REF!,#REF!)</f>
        <v>#REF!</v>
      </c>
      <c r="J89" t="s">
        <v>23</v>
      </c>
      <c r="K89" t="e">
        <f>+_xlfn.XLOOKUP(tbl_encuesta[[#This Row],[Mi supervisor o jefe directo me otorga el soporte que necesito para afrontar cualquier problema que afecte mi trabajo]],#REF!,#REF!)</f>
        <v>#REF!</v>
      </c>
      <c r="L89" t="s">
        <v>23</v>
      </c>
      <c r="M89" t="e">
        <f>+_xlfn.XLOOKUP(tbl_encuesta[[#This Row],[Mi supervisor o jefe directo fomenta que nos apoyemos entre todos en el equipo]],#REF!,#REF!)</f>
        <v>#REF!</v>
      </c>
      <c r="N89" t="s">
        <v>23</v>
      </c>
      <c r="O89" t="e">
        <f>+_xlfn.XLOOKUP(tbl_encuesta[[#This Row],[Siento que mi trabajo es reconocido por mi supervisor o jefe directo.]],#REF!,#REF!)</f>
        <v>#REF!</v>
      </c>
      <c r="P89" t="s">
        <v>67</v>
      </c>
      <c r="Q89" t="e">
        <f xml:space="preserve">
_xlfn.XLOOKUP(
tbl_encuesta[[#This Row],[Mi supervisor o jefe directo nos brinda charlas de 5 minutos y comunica las novedades relevantes a mi puesto de trabajo]],#REF!,#REF!
)</f>
        <v>#REF!</v>
      </c>
      <c r="R89" t="s">
        <v>17</v>
      </c>
      <c r="T89" t="s">
        <v>19</v>
      </c>
      <c r="W89" t="s">
        <v>25</v>
      </c>
      <c r="X89" t="s">
        <v>23</v>
      </c>
      <c r="Y89" t="e">
        <f>+_xlfn.XLOOKUP(tbl_encuesta[[#This Row],[Considero a Limtek como un buen lugar para trabajar]],#REF!,#REF!)</f>
        <v>#REF!</v>
      </c>
      <c r="Z89" t="s">
        <v>272</v>
      </c>
      <c r="AA89" t="s">
        <v>273</v>
      </c>
      <c r="AB89" t="s">
        <v>65</v>
      </c>
      <c r="AC89" s="3" t="s">
        <v>3610</v>
      </c>
      <c r="AD89" s="3" t="s">
        <v>3620</v>
      </c>
      <c r="AE89" t="s">
        <v>34</v>
      </c>
    </row>
    <row r="90" spans="1:31" x14ac:dyDescent="0.25">
      <c r="A90">
        <v>119033910982</v>
      </c>
      <c r="B90">
        <v>462598545</v>
      </c>
      <c r="C90" s="1">
        <v>46031.45820601852</v>
      </c>
      <c r="D90" s="1">
        <v>46031.460717592592</v>
      </c>
      <c r="E90" t="s">
        <v>274</v>
      </c>
      <c r="F90" t="s">
        <v>23</v>
      </c>
      <c r="G90" t="e">
        <f>+_xlfn.XLOOKUP(tbl_encuesta[[#This Row],[Me siento a gusto con el ambiente de trabajo que se genera en mi equipo.]],#REF!,#REF!)</f>
        <v>#REF!</v>
      </c>
      <c r="H90" t="s">
        <v>23</v>
      </c>
      <c r="I90" t="e">
        <f>+_xlfn.XLOOKUP(tbl_encuesta[[#This Row],[Me siento motivado a dar lo mejor de mí y hacer un buen trabajo]],#REF!,#REF!)</f>
        <v>#REF!</v>
      </c>
      <c r="J90" t="s">
        <v>23</v>
      </c>
      <c r="K90" t="e">
        <f>+_xlfn.XLOOKUP(tbl_encuesta[[#This Row],[Mi supervisor o jefe directo me otorga el soporte que necesito para afrontar cualquier problema que afecte mi trabajo]],#REF!,#REF!)</f>
        <v>#REF!</v>
      </c>
      <c r="L90" t="s">
        <v>23</v>
      </c>
      <c r="M90" t="e">
        <f>+_xlfn.XLOOKUP(tbl_encuesta[[#This Row],[Mi supervisor o jefe directo fomenta que nos apoyemos entre todos en el equipo]],#REF!,#REF!)</f>
        <v>#REF!</v>
      </c>
      <c r="N90" t="s">
        <v>23</v>
      </c>
      <c r="O90" t="e">
        <f>+_xlfn.XLOOKUP(tbl_encuesta[[#This Row],[Siento que mi trabajo es reconocido por mi supervisor o jefe directo.]],#REF!,#REF!)</f>
        <v>#REF!</v>
      </c>
      <c r="P90" t="s">
        <v>31</v>
      </c>
      <c r="Q90" t="e">
        <f xml:space="preserve">
_xlfn.XLOOKUP(
tbl_encuesta[[#This Row],[Mi supervisor o jefe directo nos brinda charlas de 5 minutos y comunica las novedades relevantes a mi puesto de trabajo]],#REF!,#REF!
)</f>
        <v>#REF!</v>
      </c>
      <c r="V90" t="s">
        <v>275</v>
      </c>
      <c r="W90" t="s">
        <v>25</v>
      </c>
      <c r="X90" t="s">
        <v>23</v>
      </c>
      <c r="Y90" t="e">
        <f>+_xlfn.XLOOKUP(tbl_encuesta[[#This Row],[Considero a Limtek como un buen lugar para trabajar]],#REF!,#REF!)</f>
        <v>#REF!</v>
      </c>
      <c r="Z90" t="s">
        <v>276</v>
      </c>
      <c r="AA90" t="s">
        <v>277</v>
      </c>
      <c r="AB90" t="s">
        <v>38</v>
      </c>
      <c r="AC90" s="3" t="s">
        <v>3610</v>
      </c>
      <c r="AD90" s="3" t="s">
        <v>3621</v>
      </c>
      <c r="AE90" t="s">
        <v>34</v>
      </c>
    </row>
    <row r="91" spans="1:31" x14ac:dyDescent="0.25">
      <c r="A91">
        <v>119033909881</v>
      </c>
      <c r="B91">
        <v>462598545</v>
      </c>
      <c r="C91" s="1">
        <v>46031.457986111112</v>
      </c>
      <c r="D91" s="1">
        <v>46031.459722222222</v>
      </c>
      <c r="E91" t="s">
        <v>278</v>
      </c>
      <c r="F91" t="s">
        <v>22</v>
      </c>
      <c r="G91" t="e">
        <f>+_xlfn.XLOOKUP(tbl_encuesta[[#This Row],[Me siento a gusto con el ambiente de trabajo que se genera en mi equipo.]],#REF!,#REF!)</f>
        <v>#REF!</v>
      </c>
      <c r="H91" t="s">
        <v>23</v>
      </c>
      <c r="I91" t="e">
        <f>+_xlfn.XLOOKUP(tbl_encuesta[[#This Row],[Me siento motivado a dar lo mejor de mí y hacer un buen trabajo]],#REF!,#REF!)</f>
        <v>#REF!</v>
      </c>
      <c r="J91" t="s">
        <v>22</v>
      </c>
      <c r="K91" t="e">
        <f>+_xlfn.XLOOKUP(tbl_encuesta[[#This Row],[Mi supervisor o jefe directo me otorga el soporte que necesito para afrontar cualquier problema que afecte mi trabajo]],#REF!,#REF!)</f>
        <v>#REF!</v>
      </c>
      <c r="L91" t="s">
        <v>22</v>
      </c>
      <c r="M91" t="e">
        <f>+_xlfn.XLOOKUP(tbl_encuesta[[#This Row],[Mi supervisor o jefe directo fomenta que nos apoyemos entre todos en el equipo]],#REF!,#REF!)</f>
        <v>#REF!</v>
      </c>
      <c r="N91" t="s">
        <v>97</v>
      </c>
      <c r="O91" t="e">
        <f>+_xlfn.XLOOKUP(tbl_encuesta[[#This Row],[Siento que mi trabajo es reconocido por mi supervisor o jefe directo.]],#REF!,#REF!)</f>
        <v>#REF!</v>
      </c>
      <c r="P91" t="s">
        <v>67</v>
      </c>
      <c r="Q91" t="e">
        <f xml:space="preserve">
_xlfn.XLOOKUP(
tbl_encuesta[[#This Row],[Mi supervisor o jefe directo nos brinda charlas de 5 minutos y comunica las novedades relevantes a mi puesto de trabajo]],#REF!,#REF!
)</f>
        <v>#REF!</v>
      </c>
      <c r="R91" t="s">
        <v>17</v>
      </c>
      <c r="S91" t="s">
        <v>18</v>
      </c>
      <c r="W91" t="s">
        <v>25</v>
      </c>
      <c r="X91" t="s">
        <v>23</v>
      </c>
      <c r="Y91" t="e">
        <f>+_xlfn.XLOOKUP(tbl_encuesta[[#This Row],[Considero a Limtek como un buen lugar para trabajar]],#REF!,#REF!)</f>
        <v>#REF!</v>
      </c>
      <c r="Z91" t="s">
        <v>279</v>
      </c>
      <c r="AA91" t="s">
        <v>280</v>
      </c>
      <c r="AB91" t="s">
        <v>72</v>
      </c>
      <c r="AC91" s="3" t="s">
        <v>3716</v>
      </c>
      <c r="AD91" s="3" t="s">
        <v>3716</v>
      </c>
      <c r="AE91" t="s">
        <v>29</v>
      </c>
    </row>
    <row r="92" spans="1:31" x14ac:dyDescent="0.25">
      <c r="A92">
        <v>119033909532</v>
      </c>
      <c r="B92">
        <v>462598545</v>
      </c>
      <c r="C92" s="1">
        <v>46031.453043981484</v>
      </c>
      <c r="D92" s="1">
        <v>46031.459386574075</v>
      </c>
      <c r="E92" t="s">
        <v>281</v>
      </c>
      <c r="F92" t="s">
        <v>22</v>
      </c>
      <c r="G92" t="e">
        <f>+_xlfn.XLOOKUP(tbl_encuesta[[#This Row],[Me siento a gusto con el ambiente de trabajo que se genera en mi equipo.]],#REF!,#REF!)</f>
        <v>#REF!</v>
      </c>
      <c r="H92" t="s">
        <v>23</v>
      </c>
      <c r="I92" t="e">
        <f>+_xlfn.XLOOKUP(tbl_encuesta[[#This Row],[Me siento motivado a dar lo mejor de mí y hacer un buen trabajo]],#REF!,#REF!)</f>
        <v>#REF!</v>
      </c>
      <c r="J92" t="s">
        <v>22</v>
      </c>
      <c r="K92" t="e">
        <f>+_xlfn.XLOOKUP(tbl_encuesta[[#This Row],[Mi supervisor o jefe directo me otorga el soporte que necesito para afrontar cualquier problema que afecte mi trabajo]],#REF!,#REF!)</f>
        <v>#REF!</v>
      </c>
      <c r="L92" t="s">
        <v>22</v>
      </c>
      <c r="M92" t="e">
        <f>+_xlfn.XLOOKUP(tbl_encuesta[[#This Row],[Mi supervisor o jefe directo fomenta que nos apoyemos entre todos en el equipo]],#REF!,#REF!)</f>
        <v>#REF!</v>
      </c>
      <c r="N92" t="s">
        <v>22</v>
      </c>
      <c r="O92" t="e">
        <f>+_xlfn.XLOOKUP(tbl_encuesta[[#This Row],[Siento que mi trabajo es reconocido por mi supervisor o jefe directo.]],#REF!,#REF!)</f>
        <v>#REF!</v>
      </c>
      <c r="P92" t="s">
        <v>67</v>
      </c>
      <c r="Q92" t="e">
        <f xml:space="preserve">
_xlfn.XLOOKUP(
tbl_encuesta[[#This Row],[Mi supervisor o jefe directo nos brinda charlas de 5 minutos y comunica las novedades relevantes a mi puesto de trabajo]],#REF!,#REF!
)</f>
        <v>#REF!</v>
      </c>
      <c r="R92" t="s">
        <v>17</v>
      </c>
      <c r="W92" t="s">
        <v>25</v>
      </c>
      <c r="X92" t="s">
        <v>22</v>
      </c>
      <c r="Y92" t="e">
        <f>+_xlfn.XLOOKUP(tbl_encuesta[[#This Row],[Considero a Limtek como un buen lugar para trabajar]],#REF!,#REF!)</f>
        <v>#REF!</v>
      </c>
      <c r="Z92" t="s">
        <v>282</v>
      </c>
      <c r="AA92" t="s">
        <v>283</v>
      </c>
      <c r="AB92" t="s">
        <v>38</v>
      </c>
      <c r="AC92" s="3" t="s">
        <v>3755</v>
      </c>
      <c r="AD92" s="3" t="s">
        <v>3801</v>
      </c>
      <c r="AE92" t="s">
        <v>61</v>
      </c>
    </row>
    <row r="93" spans="1:31" x14ac:dyDescent="0.25">
      <c r="A93">
        <v>119033908618</v>
      </c>
      <c r="B93">
        <v>462598545</v>
      </c>
      <c r="C93" s="1">
        <v>46031.453703703701</v>
      </c>
      <c r="D93" s="1">
        <v>46031.45857638889</v>
      </c>
      <c r="E93" t="s">
        <v>271</v>
      </c>
      <c r="F93" t="s">
        <v>23</v>
      </c>
      <c r="G93" t="e">
        <f>+_xlfn.XLOOKUP(tbl_encuesta[[#This Row],[Me siento a gusto con el ambiente de trabajo que se genera en mi equipo.]],#REF!,#REF!)</f>
        <v>#REF!</v>
      </c>
      <c r="H93" t="s">
        <v>23</v>
      </c>
      <c r="I93" t="e">
        <f>+_xlfn.XLOOKUP(tbl_encuesta[[#This Row],[Me siento motivado a dar lo mejor de mí y hacer un buen trabajo]],#REF!,#REF!)</f>
        <v>#REF!</v>
      </c>
      <c r="J93" t="s">
        <v>23</v>
      </c>
      <c r="K93" t="e">
        <f>+_xlfn.XLOOKUP(tbl_encuesta[[#This Row],[Mi supervisor o jefe directo me otorga el soporte que necesito para afrontar cualquier problema que afecte mi trabajo]],#REF!,#REF!)</f>
        <v>#REF!</v>
      </c>
      <c r="L93" t="s">
        <v>23</v>
      </c>
      <c r="M93" t="e">
        <f>+_xlfn.XLOOKUP(tbl_encuesta[[#This Row],[Mi supervisor o jefe directo fomenta que nos apoyemos entre todos en el equipo]],#REF!,#REF!)</f>
        <v>#REF!</v>
      </c>
      <c r="N93" t="s">
        <v>23</v>
      </c>
      <c r="O93" t="e">
        <f>+_xlfn.XLOOKUP(tbl_encuesta[[#This Row],[Siento que mi trabajo es reconocido por mi supervisor o jefe directo.]],#REF!,#REF!)</f>
        <v>#REF!</v>
      </c>
      <c r="P93" t="s">
        <v>31</v>
      </c>
      <c r="Q93" t="e">
        <f xml:space="preserve">
_xlfn.XLOOKUP(
tbl_encuesta[[#This Row],[Mi supervisor o jefe directo nos brinda charlas de 5 minutos y comunica las novedades relevantes a mi puesto de trabajo]],#REF!,#REF!
)</f>
        <v>#REF!</v>
      </c>
      <c r="R93" t="s">
        <v>17</v>
      </c>
      <c r="U93" t="s">
        <v>20</v>
      </c>
      <c r="W93" t="s">
        <v>25</v>
      </c>
      <c r="X93" t="s">
        <v>23</v>
      </c>
      <c r="Y93" t="e">
        <f>+_xlfn.XLOOKUP(tbl_encuesta[[#This Row],[Considero a Limtek como un buen lugar para trabajar]],#REF!,#REF!)</f>
        <v>#REF!</v>
      </c>
      <c r="Z93" t="s">
        <v>284</v>
      </c>
      <c r="AA93" t="s">
        <v>273</v>
      </c>
      <c r="AB93" t="s">
        <v>65</v>
      </c>
      <c r="AC93" s="3" t="s">
        <v>3610</v>
      </c>
      <c r="AD93" s="3" t="s">
        <v>3620</v>
      </c>
      <c r="AE93" t="s">
        <v>34</v>
      </c>
    </row>
    <row r="94" spans="1:31" x14ac:dyDescent="0.25">
      <c r="A94">
        <v>119033908446</v>
      </c>
      <c r="B94">
        <v>462598545</v>
      </c>
      <c r="C94" s="1">
        <v>46031.455960648149</v>
      </c>
      <c r="D94" s="1">
        <v>46031.458449074074</v>
      </c>
      <c r="E94" t="s">
        <v>285</v>
      </c>
      <c r="F94" t="s">
        <v>23</v>
      </c>
      <c r="G94" t="e">
        <f>+_xlfn.XLOOKUP(tbl_encuesta[[#This Row],[Me siento a gusto con el ambiente de trabajo que se genera en mi equipo.]],#REF!,#REF!)</f>
        <v>#REF!</v>
      </c>
      <c r="H94" t="s">
        <v>23</v>
      </c>
      <c r="I94" t="e">
        <f>+_xlfn.XLOOKUP(tbl_encuesta[[#This Row],[Me siento motivado a dar lo mejor de mí y hacer un buen trabajo]],#REF!,#REF!)</f>
        <v>#REF!</v>
      </c>
      <c r="J94" t="s">
        <v>23</v>
      </c>
      <c r="K94" t="e">
        <f>+_xlfn.XLOOKUP(tbl_encuesta[[#This Row],[Mi supervisor o jefe directo me otorga el soporte que necesito para afrontar cualquier problema que afecte mi trabajo]],#REF!,#REF!)</f>
        <v>#REF!</v>
      </c>
      <c r="L94" t="s">
        <v>23</v>
      </c>
      <c r="M94" t="e">
        <f>+_xlfn.XLOOKUP(tbl_encuesta[[#This Row],[Mi supervisor o jefe directo fomenta que nos apoyemos entre todos en el equipo]],#REF!,#REF!)</f>
        <v>#REF!</v>
      </c>
      <c r="N94" t="s">
        <v>23</v>
      </c>
      <c r="O94" t="e">
        <f>+_xlfn.XLOOKUP(tbl_encuesta[[#This Row],[Siento que mi trabajo es reconocido por mi supervisor o jefe directo.]],#REF!,#REF!)</f>
        <v>#REF!</v>
      </c>
      <c r="P94" t="s">
        <v>31</v>
      </c>
      <c r="Q94" t="e">
        <f xml:space="preserve">
_xlfn.XLOOKUP(
tbl_encuesta[[#This Row],[Mi supervisor o jefe directo nos brinda charlas de 5 minutos y comunica las novedades relevantes a mi puesto de trabajo]],#REF!,#REF!
)</f>
        <v>#REF!</v>
      </c>
      <c r="S94" t="s">
        <v>18</v>
      </c>
      <c r="U94" t="s">
        <v>20</v>
      </c>
      <c r="W94" t="s">
        <v>25</v>
      </c>
      <c r="X94" t="s">
        <v>23</v>
      </c>
      <c r="Y94" t="e">
        <f>+_xlfn.XLOOKUP(tbl_encuesta[[#This Row],[Considero a Limtek como un buen lugar para trabajar]],#REF!,#REF!)</f>
        <v>#REF!</v>
      </c>
      <c r="Z94" t="s">
        <v>286</v>
      </c>
      <c r="AA94" t="s">
        <v>287</v>
      </c>
      <c r="AB94" t="s">
        <v>38</v>
      </c>
      <c r="AC94" s="3" t="s">
        <v>3610</v>
      </c>
      <c r="AD94" s="3" t="s">
        <v>3610</v>
      </c>
      <c r="AE94" t="s">
        <v>34</v>
      </c>
    </row>
    <row r="95" spans="1:31" x14ac:dyDescent="0.25">
      <c r="A95">
        <v>119033908176</v>
      </c>
      <c r="B95">
        <v>462598545</v>
      </c>
      <c r="C95" s="1">
        <v>46031.453738425924</v>
      </c>
      <c r="D95" s="1">
        <v>46031.45820601852</v>
      </c>
      <c r="E95" t="s">
        <v>288</v>
      </c>
      <c r="F95" t="s">
        <v>23</v>
      </c>
      <c r="G95" t="e">
        <f>+_xlfn.XLOOKUP(tbl_encuesta[[#This Row],[Me siento a gusto con el ambiente de trabajo que se genera en mi equipo.]],#REF!,#REF!)</f>
        <v>#REF!</v>
      </c>
      <c r="H95" t="s">
        <v>23</v>
      </c>
      <c r="I95" t="e">
        <f>+_xlfn.XLOOKUP(tbl_encuesta[[#This Row],[Me siento motivado a dar lo mejor de mí y hacer un buen trabajo]],#REF!,#REF!)</f>
        <v>#REF!</v>
      </c>
      <c r="J95" t="s">
        <v>23</v>
      </c>
      <c r="K95" t="e">
        <f>+_xlfn.XLOOKUP(tbl_encuesta[[#This Row],[Mi supervisor o jefe directo me otorga el soporte que necesito para afrontar cualquier problema que afecte mi trabajo]],#REF!,#REF!)</f>
        <v>#REF!</v>
      </c>
      <c r="L95" t="s">
        <v>23</v>
      </c>
      <c r="M95" t="e">
        <f>+_xlfn.XLOOKUP(tbl_encuesta[[#This Row],[Mi supervisor o jefe directo fomenta que nos apoyemos entre todos en el equipo]],#REF!,#REF!)</f>
        <v>#REF!</v>
      </c>
      <c r="N95" t="s">
        <v>23</v>
      </c>
      <c r="O95" t="e">
        <f>+_xlfn.XLOOKUP(tbl_encuesta[[#This Row],[Siento que mi trabajo es reconocido por mi supervisor o jefe directo.]],#REF!,#REF!)</f>
        <v>#REF!</v>
      </c>
      <c r="P95" t="s">
        <v>31</v>
      </c>
      <c r="Q95" t="e">
        <f xml:space="preserve">
_xlfn.XLOOKUP(
tbl_encuesta[[#This Row],[Mi supervisor o jefe directo nos brinda charlas de 5 minutos y comunica las novedades relevantes a mi puesto de trabajo]],#REF!,#REF!
)</f>
        <v>#REF!</v>
      </c>
      <c r="R95" t="s">
        <v>17</v>
      </c>
      <c r="U95" t="s">
        <v>20</v>
      </c>
      <c r="W95" t="s">
        <v>25</v>
      </c>
      <c r="X95" t="s">
        <v>23</v>
      </c>
      <c r="Y95" t="e">
        <f>+_xlfn.XLOOKUP(tbl_encuesta[[#This Row],[Considero a Limtek como un buen lugar para trabajar]],#REF!,#REF!)</f>
        <v>#REF!</v>
      </c>
      <c r="Z95" t="s">
        <v>289</v>
      </c>
      <c r="AA95" t="s">
        <v>290</v>
      </c>
      <c r="AB95" t="s">
        <v>72</v>
      </c>
      <c r="AC95" s="3" t="s">
        <v>3716</v>
      </c>
      <c r="AD95" s="3" t="s">
        <v>72</v>
      </c>
      <c r="AE95" t="s">
        <v>29</v>
      </c>
    </row>
    <row r="96" spans="1:31" x14ac:dyDescent="0.25">
      <c r="A96">
        <v>119033908100</v>
      </c>
      <c r="B96">
        <v>462598545</v>
      </c>
      <c r="C96" s="1">
        <v>46031.452592592592</v>
      </c>
      <c r="D96" s="1">
        <v>46031.458136574074</v>
      </c>
      <c r="E96" t="s">
        <v>291</v>
      </c>
      <c r="F96" t="s">
        <v>23</v>
      </c>
      <c r="G96" t="e">
        <f>+_xlfn.XLOOKUP(tbl_encuesta[[#This Row],[Me siento a gusto con el ambiente de trabajo que se genera en mi equipo.]],#REF!,#REF!)</f>
        <v>#REF!</v>
      </c>
      <c r="H96" t="s">
        <v>23</v>
      </c>
      <c r="I96" t="e">
        <f>+_xlfn.XLOOKUP(tbl_encuesta[[#This Row],[Me siento motivado a dar lo mejor de mí y hacer un buen trabajo]],#REF!,#REF!)</f>
        <v>#REF!</v>
      </c>
      <c r="J96" t="s">
        <v>23</v>
      </c>
      <c r="K96" t="e">
        <f>+_xlfn.XLOOKUP(tbl_encuesta[[#This Row],[Mi supervisor o jefe directo me otorga el soporte que necesito para afrontar cualquier problema que afecte mi trabajo]],#REF!,#REF!)</f>
        <v>#REF!</v>
      </c>
      <c r="L96" t="s">
        <v>23</v>
      </c>
      <c r="M96" t="e">
        <f>+_xlfn.XLOOKUP(tbl_encuesta[[#This Row],[Mi supervisor o jefe directo fomenta que nos apoyemos entre todos en el equipo]],#REF!,#REF!)</f>
        <v>#REF!</v>
      </c>
      <c r="N96" t="s">
        <v>23</v>
      </c>
      <c r="O96" t="e">
        <f>+_xlfn.XLOOKUP(tbl_encuesta[[#This Row],[Siento que mi trabajo es reconocido por mi supervisor o jefe directo.]],#REF!,#REF!)</f>
        <v>#REF!</v>
      </c>
      <c r="P96" t="s">
        <v>31</v>
      </c>
      <c r="Q96" t="e">
        <f xml:space="preserve">
_xlfn.XLOOKUP(
tbl_encuesta[[#This Row],[Mi supervisor o jefe directo nos brinda charlas de 5 minutos y comunica las novedades relevantes a mi puesto de trabajo]],#REF!,#REF!
)</f>
        <v>#REF!</v>
      </c>
      <c r="R96" t="s">
        <v>17</v>
      </c>
      <c r="W96" t="s">
        <v>25</v>
      </c>
      <c r="X96" t="s">
        <v>23</v>
      </c>
      <c r="Y96" t="e">
        <f>+_xlfn.XLOOKUP(tbl_encuesta[[#This Row],[Considero a Limtek como un buen lugar para trabajar]],#REF!,#REF!)</f>
        <v>#REF!</v>
      </c>
      <c r="Z96" t="s">
        <v>292</v>
      </c>
      <c r="AA96" t="s">
        <v>293</v>
      </c>
      <c r="AB96" t="s">
        <v>38</v>
      </c>
      <c r="AC96" s="3" t="s">
        <v>3610</v>
      </c>
      <c r="AD96" s="3" t="s">
        <v>3609</v>
      </c>
      <c r="AE96" t="s">
        <v>34</v>
      </c>
    </row>
    <row r="97" spans="1:31" x14ac:dyDescent="0.25">
      <c r="A97">
        <v>119033906815</v>
      </c>
      <c r="B97">
        <v>462598545</v>
      </c>
      <c r="C97" s="1">
        <v>46031.449849537035</v>
      </c>
      <c r="D97" s="1">
        <v>46031.456979166665</v>
      </c>
      <c r="E97" t="s">
        <v>294</v>
      </c>
      <c r="F97" t="s">
        <v>23</v>
      </c>
      <c r="G97" t="e">
        <f>+_xlfn.XLOOKUP(tbl_encuesta[[#This Row],[Me siento a gusto con el ambiente de trabajo que se genera en mi equipo.]],#REF!,#REF!)</f>
        <v>#REF!</v>
      </c>
      <c r="H97" t="s">
        <v>23</v>
      </c>
      <c r="I97" t="e">
        <f>+_xlfn.XLOOKUP(tbl_encuesta[[#This Row],[Me siento motivado a dar lo mejor de mí y hacer un buen trabajo]],#REF!,#REF!)</f>
        <v>#REF!</v>
      </c>
      <c r="J97" t="s">
        <v>22</v>
      </c>
      <c r="K97" t="e">
        <f>+_xlfn.XLOOKUP(tbl_encuesta[[#This Row],[Mi supervisor o jefe directo me otorga el soporte que necesito para afrontar cualquier problema que afecte mi trabajo]],#REF!,#REF!)</f>
        <v>#REF!</v>
      </c>
      <c r="L97" t="s">
        <v>23</v>
      </c>
      <c r="M97" t="e">
        <f>+_xlfn.XLOOKUP(tbl_encuesta[[#This Row],[Mi supervisor o jefe directo fomenta que nos apoyemos entre todos en el equipo]],#REF!,#REF!)</f>
        <v>#REF!</v>
      </c>
      <c r="N97" t="s">
        <v>23</v>
      </c>
      <c r="O97" t="e">
        <f>+_xlfn.XLOOKUP(tbl_encuesta[[#This Row],[Siento que mi trabajo es reconocido por mi supervisor o jefe directo.]],#REF!,#REF!)</f>
        <v>#REF!</v>
      </c>
      <c r="P97" t="s">
        <v>31</v>
      </c>
      <c r="Q97" t="e">
        <f xml:space="preserve">
_xlfn.XLOOKUP(
tbl_encuesta[[#This Row],[Mi supervisor o jefe directo nos brinda charlas de 5 minutos y comunica las novedades relevantes a mi puesto de trabajo]],#REF!,#REF!
)</f>
        <v>#REF!</v>
      </c>
      <c r="R97" t="s">
        <v>17</v>
      </c>
      <c r="U97" t="s">
        <v>20</v>
      </c>
      <c r="W97" t="s">
        <v>25</v>
      </c>
      <c r="X97" t="s">
        <v>23</v>
      </c>
      <c r="Y97" t="e">
        <f>+_xlfn.XLOOKUP(tbl_encuesta[[#This Row],[Considero a Limtek como un buen lugar para trabajar]],#REF!,#REF!)</f>
        <v>#REF!</v>
      </c>
      <c r="Z97" t="s">
        <v>295</v>
      </c>
      <c r="AA97" t="s">
        <v>296</v>
      </c>
      <c r="AB97" t="s">
        <v>38</v>
      </c>
      <c r="AC97" s="3" t="s">
        <v>3610</v>
      </c>
      <c r="AD97" s="3" t="s">
        <v>3610</v>
      </c>
      <c r="AE97" t="s">
        <v>34</v>
      </c>
    </row>
    <row r="98" spans="1:31" x14ac:dyDescent="0.25">
      <c r="A98">
        <v>119033905384</v>
      </c>
      <c r="B98">
        <v>462598545</v>
      </c>
      <c r="C98" s="1">
        <v>46031.445092592592</v>
      </c>
      <c r="D98" s="1">
        <v>46031.455671296295</v>
      </c>
      <c r="E98" t="s">
        <v>297</v>
      </c>
      <c r="F98" t="s">
        <v>97</v>
      </c>
      <c r="G98" t="e">
        <f>+_xlfn.XLOOKUP(tbl_encuesta[[#This Row],[Me siento a gusto con el ambiente de trabajo que se genera en mi equipo.]],#REF!,#REF!)</f>
        <v>#REF!</v>
      </c>
      <c r="H98" t="s">
        <v>23</v>
      </c>
      <c r="I98" t="e">
        <f>+_xlfn.XLOOKUP(tbl_encuesta[[#This Row],[Me siento motivado a dar lo mejor de mí y hacer un buen trabajo]],#REF!,#REF!)</f>
        <v>#REF!</v>
      </c>
      <c r="J98" t="s">
        <v>22</v>
      </c>
      <c r="K98" t="e">
        <f>+_xlfn.XLOOKUP(tbl_encuesta[[#This Row],[Mi supervisor o jefe directo me otorga el soporte que necesito para afrontar cualquier problema que afecte mi trabajo]],#REF!,#REF!)</f>
        <v>#REF!</v>
      </c>
      <c r="L98" t="s">
        <v>23</v>
      </c>
      <c r="M98" t="e">
        <f>+_xlfn.XLOOKUP(tbl_encuesta[[#This Row],[Mi supervisor o jefe directo fomenta que nos apoyemos entre todos en el equipo]],#REF!,#REF!)</f>
        <v>#REF!</v>
      </c>
      <c r="N98" t="s">
        <v>43</v>
      </c>
      <c r="O98" t="e">
        <f>+_xlfn.XLOOKUP(tbl_encuesta[[#This Row],[Siento que mi trabajo es reconocido por mi supervisor o jefe directo.]],#REF!,#REF!)</f>
        <v>#REF!</v>
      </c>
      <c r="P98" t="s">
        <v>67</v>
      </c>
      <c r="Q98" t="e">
        <f xml:space="preserve">
_xlfn.XLOOKUP(
tbl_encuesta[[#This Row],[Mi supervisor o jefe directo nos brinda charlas de 5 minutos y comunica las novedades relevantes a mi puesto de trabajo]],#REF!,#REF!
)</f>
        <v>#REF!</v>
      </c>
      <c r="T98" t="s">
        <v>19</v>
      </c>
      <c r="W98" t="s">
        <v>25</v>
      </c>
      <c r="X98" t="s">
        <v>23</v>
      </c>
      <c r="Y98" t="e">
        <f>+_xlfn.XLOOKUP(tbl_encuesta[[#This Row],[Considero a Limtek como un buen lugar para trabajar]],#REF!,#REF!)</f>
        <v>#REF!</v>
      </c>
      <c r="Z98" t="s">
        <v>298</v>
      </c>
      <c r="AA98" t="s">
        <v>299</v>
      </c>
      <c r="AB98" t="s">
        <v>72</v>
      </c>
      <c r="AC98" s="3" t="s">
        <v>3716</v>
      </c>
      <c r="AD98" s="3" t="s">
        <v>3716</v>
      </c>
      <c r="AE98" t="s">
        <v>61</v>
      </c>
    </row>
    <row r="99" spans="1:31" x14ac:dyDescent="0.25">
      <c r="A99">
        <v>119033904709</v>
      </c>
      <c r="B99">
        <v>462598545</v>
      </c>
      <c r="C99" s="1">
        <v>46031.451064814813</v>
      </c>
      <c r="D99" s="1">
        <v>46031.455046296294</v>
      </c>
      <c r="E99" t="s">
        <v>300</v>
      </c>
      <c r="F99" t="s">
        <v>23</v>
      </c>
      <c r="G99" t="e">
        <f>+_xlfn.XLOOKUP(tbl_encuesta[[#This Row],[Me siento a gusto con el ambiente de trabajo que se genera en mi equipo.]],#REF!,#REF!)</f>
        <v>#REF!</v>
      </c>
      <c r="H99" t="s">
        <v>23</v>
      </c>
      <c r="I99" t="e">
        <f>+_xlfn.XLOOKUP(tbl_encuesta[[#This Row],[Me siento motivado a dar lo mejor de mí y hacer un buen trabajo]],#REF!,#REF!)</f>
        <v>#REF!</v>
      </c>
      <c r="J99" t="s">
        <v>22</v>
      </c>
      <c r="K99" t="e">
        <f>+_xlfn.XLOOKUP(tbl_encuesta[[#This Row],[Mi supervisor o jefe directo me otorga el soporte que necesito para afrontar cualquier problema que afecte mi trabajo]],#REF!,#REF!)</f>
        <v>#REF!</v>
      </c>
      <c r="L99" t="s">
        <v>22</v>
      </c>
      <c r="M99" t="e">
        <f>+_xlfn.XLOOKUP(tbl_encuesta[[#This Row],[Mi supervisor o jefe directo fomenta que nos apoyemos entre todos en el equipo]],#REF!,#REF!)</f>
        <v>#REF!</v>
      </c>
      <c r="N99" t="s">
        <v>22</v>
      </c>
      <c r="O99" t="e">
        <f>+_xlfn.XLOOKUP(tbl_encuesta[[#This Row],[Siento que mi trabajo es reconocido por mi supervisor o jefe directo.]],#REF!,#REF!)</f>
        <v>#REF!</v>
      </c>
      <c r="P99" t="s">
        <v>31</v>
      </c>
      <c r="Q99" t="e">
        <f xml:space="preserve">
_xlfn.XLOOKUP(
tbl_encuesta[[#This Row],[Mi supervisor o jefe directo nos brinda charlas de 5 minutos y comunica las novedades relevantes a mi puesto de trabajo]],#REF!,#REF!
)</f>
        <v>#REF!</v>
      </c>
      <c r="R99" t="s">
        <v>17</v>
      </c>
      <c r="S99" t="s">
        <v>18</v>
      </c>
      <c r="W99" t="s">
        <v>25</v>
      </c>
      <c r="X99" t="s">
        <v>23</v>
      </c>
      <c r="Y99" t="e">
        <f>+_xlfn.XLOOKUP(tbl_encuesta[[#This Row],[Considero a Limtek como un buen lugar para trabajar]],#REF!,#REF!)</f>
        <v>#REF!</v>
      </c>
      <c r="Z99" t="s">
        <v>301</v>
      </c>
      <c r="AA99" t="s">
        <v>302</v>
      </c>
      <c r="AB99" t="s">
        <v>65</v>
      </c>
      <c r="AC99" s="3" t="s">
        <v>3610</v>
      </c>
      <c r="AD99" s="3" t="s">
        <v>3622</v>
      </c>
      <c r="AE99" t="s">
        <v>34</v>
      </c>
    </row>
    <row r="100" spans="1:31" x14ac:dyDescent="0.25">
      <c r="A100">
        <v>119033904034</v>
      </c>
      <c r="B100">
        <v>462598545</v>
      </c>
      <c r="C100" s="1">
        <v>46031.451435185183</v>
      </c>
      <c r="D100" s="1">
        <v>46031.454398148147</v>
      </c>
      <c r="E100" t="s">
        <v>303</v>
      </c>
      <c r="F100" t="s">
        <v>23</v>
      </c>
      <c r="G100" t="e">
        <f>+_xlfn.XLOOKUP(tbl_encuesta[[#This Row],[Me siento a gusto con el ambiente de trabajo que se genera en mi equipo.]],#REF!,#REF!)</f>
        <v>#REF!</v>
      </c>
      <c r="H100" t="s">
        <v>23</v>
      </c>
      <c r="I100" t="e">
        <f>+_xlfn.XLOOKUP(tbl_encuesta[[#This Row],[Me siento motivado a dar lo mejor de mí y hacer un buen trabajo]],#REF!,#REF!)</f>
        <v>#REF!</v>
      </c>
      <c r="J100" t="s">
        <v>23</v>
      </c>
      <c r="K100" t="e">
        <f>+_xlfn.XLOOKUP(tbl_encuesta[[#This Row],[Mi supervisor o jefe directo me otorga el soporte que necesito para afrontar cualquier problema que afecte mi trabajo]],#REF!,#REF!)</f>
        <v>#REF!</v>
      </c>
      <c r="L100" t="s">
        <v>23</v>
      </c>
      <c r="M100" t="e">
        <f>+_xlfn.XLOOKUP(tbl_encuesta[[#This Row],[Mi supervisor o jefe directo fomenta que nos apoyemos entre todos en el equipo]],#REF!,#REF!)</f>
        <v>#REF!</v>
      </c>
      <c r="N100" t="s">
        <v>23</v>
      </c>
      <c r="O100" t="e">
        <f>+_xlfn.XLOOKUP(tbl_encuesta[[#This Row],[Siento que mi trabajo es reconocido por mi supervisor o jefe directo.]],#REF!,#REF!)</f>
        <v>#REF!</v>
      </c>
      <c r="P100" t="s">
        <v>31</v>
      </c>
      <c r="Q100" t="e">
        <f xml:space="preserve">
_xlfn.XLOOKUP(
tbl_encuesta[[#This Row],[Mi supervisor o jefe directo nos brinda charlas de 5 minutos y comunica las novedades relevantes a mi puesto de trabajo]],#REF!,#REF!
)</f>
        <v>#REF!</v>
      </c>
      <c r="R100" t="s">
        <v>17</v>
      </c>
      <c r="W100" t="s">
        <v>25</v>
      </c>
      <c r="X100" t="s">
        <v>23</v>
      </c>
      <c r="Y100" t="e">
        <f>+_xlfn.XLOOKUP(tbl_encuesta[[#This Row],[Considero a Limtek como un buen lugar para trabajar]],#REF!,#REF!)</f>
        <v>#REF!</v>
      </c>
      <c r="Z100" t="s">
        <v>304</v>
      </c>
      <c r="AA100" t="s">
        <v>305</v>
      </c>
      <c r="AB100" t="s">
        <v>72</v>
      </c>
      <c r="AC100" s="3" t="s">
        <v>3716</v>
      </c>
      <c r="AD100" s="3" t="s">
        <v>3716</v>
      </c>
      <c r="AE100" t="s">
        <v>29</v>
      </c>
    </row>
    <row r="101" spans="1:31" x14ac:dyDescent="0.25">
      <c r="A101">
        <v>119033903078</v>
      </c>
      <c r="B101">
        <v>462598545</v>
      </c>
      <c r="C101" s="1">
        <v>46031.451273148145</v>
      </c>
      <c r="D101" s="1">
        <v>46031.453483796293</v>
      </c>
      <c r="E101" t="s">
        <v>307</v>
      </c>
      <c r="F101" t="s">
        <v>22</v>
      </c>
      <c r="G101" t="e">
        <f>+_xlfn.XLOOKUP(tbl_encuesta[[#This Row],[Me siento a gusto con el ambiente de trabajo que se genera en mi equipo.]],#REF!,#REF!)</f>
        <v>#REF!</v>
      </c>
      <c r="H101" t="s">
        <v>23</v>
      </c>
      <c r="I101" t="e">
        <f>+_xlfn.XLOOKUP(tbl_encuesta[[#This Row],[Me siento motivado a dar lo mejor de mí y hacer un buen trabajo]],#REF!,#REF!)</f>
        <v>#REF!</v>
      </c>
      <c r="J101" t="s">
        <v>23</v>
      </c>
      <c r="K101" t="e">
        <f>+_xlfn.XLOOKUP(tbl_encuesta[[#This Row],[Mi supervisor o jefe directo me otorga el soporte que necesito para afrontar cualquier problema que afecte mi trabajo]],#REF!,#REF!)</f>
        <v>#REF!</v>
      </c>
      <c r="L101" t="s">
        <v>23</v>
      </c>
      <c r="M101" t="e">
        <f>+_xlfn.XLOOKUP(tbl_encuesta[[#This Row],[Mi supervisor o jefe directo fomenta que nos apoyemos entre todos en el equipo]],#REF!,#REF!)</f>
        <v>#REF!</v>
      </c>
      <c r="N101" t="s">
        <v>22</v>
      </c>
      <c r="O101" t="e">
        <f>+_xlfn.XLOOKUP(tbl_encuesta[[#This Row],[Siento que mi trabajo es reconocido por mi supervisor o jefe directo.]],#REF!,#REF!)</f>
        <v>#REF!</v>
      </c>
      <c r="P101" t="s">
        <v>67</v>
      </c>
      <c r="Q101" t="e">
        <f xml:space="preserve">
_xlfn.XLOOKUP(
tbl_encuesta[[#This Row],[Mi supervisor o jefe directo nos brinda charlas de 5 minutos y comunica las novedades relevantes a mi puesto de trabajo]],#REF!,#REF!
)</f>
        <v>#REF!</v>
      </c>
      <c r="S101" t="s">
        <v>18</v>
      </c>
      <c r="T101" t="s">
        <v>19</v>
      </c>
      <c r="W101" t="s">
        <v>25</v>
      </c>
      <c r="X101" t="s">
        <v>23</v>
      </c>
      <c r="Y101" t="e">
        <f>+_xlfn.XLOOKUP(tbl_encuesta[[#This Row],[Considero a Limtek como un buen lugar para trabajar]],#REF!,#REF!)</f>
        <v>#REF!</v>
      </c>
      <c r="Z101" t="s">
        <v>308</v>
      </c>
      <c r="AA101" t="s">
        <v>309</v>
      </c>
      <c r="AB101" t="s">
        <v>72</v>
      </c>
      <c r="AC101" s="3" t="s">
        <v>3716</v>
      </c>
      <c r="AD101" s="3" t="s">
        <v>72</v>
      </c>
      <c r="AE101" t="s">
        <v>69</v>
      </c>
    </row>
    <row r="102" spans="1:31" x14ac:dyDescent="0.25">
      <c r="A102">
        <v>119033899471</v>
      </c>
      <c r="B102">
        <v>462598545</v>
      </c>
      <c r="C102" s="1">
        <v>46031.447662037041</v>
      </c>
      <c r="D102" s="1">
        <v>46031.45040509259</v>
      </c>
      <c r="E102" t="s">
        <v>310</v>
      </c>
      <c r="F102" t="s">
        <v>23</v>
      </c>
      <c r="G102" t="e">
        <f>+_xlfn.XLOOKUP(tbl_encuesta[[#This Row],[Me siento a gusto con el ambiente de trabajo que se genera en mi equipo.]],#REF!,#REF!)</f>
        <v>#REF!</v>
      </c>
      <c r="H102" t="s">
        <v>23</v>
      </c>
      <c r="I102" t="e">
        <f>+_xlfn.XLOOKUP(tbl_encuesta[[#This Row],[Me siento motivado a dar lo mejor de mí y hacer un buen trabajo]],#REF!,#REF!)</f>
        <v>#REF!</v>
      </c>
      <c r="J102" t="s">
        <v>23</v>
      </c>
      <c r="K102" t="e">
        <f>+_xlfn.XLOOKUP(tbl_encuesta[[#This Row],[Mi supervisor o jefe directo me otorga el soporte que necesito para afrontar cualquier problema que afecte mi trabajo]],#REF!,#REF!)</f>
        <v>#REF!</v>
      </c>
      <c r="L102" t="s">
        <v>23</v>
      </c>
      <c r="M102" t="e">
        <f>+_xlfn.XLOOKUP(tbl_encuesta[[#This Row],[Mi supervisor o jefe directo fomenta que nos apoyemos entre todos en el equipo]],#REF!,#REF!)</f>
        <v>#REF!</v>
      </c>
      <c r="N102" t="s">
        <v>23</v>
      </c>
      <c r="O102" t="e">
        <f>+_xlfn.XLOOKUP(tbl_encuesta[[#This Row],[Siento que mi trabajo es reconocido por mi supervisor o jefe directo.]],#REF!,#REF!)</f>
        <v>#REF!</v>
      </c>
      <c r="P102" t="s">
        <v>31</v>
      </c>
      <c r="Q102" t="e">
        <f xml:space="preserve">
_xlfn.XLOOKUP(
tbl_encuesta[[#This Row],[Mi supervisor o jefe directo nos brinda charlas de 5 minutos y comunica las novedades relevantes a mi puesto de trabajo]],#REF!,#REF!
)</f>
        <v>#REF!</v>
      </c>
      <c r="R102" t="s">
        <v>17</v>
      </c>
      <c r="T102" t="s">
        <v>19</v>
      </c>
      <c r="W102" t="s">
        <v>25</v>
      </c>
      <c r="X102" t="s">
        <v>23</v>
      </c>
      <c r="Y102" t="e">
        <f>+_xlfn.XLOOKUP(tbl_encuesta[[#This Row],[Considero a Limtek como un buen lugar para trabajar]],#REF!,#REF!)</f>
        <v>#REF!</v>
      </c>
      <c r="Z102" t="s">
        <v>311</v>
      </c>
      <c r="AA102" t="s">
        <v>122</v>
      </c>
      <c r="AB102" t="s">
        <v>38</v>
      </c>
      <c r="AC102" s="3" t="s">
        <v>3610</v>
      </c>
      <c r="AD102" s="3" t="s">
        <v>3610</v>
      </c>
      <c r="AE102" t="s">
        <v>61</v>
      </c>
    </row>
    <row r="103" spans="1:31" x14ac:dyDescent="0.25">
      <c r="A103">
        <v>119033898337</v>
      </c>
      <c r="B103">
        <v>462598545</v>
      </c>
      <c r="C103" s="1">
        <v>46031.442696759259</v>
      </c>
      <c r="D103" s="1">
        <v>46031.449479166666</v>
      </c>
      <c r="E103" t="s">
        <v>307</v>
      </c>
      <c r="F103" t="s">
        <v>22</v>
      </c>
      <c r="G103" t="e">
        <f>+_xlfn.XLOOKUP(tbl_encuesta[[#This Row],[Me siento a gusto con el ambiente de trabajo que se genera en mi equipo.]],#REF!,#REF!)</f>
        <v>#REF!</v>
      </c>
      <c r="H103" t="s">
        <v>23</v>
      </c>
      <c r="I103" t="e">
        <f>+_xlfn.XLOOKUP(tbl_encuesta[[#This Row],[Me siento motivado a dar lo mejor de mí y hacer un buen trabajo]],#REF!,#REF!)</f>
        <v>#REF!</v>
      </c>
      <c r="J103" t="s">
        <v>22</v>
      </c>
      <c r="K103" t="e">
        <f>+_xlfn.XLOOKUP(tbl_encuesta[[#This Row],[Mi supervisor o jefe directo me otorga el soporte que necesito para afrontar cualquier problema que afecte mi trabajo]],#REF!,#REF!)</f>
        <v>#REF!</v>
      </c>
      <c r="L103" t="s">
        <v>23</v>
      </c>
      <c r="M103" t="e">
        <f>+_xlfn.XLOOKUP(tbl_encuesta[[#This Row],[Mi supervisor o jefe directo fomenta que nos apoyemos entre todos en el equipo]],#REF!,#REF!)</f>
        <v>#REF!</v>
      </c>
      <c r="N103" t="s">
        <v>22</v>
      </c>
      <c r="O103" t="e">
        <f>+_xlfn.XLOOKUP(tbl_encuesta[[#This Row],[Siento que mi trabajo es reconocido por mi supervisor o jefe directo.]],#REF!,#REF!)</f>
        <v>#REF!</v>
      </c>
      <c r="P103" t="s">
        <v>67</v>
      </c>
      <c r="Q103" t="e">
        <f xml:space="preserve">
_xlfn.XLOOKUP(
tbl_encuesta[[#This Row],[Mi supervisor o jefe directo nos brinda charlas de 5 minutos y comunica las novedades relevantes a mi puesto de trabajo]],#REF!,#REF!
)</f>
        <v>#REF!</v>
      </c>
      <c r="S103" t="s">
        <v>18</v>
      </c>
      <c r="T103" t="s">
        <v>19</v>
      </c>
      <c r="W103" t="s">
        <v>25</v>
      </c>
      <c r="X103" t="s">
        <v>23</v>
      </c>
      <c r="Y103" t="e">
        <f>+_xlfn.XLOOKUP(tbl_encuesta[[#This Row],[Considero a Limtek como un buen lugar para trabajar]],#REF!,#REF!)</f>
        <v>#REF!</v>
      </c>
      <c r="Z103" t="s">
        <v>308</v>
      </c>
      <c r="AA103" t="s">
        <v>309</v>
      </c>
      <c r="AB103" t="s">
        <v>72</v>
      </c>
      <c r="AC103" s="3" t="s">
        <v>3716</v>
      </c>
      <c r="AD103" s="3" t="s">
        <v>72</v>
      </c>
      <c r="AE103" t="s">
        <v>69</v>
      </c>
    </row>
    <row r="104" spans="1:31" x14ac:dyDescent="0.25">
      <c r="A104">
        <v>119033898256</v>
      </c>
      <c r="B104">
        <v>462598545</v>
      </c>
      <c r="C104" s="1">
        <v>46031.447847222225</v>
      </c>
      <c r="D104" s="1">
        <v>46031.44939814815</v>
      </c>
      <c r="E104" t="s">
        <v>312</v>
      </c>
      <c r="F104" t="s">
        <v>23</v>
      </c>
      <c r="G104" t="e">
        <f>+_xlfn.XLOOKUP(tbl_encuesta[[#This Row],[Me siento a gusto con el ambiente de trabajo que se genera en mi equipo.]],#REF!,#REF!)</f>
        <v>#REF!</v>
      </c>
      <c r="H104" t="s">
        <v>23</v>
      </c>
      <c r="I104" t="e">
        <f>+_xlfn.XLOOKUP(tbl_encuesta[[#This Row],[Me siento motivado a dar lo mejor de mí y hacer un buen trabajo]],#REF!,#REF!)</f>
        <v>#REF!</v>
      </c>
      <c r="J104" t="s">
        <v>23</v>
      </c>
      <c r="K104" t="e">
        <f>+_xlfn.XLOOKUP(tbl_encuesta[[#This Row],[Mi supervisor o jefe directo me otorga el soporte que necesito para afrontar cualquier problema que afecte mi trabajo]],#REF!,#REF!)</f>
        <v>#REF!</v>
      </c>
      <c r="L104" t="s">
        <v>23</v>
      </c>
      <c r="M104" t="e">
        <f>+_xlfn.XLOOKUP(tbl_encuesta[[#This Row],[Mi supervisor o jefe directo fomenta que nos apoyemos entre todos en el equipo]],#REF!,#REF!)</f>
        <v>#REF!</v>
      </c>
      <c r="N104" t="s">
        <v>23</v>
      </c>
      <c r="O104" t="e">
        <f>+_xlfn.XLOOKUP(tbl_encuesta[[#This Row],[Siento que mi trabajo es reconocido por mi supervisor o jefe directo.]],#REF!,#REF!)</f>
        <v>#REF!</v>
      </c>
      <c r="P104" t="s">
        <v>31</v>
      </c>
      <c r="Q104" t="e">
        <f xml:space="preserve">
_xlfn.XLOOKUP(
tbl_encuesta[[#This Row],[Mi supervisor o jefe directo nos brinda charlas de 5 minutos y comunica las novedades relevantes a mi puesto de trabajo]],#REF!,#REF!
)</f>
        <v>#REF!</v>
      </c>
      <c r="R104" t="s">
        <v>17</v>
      </c>
      <c r="W104" t="s">
        <v>46</v>
      </c>
      <c r="X104" t="s">
        <v>23</v>
      </c>
      <c r="Y104" t="e">
        <f>+_xlfn.XLOOKUP(tbl_encuesta[[#This Row],[Considero a Limtek como un buen lugar para trabajar]],#REF!,#REF!)</f>
        <v>#REF!</v>
      </c>
      <c r="Z104" t="s">
        <v>313</v>
      </c>
      <c r="AA104" t="s">
        <v>314</v>
      </c>
      <c r="AB104" t="s">
        <v>38</v>
      </c>
      <c r="AC104" s="3" t="s">
        <v>3610</v>
      </c>
      <c r="AD104" s="3" t="s">
        <v>3623</v>
      </c>
      <c r="AE104" t="s">
        <v>55</v>
      </c>
    </row>
    <row r="105" spans="1:31" x14ac:dyDescent="0.25">
      <c r="A105">
        <v>119033897129</v>
      </c>
      <c r="B105">
        <v>462598545</v>
      </c>
      <c r="C105" s="1">
        <v>46031.446817129632</v>
      </c>
      <c r="D105" s="1">
        <v>46031.44835648148</v>
      </c>
      <c r="E105" t="s">
        <v>315</v>
      </c>
      <c r="F105" t="s">
        <v>23</v>
      </c>
      <c r="G105" t="e">
        <f>+_xlfn.XLOOKUP(tbl_encuesta[[#This Row],[Me siento a gusto con el ambiente de trabajo que se genera en mi equipo.]],#REF!,#REF!)</f>
        <v>#REF!</v>
      </c>
      <c r="H105" t="s">
        <v>23</v>
      </c>
      <c r="I105" t="e">
        <f>+_xlfn.XLOOKUP(tbl_encuesta[[#This Row],[Me siento motivado a dar lo mejor de mí y hacer un buen trabajo]],#REF!,#REF!)</f>
        <v>#REF!</v>
      </c>
      <c r="J105" t="s">
        <v>23</v>
      </c>
      <c r="K105" t="e">
        <f>+_xlfn.XLOOKUP(tbl_encuesta[[#This Row],[Mi supervisor o jefe directo me otorga el soporte que necesito para afrontar cualquier problema que afecte mi trabajo]],#REF!,#REF!)</f>
        <v>#REF!</v>
      </c>
      <c r="L105" t="s">
        <v>23</v>
      </c>
      <c r="M105" t="e">
        <f>+_xlfn.XLOOKUP(tbl_encuesta[[#This Row],[Mi supervisor o jefe directo fomenta que nos apoyemos entre todos en el equipo]],#REF!,#REF!)</f>
        <v>#REF!</v>
      </c>
      <c r="N105" t="s">
        <v>23</v>
      </c>
      <c r="O105" t="e">
        <f>+_xlfn.XLOOKUP(tbl_encuesta[[#This Row],[Siento que mi trabajo es reconocido por mi supervisor o jefe directo.]],#REF!,#REF!)</f>
        <v>#REF!</v>
      </c>
      <c r="P105" t="s">
        <v>67</v>
      </c>
      <c r="Q105" t="e">
        <f xml:space="preserve">
_xlfn.XLOOKUP(
tbl_encuesta[[#This Row],[Mi supervisor o jefe directo nos brinda charlas de 5 minutos y comunica las novedades relevantes a mi puesto de trabajo]],#REF!,#REF!
)</f>
        <v>#REF!</v>
      </c>
      <c r="S105" t="s">
        <v>18</v>
      </c>
      <c r="W105" t="s">
        <v>25</v>
      </c>
      <c r="X105" t="s">
        <v>23</v>
      </c>
      <c r="Y105" t="e">
        <f>+_xlfn.XLOOKUP(tbl_encuesta[[#This Row],[Considero a Limtek como un buen lugar para trabajar]],#REF!,#REF!)</f>
        <v>#REF!</v>
      </c>
      <c r="Z105" t="s">
        <v>316</v>
      </c>
      <c r="AA105" t="s">
        <v>317</v>
      </c>
      <c r="AB105" t="s">
        <v>72</v>
      </c>
      <c r="AC105" s="3" t="s">
        <v>3716</v>
      </c>
      <c r="AD105" s="3" t="s">
        <v>3716</v>
      </c>
      <c r="AE105" t="s">
        <v>29</v>
      </c>
    </row>
    <row r="106" spans="1:31" x14ac:dyDescent="0.25">
      <c r="A106">
        <v>119033895113</v>
      </c>
      <c r="B106">
        <v>462598545</v>
      </c>
      <c r="C106" s="1">
        <v>46031.443564814814</v>
      </c>
      <c r="D106" s="1">
        <v>46031.446458333332</v>
      </c>
      <c r="E106" t="s">
        <v>318</v>
      </c>
      <c r="F106" t="s">
        <v>23</v>
      </c>
      <c r="G106" t="e">
        <f>+_xlfn.XLOOKUP(tbl_encuesta[[#This Row],[Me siento a gusto con el ambiente de trabajo que se genera en mi equipo.]],#REF!,#REF!)</f>
        <v>#REF!</v>
      </c>
      <c r="H106" t="s">
        <v>23</v>
      </c>
      <c r="I106" t="e">
        <f>+_xlfn.XLOOKUP(tbl_encuesta[[#This Row],[Me siento motivado a dar lo mejor de mí y hacer un buen trabajo]],#REF!,#REF!)</f>
        <v>#REF!</v>
      </c>
      <c r="J106" t="s">
        <v>23</v>
      </c>
      <c r="K106" t="e">
        <f>+_xlfn.XLOOKUP(tbl_encuesta[[#This Row],[Mi supervisor o jefe directo me otorga el soporte que necesito para afrontar cualquier problema que afecte mi trabajo]],#REF!,#REF!)</f>
        <v>#REF!</v>
      </c>
      <c r="L106" t="s">
        <v>23</v>
      </c>
      <c r="M106" t="e">
        <f>+_xlfn.XLOOKUP(tbl_encuesta[[#This Row],[Mi supervisor o jefe directo fomenta que nos apoyemos entre todos en el equipo]],#REF!,#REF!)</f>
        <v>#REF!</v>
      </c>
      <c r="N106" t="s">
        <v>23</v>
      </c>
      <c r="O106" t="e">
        <f>+_xlfn.XLOOKUP(tbl_encuesta[[#This Row],[Siento que mi trabajo es reconocido por mi supervisor o jefe directo.]],#REF!,#REF!)</f>
        <v>#REF!</v>
      </c>
      <c r="P106" t="s">
        <v>31</v>
      </c>
      <c r="Q106" t="e">
        <f xml:space="preserve">
_xlfn.XLOOKUP(
tbl_encuesta[[#This Row],[Mi supervisor o jefe directo nos brinda charlas de 5 minutos y comunica las novedades relevantes a mi puesto de trabajo]],#REF!,#REF!
)</f>
        <v>#REF!</v>
      </c>
      <c r="R106" t="s">
        <v>17</v>
      </c>
      <c r="W106" t="s">
        <v>25</v>
      </c>
      <c r="X106" t="s">
        <v>23</v>
      </c>
      <c r="Y106" t="e">
        <f>+_xlfn.XLOOKUP(tbl_encuesta[[#This Row],[Considero a Limtek como un buen lugar para trabajar]],#REF!,#REF!)</f>
        <v>#REF!</v>
      </c>
      <c r="Z106" t="s">
        <v>3744</v>
      </c>
      <c r="AA106" t="s">
        <v>319</v>
      </c>
      <c r="AB106" t="s">
        <v>38</v>
      </c>
      <c r="AC106" s="3" t="s">
        <v>3758</v>
      </c>
      <c r="AD106" s="3" t="s">
        <v>3785</v>
      </c>
      <c r="AE106" t="s">
        <v>34</v>
      </c>
    </row>
    <row r="107" spans="1:31" x14ac:dyDescent="0.25">
      <c r="A107">
        <v>119033894562</v>
      </c>
      <c r="B107">
        <v>462598545</v>
      </c>
      <c r="C107" s="1">
        <v>46031.445150462961</v>
      </c>
      <c r="D107" s="1">
        <v>46031.445937500001</v>
      </c>
      <c r="E107" t="s">
        <v>320</v>
      </c>
      <c r="F107" t="s">
        <v>97</v>
      </c>
      <c r="G107" t="e">
        <f>+_xlfn.XLOOKUP(tbl_encuesta[[#This Row],[Me siento a gusto con el ambiente de trabajo que se genera en mi equipo.]],#REF!,#REF!)</f>
        <v>#REF!</v>
      </c>
      <c r="H107" t="s">
        <v>23</v>
      </c>
      <c r="I107" t="e">
        <f>+_xlfn.XLOOKUP(tbl_encuesta[[#This Row],[Me siento motivado a dar lo mejor de mí y hacer un buen trabajo]],#REF!,#REF!)</f>
        <v>#REF!</v>
      </c>
      <c r="J107" t="s">
        <v>22</v>
      </c>
      <c r="K107" t="e">
        <f>+_xlfn.XLOOKUP(tbl_encuesta[[#This Row],[Mi supervisor o jefe directo me otorga el soporte que necesito para afrontar cualquier problema que afecte mi trabajo]],#REF!,#REF!)</f>
        <v>#REF!</v>
      </c>
      <c r="L107" t="s">
        <v>22</v>
      </c>
      <c r="M107" t="e">
        <f>+_xlfn.XLOOKUP(tbl_encuesta[[#This Row],[Mi supervisor o jefe directo fomenta que nos apoyemos entre todos en el equipo]],#REF!,#REF!)</f>
        <v>#REF!</v>
      </c>
      <c r="N107" t="s">
        <v>23</v>
      </c>
      <c r="O107" t="e">
        <f>+_xlfn.XLOOKUP(tbl_encuesta[[#This Row],[Siento que mi trabajo es reconocido por mi supervisor o jefe directo.]],#REF!,#REF!)</f>
        <v>#REF!</v>
      </c>
      <c r="P107" t="s">
        <v>24</v>
      </c>
      <c r="Q107" t="e">
        <f xml:space="preserve">
_xlfn.XLOOKUP(
tbl_encuesta[[#This Row],[Mi supervisor o jefe directo nos brinda charlas de 5 minutos y comunica las novedades relevantes a mi puesto de trabajo]],#REF!,#REF!
)</f>
        <v>#REF!</v>
      </c>
      <c r="S107" t="s">
        <v>18</v>
      </c>
      <c r="T107" t="s">
        <v>19</v>
      </c>
      <c r="W107" t="s">
        <v>25</v>
      </c>
      <c r="X107" t="s">
        <v>23</v>
      </c>
      <c r="Y107" t="e">
        <f>+_xlfn.XLOOKUP(tbl_encuesta[[#This Row],[Considero a Limtek como un buen lugar para trabajar]],#REF!,#REF!)</f>
        <v>#REF!</v>
      </c>
      <c r="Z107" t="s">
        <v>145</v>
      </c>
      <c r="AA107" t="s">
        <v>321</v>
      </c>
      <c r="AB107" t="s">
        <v>72</v>
      </c>
      <c r="AC107" s="3" t="s">
        <v>3716</v>
      </c>
      <c r="AD107" s="3" t="s">
        <v>72</v>
      </c>
      <c r="AE107" t="s">
        <v>61</v>
      </c>
    </row>
    <row r="108" spans="1:31" x14ac:dyDescent="0.25">
      <c r="A108">
        <v>119033893486</v>
      </c>
      <c r="B108">
        <v>462598545</v>
      </c>
      <c r="C108" s="1">
        <v>46031.44326388889</v>
      </c>
      <c r="D108" s="1">
        <v>46031.444872685184</v>
      </c>
      <c r="E108" t="s">
        <v>320</v>
      </c>
      <c r="F108" t="s">
        <v>97</v>
      </c>
      <c r="G108" t="e">
        <f>+_xlfn.XLOOKUP(tbl_encuesta[[#This Row],[Me siento a gusto con el ambiente de trabajo que se genera en mi equipo.]],#REF!,#REF!)</f>
        <v>#REF!</v>
      </c>
      <c r="H108" t="s">
        <v>23</v>
      </c>
      <c r="I108" t="e">
        <f>+_xlfn.XLOOKUP(tbl_encuesta[[#This Row],[Me siento motivado a dar lo mejor de mí y hacer un buen trabajo]],#REF!,#REF!)</f>
        <v>#REF!</v>
      </c>
      <c r="J108" t="s">
        <v>22</v>
      </c>
      <c r="K108" t="e">
        <f>+_xlfn.XLOOKUP(tbl_encuesta[[#This Row],[Mi supervisor o jefe directo me otorga el soporte que necesito para afrontar cualquier problema que afecte mi trabajo]],#REF!,#REF!)</f>
        <v>#REF!</v>
      </c>
      <c r="L108" t="s">
        <v>22</v>
      </c>
      <c r="M108" t="e">
        <f>+_xlfn.XLOOKUP(tbl_encuesta[[#This Row],[Mi supervisor o jefe directo fomenta que nos apoyemos entre todos en el equipo]],#REF!,#REF!)</f>
        <v>#REF!</v>
      </c>
      <c r="N108" t="s">
        <v>23</v>
      </c>
      <c r="O108" t="e">
        <f>+_xlfn.XLOOKUP(tbl_encuesta[[#This Row],[Siento que mi trabajo es reconocido por mi supervisor o jefe directo.]],#REF!,#REF!)</f>
        <v>#REF!</v>
      </c>
      <c r="P108" t="s">
        <v>24</v>
      </c>
      <c r="Q108" t="e">
        <f xml:space="preserve">
_xlfn.XLOOKUP(
tbl_encuesta[[#This Row],[Mi supervisor o jefe directo nos brinda charlas de 5 minutos y comunica las novedades relevantes a mi puesto de trabajo]],#REF!,#REF!
)</f>
        <v>#REF!</v>
      </c>
      <c r="S108" t="s">
        <v>18</v>
      </c>
      <c r="T108" t="s">
        <v>19</v>
      </c>
      <c r="W108" t="s">
        <v>25</v>
      </c>
      <c r="X108" t="s">
        <v>23</v>
      </c>
      <c r="Y108" t="e">
        <f>+_xlfn.XLOOKUP(tbl_encuesta[[#This Row],[Considero a Limtek como un buen lugar para trabajar]],#REF!,#REF!)</f>
        <v>#REF!</v>
      </c>
      <c r="Z108" t="s">
        <v>145</v>
      </c>
      <c r="AA108" t="s">
        <v>321</v>
      </c>
      <c r="AB108" t="s">
        <v>72</v>
      </c>
      <c r="AC108" s="3" t="s">
        <v>3716</v>
      </c>
      <c r="AD108" s="3" t="s">
        <v>72</v>
      </c>
      <c r="AE108" t="s">
        <v>61</v>
      </c>
    </row>
    <row r="109" spans="1:31" x14ac:dyDescent="0.25">
      <c r="A109">
        <v>119033893410</v>
      </c>
      <c r="B109">
        <v>462598545</v>
      </c>
      <c r="C109" s="1">
        <v>46031.442488425928</v>
      </c>
      <c r="D109" s="1">
        <v>46031.444803240738</v>
      </c>
      <c r="E109" t="s">
        <v>315</v>
      </c>
      <c r="F109" t="s">
        <v>22</v>
      </c>
      <c r="G109" t="e">
        <f>+_xlfn.XLOOKUP(tbl_encuesta[[#This Row],[Me siento a gusto con el ambiente de trabajo que se genera en mi equipo.]],#REF!,#REF!)</f>
        <v>#REF!</v>
      </c>
      <c r="H109" t="s">
        <v>23</v>
      </c>
      <c r="I109" t="e">
        <f>+_xlfn.XLOOKUP(tbl_encuesta[[#This Row],[Me siento motivado a dar lo mejor de mí y hacer un buen trabajo]],#REF!,#REF!)</f>
        <v>#REF!</v>
      </c>
      <c r="J109" t="s">
        <v>23</v>
      </c>
      <c r="K109" t="e">
        <f>+_xlfn.XLOOKUP(tbl_encuesta[[#This Row],[Mi supervisor o jefe directo me otorga el soporte que necesito para afrontar cualquier problema que afecte mi trabajo]],#REF!,#REF!)</f>
        <v>#REF!</v>
      </c>
      <c r="L109" t="s">
        <v>23</v>
      </c>
      <c r="M109" t="e">
        <f>+_xlfn.XLOOKUP(tbl_encuesta[[#This Row],[Mi supervisor o jefe directo fomenta que nos apoyemos entre todos en el equipo]],#REF!,#REF!)</f>
        <v>#REF!</v>
      </c>
      <c r="N109" t="s">
        <v>23</v>
      </c>
      <c r="O109" t="e">
        <f>+_xlfn.XLOOKUP(tbl_encuesta[[#This Row],[Siento que mi trabajo es reconocido por mi supervisor o jefe directo.]],#REF!,#REF!)</f>
        <v>#REF!</v>
      </c>
      <c r="P109" t="s">
        <v>67</v>
      </c>
      <c r="Q109" t="e">
        <f xml:space="preserve">
_xlfn.XLOOKUP(
tbl_encuesta[[#This Row],[Mi supervisor o jefe directo nos brinda charlas de 5 minutos y comunica las novedades relevantes a mi puesto de trabajo]],#REF!,#REF!
)</f>
        <v>#REF!</v>
      </c>
      <c r="S109" t="s">
        <v>18</v>
      </c>
      <c r="W109" t="s">
        <v>25</v>
      </c>
      <c r="X109" t="s">
        <v>23</v>
      </c>
      <c r="Y109" t="e">
        <f>+_xlfn.XLOOKUP(tbl_encuesta[[#This Row],[Considero a Limtek como un buen lugar para trabajar]],#REF!,#REF!)</f>
        <v>#REF!</v>
      </c>
      <c r="Z109" t="s">
        <v>322</v>
      </c>
      <c r="AA109" t="s">
        <v>323</v>
      </c>
      <c r="AB109" t="s">
        <v>72</v>
      </c>
      <c r="AC109" s="3" t="s">
        <v>3716</v>
      </c>
      <c r="AD109" s="3" t="s">
        <v>3716</v>
      </c>
      <c r="AE109" t="s">
        <v>29</v>
      </c>
    </row>
    <row r="110" spans="1:31" x14ac:dyDescent="0.25">
      <c r="A110">
        <v>119033877914</v>
      </c>
      <c r="B110">
        <v>462598545</v>
      </c>
      <c r="C110" s="1">
        <v>46031.42763888889</v>
      </c>
      <c r="D110" s="1">
        <v>46031.430115740739</v>
      </c>
      <c r="E110" t="s">
        <v>324</v>
      </c>
      <c r="F110" t="s">
        <v>23</v>
      </c>
      <c r="G110" t="e">
        <f>+_xlfn.XLOOKUP(tbl_encuesta[[#This Row],[Me siento a gusto con el ambiente de trabajo que se genera en mi equipo.]],#REF!,#REF!)</f>
        <v>#REF!</v>
      </c>
      <c r="H110" t="s">
        <v>22</v>
      </c>
      <c r="I110" t="e">
        <f>+_xlfn.XLOOKUP(tbl_encuesta[[#This Row],[Me siento motivado a dar lo mejor de mí y hacer un buen trabajo]],#REF!,#REF!)</f>
        <v>#REF!</v>
      </c>
      <c r="J110" t="s">
        <v>23</v>
      </c>
      <c r="K110" t="e">
        <f>+_xlfn.XLOOKUP(tbl_encuesta[[#This Row],[Mi supervisor o jefe directo me otorga el soporte que necesito para afrontar cualquier problema que afecte mi trabajo]],#REF!,#REF!)</f>
        <v>#REF!</v>
      </c>
      <c r="L110" t="s">
        <v>23</v>
      </c>
      <c r="M110" t="e">
        <f>+_xlfn.XLOOKUP(tbl_encuesta[[#This Row],[Mi supervisor o jefe directo fomenta que nos apoyemos entre todos en el equipo]],#REF!,#REF!)</f>
        <v>#REF!</v>
      </c>
      <c r="N110" t="s">
        <v>23</v>
      </c>
      <c r="O110" t="e">
        <f>+_xlfn.XLOOKUP(tbl_encuesta[[#This Row],[Siento que mi trabajo es reconocido por mi supervisor o jefe directo.]],#REF!,#REF!)</f>
        <v>#REF!</v>
      </c>
      <c r="P110" t="s">
        <v>67</v>
      </c>
      <c r="Q110" t="e">
        <f xml:space="preserve">
_xlfn.XLOOKUP(
tbl_encuesta[[#This Row],[Mi supervisor o jefe directo nos brinda charlas de 5 minutos y comunica las novedades relevantes a mi puesto de trabajo]],#REF!,#REF!
)</f>
        <v>#REF!</v>
      </c>
      <c r="S110" t="s">
        <v>18</v>
      </c>
      <c r="T110" t="s">
        <v>19</v>
      </c>
      <c r="W110" t="s">
        <v>25</v>
      </c>
      <c r="X110" t="s">
        <v>23</v>
      </c>
      <c r="Y110" t="e">
        <f>+_xlfn.XLOOKUP(tbl_encuesta[[#This Row],[Considero a Limtek como un buen lugar para trabajar]],#REF!,#REF!)</f>
        <v>#REF!</v>
      </c>
      <c r="Z110" t="s">
        <v>325</v>
      </c>
      <c r="AA110" t="s">
        <v>326</v>
      </c>
      <c r="AB110" t="s">
        <v>28</v>
      </c>
      <c r="AC110" t="s">
        <v>3744</v>
      </c>
      <c r="AD110" t="s">
        <v>3744</v>
      </c>
      <c r="AE110" t="s">
        <v>69</v>
      </c>
    </row>
    <row r="111" spans="1:31" x14ac:dyDescent="0.25">
      <c r="A111">
        <v>119033870536</v>
      </c>
      <c r="B111">
        <v>462598545</v>
      </c>
      <c r="C111" s="1">
        <v>46031.421817129631</v>
      </c>
      <c r="D111" s="1">
        <v>46031.423472222225</v>
      </c>
      <c r="E111" t="s">
        <v>327</v>
      </c>
      <c r="F111" t="s">
        <v>23</v>
      </c>
      <c r="G111" t="e">
        <f>+_xlfn.XLOOKUP(tbl_encuesta[[#This Row],[Me siento a gusto con el ambiente de trabajo que se genera en mi equipo.]],#REF!,#REF!)</f>
        <v>#REF!</v>
      </c>
      <c r="H111" t="s">
        <v>23</v>
      </c>
      <c r="I111" t="e">
        <f>+_xlfn.XLOOKUP(tbl_encuesta[[#This Row],[Me siento motivado a dar lo mejor de mí y hacer un buen trabajo]],#REF!,#REF!)</f>
        <v>#REF!</v>
      </c>
      <c r="J111" t="s">
        <v>23</v>
      </c>
      <c r="K111" t="e">
        <f>+_xlfn.XLOOKUP(tbl_encuesta[[#This Row],[Mi supervisor o jefe directo me otorga el soporte que necesito para afrontar cualquier problema que afecte mi trabajo]],#REF!,#REF!)</f>
        <v>#REF!</v>
      </c>
      <c r="L111" t="s">
        <v>23</v>
      </c>
      <c r="M111" t="e">
        <f>+_xlfn.XLOOKUP(tbl_encuesta[[#This Row],[Mi supervisor o jefe directo fomenta que nos apoyemos entre todos en el equipo]],#REF!,#REF!)</f>
        <v>#REF!</v>
      </c>
      <c r="N111" t="s">
        <v>22</v>
      </c>
      <c r="O111" t="e">
        <f>+_xlfn.XLOOKUP(tbl_encuesta[[#This Row],[Siento que mi trabajo es reconocido por mi supervisor o jefe directo.]],#REF!,#REF!)</f>
        <v>#REF!</v>
      </c>
      <c r="P111" t="s">
        <v>31</v>
      </c>
      <c r="Q111" t="e">
        <f xml:space="preserve">
_xlfn.XLOOKUP(
tbl_encuesta[[#This Row],[Mi supervisor o jefe directo nos brinda charlas de 5 minutos y comunica las novedades relevantes a mi puesto de trabajo]],#REF!,#REF!
)</f>
        <v>#REF!</v>
      </c>
      <c r="T111" t="s">
        <v>19</v>
      </c>
      <c r="W111" t="s">
        <v>25</v>
      </c>
      <c r="X111" t="s">
        <v>23</v>
      </c>
      <c r="Y111" t="e">
        <f>+_xlfn.XLOOKUP(tbl_encuesta[[#This Row],[Considero a Limtek como un buen lugar para trabajar]],#REF!,#REF!)</f>
        <v>#REF!</v>
      </c>
      <c r="Z111" t="s">
        <v>3744</v>
      </c>
      <c r="AA111" t="s">
        <v>44</v>
      </c>
      <c r="AB111" t="s">
        <v>28</v>
      </c>
      <c r="AC111" t="s">
        <v>3744</v>
      </c>
      <c r="AD111" t="s">
        <v>3744</v>
      </c>
      <c r="AE111" t="s">
        <v>69</v>
      </c>
    </row>
    <row r="112" spans="1:31" x14ac:dyDescent="0.25">
      <c r="A112">
        <v>119033856776</v>
      </c>
      <c r="B112">
        <v>462598545</v>
      </c>
      <c r="C112" s="1">
        <v>46031.396527777775</v>
      </c>
      <c r="D112" s="1">
        <v>46031.410682870373</v>
      </c>
      <c r="E112" t="s">
        <v>328</v>
      </c>
      <c r="F112" t="s">
        <v>23</v>
      </c>
      <c r="G112" t="e">
        <f>+_xlfn.XLOOKUP(tbl_encuesta[[#This Row],[Me siento a gusto con el ambiente de trabajo que se genera en mi equipo.]],#REF!,#REF!)</f>
        <v>#REF!</v>
      </c>
      <c r="H112" t="s">
        <v>23</v>
      </c>
      <c r="I112" t="e">
        <f>+_xlfn.XLOOKUP(tbl_encuesta[[#This Row],[Me siento motivado a dar lo mejor de mí y hacer un buen trabajo]],#REF!,#REF!)</f>
        <v>#REF!</v>
      </c>
      <c r="J112" t="s">
        <v>43</v>
      </c>
      <c r="K112" t="e">
        <f>+_xlfn.XLOOKUP(tbl_encuesta[[#This Row],[Mi supervisor o jefe directo me otorga el soporte que necesito para afrontar cualquier problema que afecte mi trabajo]],#REF!,#REF!)</f>
        <v>#REF!</v>
      </c>
      <c r="L112" t="s">
        <v>23</v>
      </c>
      <c r="M112" t="e">
        <f>+_xlfn.XLOOKUP(tbl_encuesta[[#This Row],[Mi supervisor o jefe directo fomenta que nos apoyemos entre todos en el equipo]],#REF!,#REF!)</f>
        <v>#REF!</v>
      </c>
      <c r="N112" t="s">
        <v>23</v>
      </c>
      <c r="O112" t="e">
        <f>+_xlfn.XLOOKUP(tbl_encuesta[[#This Row],[Siento que mi trabajo es reconocido por mi supervisor o jefe directo.]],#REF!,#REF!)</f>
        <v>#REF!</v>
      </c>
      <c r="P112" t="s">
        <v>67</v>
      </c>
      <c r="Q112" t="e">
        <f xml:space="preserve">
_xlfn.XLOOKUP(
tbl_encuesta[[#This Row],[Mi supervisor o jefe directo nos brinda charlas de 5 minutos y comunica las novedades relevantes a mi puesto de trabajo]],#REF!,#REF!
)</f>
        <v>#REF!</v>
      </c>
      <c r="R112" t="s">
        <v>17</v>
      </c>
      <c r="W112" t="s">
        <v>25</v>
      </c>
      <c r="X112" t="s">
        <v>23</v>
      </c>
      <c r="Y112" t="e">
        <f>+_xlfn.XLOOKUP(tbl_encuesta[[#This Row],[Considero a Limtek como un buen lugar para trabajar]],#REF!,#REF!)</f>
        <v>#REF!</v>
      </c>
      <c r="Z112" t="s">
        <v>329</v>
      </c>
      <c r="AA112" t="s">
        <v>330</v>
      </c>
      <c r="AB112" t="s">
        <v>28</v>
      </c>
      <c r="AC112" t="s">
        <v>3598</v>
      </c>
      <c r="AD112" s="3" t="s">
        <v>3601</v>
      </c>
      <c r="AE112" t="s">
        <v>29</v>
      </c>
    </row>
    <row r="113" spans="1:31" x14ac:dyDescent="0.25">
      <c r="A113">
        <v>119033855500</v>
      </c>
      <c r="B113">
        <v>462598545</v>
      </c>
      <c r="C113" s="1">
        <v>46031.40284722222</v>
      </c>
      <c r="D113" s="1">
        <v>46031.409502314818</v>
      </c>
      <c r="E113" t="s">
        <v>331</v>
      </c>
      <c r="F113" t="s">
        <v>23</v>
      </c>
      <c r="G113" t="e">
        <f>+_xlfn.XLOOKUP(tbl_encuesta[[#This Row],[Me siento a gusto con el ambiente de trabajo que se genera en mi equipo.]],#REF!,#REF!)</f>
        <v>#REF!</v>
      </c>
      <c r="H113" t="s">
        <v>23</v>
      </c>
      <c r="I113" t="e">
        <f>+_xlfn.XLOOKUP(tbl_encuesta[[#This Row],[Me siento motivado a dar lo mejor de mí y hacer un buen trabajo]],#REF!,#REF!)</f>
        <v>#REF!</v>
      </c>
      <c r="J113" t="s">
        <v>23</v>
      </c>
      <c r="K113" t="e">
        <f>+_xlfn.XLOOKUP(tbl_encuesta[[#This Row],[Mi supervisor o jefe directo me otorga el soporte que necesito para afrontar cualquier problema que afecte mi trabajo]],#REF!,#REF!)</f>
        <v>#REF!</v>
      </c>
      <c r="L113" t="s">
        <v>23</v>
      </c>
      <c r="M113" t="e">
        <f>+_xlfn.XLOOKUP(tbl_encuesta[[#This Row],[Mi supervisor o jefe directo fomenta que nos apoyemos entre todos en el equipo]],#REF!,#REF!)</f>
        <v>#REF!</v>
      </c>
      <c r="N113" t="s">
        <v>23</v>
      </c>
      <c r="O113" t="e">
        <f>+_xlfn.XLOOKUP(tbl_encuesta[[#This Row],[Siento que mi trabajo es reconocido por mi supervisor o jefe directo.]],#REF!,#REF!)</f>
        <v>#REF!</v>
      </c>
      <c r="P113" t="s">
        <v>31</v>
      </c>
      <c r="Q113" t="e">
        <f xml:space="preserve">
_xlfn.XLOOKUP(
tbl_encuesta[[#This Row],[Mi supervisor o jefe directo nos brinda charlas de 5 minutos y comunica las novedades relevantes a mi puesto de trabajo]],#REF!,#REF!
)</f>
        <v>#REF!</v>
      </c>
      <c r="R113" t="s">
        <v>17</v>
      </c>
      <c r="W113" t="s">
        <v>25</v>
      </c>
      <c r="X113" t="s">
        <v>23</v>
      </c>
      <c r="Y113" t="e">
        <f>+_xlfn.XLOOKUP(tbl_encuesta[[#This Row],[Considero a Limtek como un buen lugar para trabajar]],#REF!,#REF!)</f>
        <v>#REF!</v>
      </c>
      <c r="Z113" t="s">
        <v>332</v>
      </c>
      <c r="AA113" t="s">
        <v>333</v>
      </c>
      <c r="AB113" t="s">
        <v>28</v>
      </c>
      <c r="AC113" t="s">
        <v>3744</v>
      </c>
      <c r="AD113" t="s">
        <v>3744</v>
      </c>
      <c r="AE113" t="s">
        <v>34</v>
      </c>
    </row>
    <row r="114" spans="1:31" x14ac:dyDescent="0.25">
      <c r="A114">
        <v>119033852255</v>
      </c>
      <c r="B114">
        <v>462598545</v>
      </c>
      <c r="C114" s="1">
        <v>46031.403946759259</v>
      </c>
      <c r="D114" s="1">
        <v>46031.406319444446</v>
      </c>
      <c r="E114" t="s">
        <v>334</v>
      </c>
      <c r="F114" t="s">
        <v>22</v>
      </c>
      <c r="G114" t="e">
        <f>+_xlfn.XLOOKUP(tbl_encuesta[[#This Row],[Me siento a gusto con el ambiente de trabajo que se genera en mi equipo.]],#REF!,#REF!)</f>
        <v>#REF!</v>
      </c>
      <c r="H114" t="s">
        <v>23</v>
      </c>
      <c r="I114" t="e">
        <f>+_xlfn.XLOOKUP(tbl_encuesta[[#This Row],[Me siento motivado a dar lo mejor de mí y hacer un buen trabajo]],#REF!,#REF!)</f>
        <v>#REF!</v>
      </c>
      <c r="J114" t="s">
        <v>22</v>
      </c>
      <c r="K114" t="e">
        <f>+_xlfn.XLOOKUP(tbl_encuesta[[#This Row],[Mi supervisor o jefe directo me otorga el soporte que necesito para afrontar cualquier problema que afecte mi trabajo]],#REF!,#REF!)</f>
        <v>#REF!</v>
      </c>
      <c r="L114" t="s">
        <v>22</v>
      </c>
      <c r="M114" t="e">
        <f>+_xlfn.XLOOKUP(tbl_encuesta[[#This Row],[Mi supervisor o jefe directo fomenta que nos apoyemos entre todos en el equipo]],#REF!,#REF!)</f>
        <v>#REF!</v>
      </c>
      <c r="N114" t="s">
        <v>22</v>
      </c>
      <c r="O114" t="e">
        <f>+_xlfn.XLOOKUP(tbl_encuesta[[#This Row],[Siento que mi trabajo es reconocido por mi supervisor o jefe directo.]],#REF!,#REF!)</f>
        <v>#REF!</v>
      </c>
      <c r="P114" t="s">
        <v>175</v>
      </c>
      <c r="Q114" t="e">
        <f xml:space="preserve">
_xlfn.XLOOKUP(
tbl_encuesta[[#This Row],[Mi supervisor o jefe directo nos brinda charlas de 5 minutos y comunica las novedades relevantes a mi puesto de trabajo]],#REF!,#REF!
)</f>
        <v>#REF!</v>
      </c>
      <c r="R114" t="s">
        <v>17</v>
      </c>
      <c r="S114" t="s">
        <v>18</v>
      </c>
      <c r="W114" t="s">
        <v>25</v>
      </c>
      <c r="X114" t="s">
        <v>23</v>
      </c>
      <c r="Y114" t="e">
        <f>+_xlfn.XLOOKUP(tbl_encuesta[[#This Row],[Considero a Limtek como un buen lugar para trabajar]],#REF!,#REF!)</f>
        <v>#REF!</v>
      </c>
      <c r="Z114" t="s">
        <v>335</v>
      </c>
      <c r="AA114" t="s">
        <v>336</v>
      </c>
      <c r="AB114" t="s">
        <v>28</v>
      </c>
      <c r="AC114" s="3" t="s">
        <v>3736</v>
      </c>
      <c r="AD114" s="3" t="s">
        <v>3737</v>
      </c>
      <c r="AE114" t="s">
        <v>55</v>
      </c>
    </row>
    <row r="115" spans="1:31" x14ac:dyDescent="0.25">
      <c r="A115">
        <v>119033849991</v>
      </c>
      <c r="B115">
        <v>462598545</v>
      </c>
      <c r="C115" s="1">
        <v>46031.401203703703</v>
      </c>
      <c r="D115" s="1">
        <v>46031.404016203705</v>
      </c>
      <c r="E115" t="s">
        <v>337</v>
      </c>
      <c r="F115" t="s">
        <v>23</v>
      </c>
      <c r="G115" t="e">
        <f>+_xlfn.XLOOKUP(tbl_encuesta[[#This Row],[Me siento a gusto con el ambiente de trabajo que se genera en mi equipo.]],#REF!,#REF!)</f>
        <v>#REF!</v>
      </c>
      <c r="H115" t="s">
        <v>23</v>
      </c>
      <c r="I115" t="e">
        <f>+_xlfn.XLOOKUP(tbl_encuesta[[#This Row],[Me siento motivado a dar lo mejor de mí y hacer un buen trabajo]],#REF!,#REF!)</f>
        <v>#REF!</v>
      </c>
      <c r="J115" t="s">
        <v>23</v>
      </c>
      <c r="K115" t="e">
        <f>+_xlfn.XLOOKUP(tbl_encuesta[[#This Row],[Mi supervisor o jefe directo me otorga el soporte que necesito para afrontar cualquier problema que afecte mi trabajo]],#REF!,#REF!)</f>
        <v>#REF!</v>
      </c>
      <c r="L115" t="s">
        <v>23</v>
      </c>
      <c r="M115" t="e">
        <f>+_xlfn.XLOOKUP(tbl_encuesta[[#This Row],[Mi supervisor o jefe directo fomenta que nos apoyemos entre todos en el equipo]],#REF!,#REF!)</f>
        <v>#REF!</v>
      </c>
      <c r="N115" t="s">
        <v>23</v>
      </c>
      <c r="O115" t="e">
        <f>+_xlfn.XLOOKUP(tbl_encuesta[[#This Row],[Siento que mi trabajo es reconocido por mi supervisor o jefe directo.]],#REF!,#REF!)</f>
        <v>#REF!</v>
      </c>
      <c r="P115" t="s">
        <v>31</v>
      </c>
      <c r="Q115" t="e">
        <f xml:space="preserve">
_xlfn.XLOOKUP(
tbl_encuesta[[#This Row],[Mi supervisor o jefe directo nos brinda charlas de 5 minutos y comunica las novedades relevantes a mi puesto de trabajo]],#REF!,#REF!
)</f>
        <v>#REF!</v>
      </c>
      <c r="R115" t="s">
        <v>17</v>
      </c>
      <c r="W115" t="s">
        <v>25</v>
      </c>
      <c r="X115" t="s">
        <v>23</v>
      </c>
      <c r="Y115" t="e">
        <f>+_xlfn.XLOOKUP(tbl_encuesta[[#This Row],[Considero a Limtek como un buen lugar para trabajar]],#REF!,#REF!)</f>
        <v>#REF!</v>
      </c>
      <c r="Z115" t="s">
        <v>338</v>
      </c>
      <c r="AA115" t="s">
        <v>339</v>
      </c>
      <c r="AB115" t="s">
        <v>28</v>
      </c>
      <c r="AC115" s="3" t="s">
        <v>3705</v>
      </c>
      <c r="AD115" s="3" t="s">
        <v>3707</v>
      </c>
      <c r="AE115" t="s">
        <v>61</v>
      </c>
    </row>
    <row r="116" spans="1:31" x14ac:dyDescent="0.25">
      <c r="A116">
        <v>119033848581</v>
      </c>
      <c r="B116">
        <v>462598545</v>
      </c>
      <c r="C116" s="1">
        <v>46031.395138888889</v>
      </c>
      <c r="D116" s="1">
        <v>46031.402569444443</v>
      </c>
      <c r="E116" t="s">
        <v>340</v>
      </c>
      <c r="F116" t="s">
        <v>23</v>
      </c>
      <c r="G116" t="e">
        <f>+_xlfn.XLOOKUP(tbl_encuesta[[#This Row],[Me siento a gusto con el ambiente de trabajo que se genera en mi equipo.]],#REF!,#REF!)</f>
        <v>#REF!</v>
      </c>
      <c r="H116" t="s">
        <v>23</v>
      </c>
      <c r="I116" t="e">
        <f>+_xlfn.XLOOKUP(tbl_encuesta[[#This Row],[Me siento motivado a dar lo mejor de mí y hacer un buen trabajo]],#REF!,#REF!)</f>
        <v>#REF!</v>
      </c>
      <c r="J116" t="s">
        <v>23</v>
      </c>
      <c r="K116" t="e">
        <f>+_xlfn.XLOOKUP(tbl_encuesta[[#This Row],[Mi supervisor o jefe directo me otorga el soporte que necesito para afrontar cualquier problema que afecte mi trabajo]],#REF!,#REF!)</f>
        <v>#REF!</v>
      </c>
      <c r="L116" t="s">
        <v>23</v>
      </c>
      <c r="M116" t="e">
        <f>+_xlfn.XLOOKUP(tbl_encuesta[[#This Row],[Mi supervisor o jefe directo fomenta que nos apoyemos entre todos en el equipo]],#REF!,#REF!)</f>
        <v>#REF!</v>
      </c>
      <c r="N116" t="s">
        <v>23</v>
      </c>
      <c r="O116" t="e">
        <f>+_xlfn.XLOOKUP(tbl_encuesta[[#This Row],[Siento que mi trabajo es reconocido por mi supervisor o jefe directo.]],#REF!,#REF!)</f>
        <v>#REF!</v>
      </c>
      <c r="P116" t="s">
        <v>31</v>
      </c>
      <c r="Q116" t="e">
        <f xml:space="preserve">
_xlfn.XLOOKUP(
tbl_encuesta[[#This Row],[Mi supervisor o jefe directo nos brinda charlas de 5 minutos y comunica las novedades relevantes a mi puesto de trabajo]],#REF!,#REF!
)</f>
        <v>#REF!</v>
      </c>
      <c r="R116" t="s">
        <v>17</v>
      </c>
      <c r="W116" t="s">
        <v>25</v>
      </c>
      <c r="X116" t="s">
        <v>23</v>
      </c>
      <c r="Y116" t="e">
        <f>+_xlfn.XLOOKUP(tbl_encuesta[[#This Row],[Considero a Limtek como un buen lugar para trabajar]],#REF!,#REF!)</f>
        <v>#REF!</v>
      </c>
      <c r="Z116" t="s">
        <v>341</v>
      </c>
      <c r="AA116" t="s">
        <v>342</v>
      </c>
      <c r="AB116" t="s">
        <v>28</v>
      </c>
      <c r="AC116" s="3" t="s">
        <v>3767</v>
      </c>
      <c r="AD116" s="3" t="s">
        <v>3765</v>
      </c>
      <c r="AE116" t="s">
        <v>34</v>
      </c>
    </row>
    <row r="117" spans="1:31" x14ac:dyDescent="0.25">
      <c r="A117">
        <v>119033848339</v>
      </c>
      <c r="B117">
        <v>462598545</v>
      </c>
      <c r="C117" s="1">
        <v>46031.386365740742</v>
      </c>
      <c r="D117" s="1">
        <v>46031.402303240742</v>
      </c>
      <c r="E117" t="s">
        <v>343</v>
      </c>
      <c r="F117" t="s">
        <v>23</v>
      </c>
      <c r="G117" t="e">
        <f>+_xlfn.XLOOKUP(tbl_encuesta[[#This Row],[Me siento a gusto con el ambiente de trabajo que se genera en mi equipo.]],#REF!,#REF!)</f>
        <v>#REF!</v>
      </c>
      <c r="H117" t="s">
        <v>23</v>
      </c>
      <c r="I117" t="e">
        <f>+_xlfn.XLOOKUP(tbl_encuesta[[#This Row],[Me siento motivado a dar lo mejor de mí y hacer un buen trabajo]],#REF!,#REF!)</f>
        <v>#REF!</v>
      </c>
      <c r="J117" t="s">
        <v>23</v>
      </c>
      <c r="K117" t="e">
        <f>+_xlfn.XLOOKUP(tbl_encuesta[[#This Row],[Mi supervisor o jefe directo me otorga el soporte que necesito para afrontar cualquier problema que afecte mi trabajo]],#REF!,#REF!)</f>
        <v>#REF!</v>
      </c>
      <c r="L117" t="s">
        <v>23</v>
      </c>
      <c r="M117" t="e">
        <f>+_xlfn.XLOOKUP(tbl_encuesta[[#This Row],[Mi supervisor o jefe directo fomenta que nos apoyemos entre todos en el equipo]],#REF!,#REF!)</f>
        <v>#REF!</v>
      </c>
      <c r="N117" t="s">
        <v>23</v>
      </c>
      <c r="O117" t="e">
        <f>+_xlfn.XLOOKUP(tbl_encuesta[[#This Row],[Siento que mi trabajo es reconocido por mi supervisor o jefe directo.]],#REF!,#REF!)</f>
        <v>#REF!</v>
      </c>
      <c r="P117" t="s">
        <v>31</v>
      </c>
      <c r="Q117" t="e">
        <f xml:space="preserve">
_xlfn.XLOOKUP(
tbl_encuesta[[#This Row],[Mi supervisor o jefe directo nos brinda charlas de 5 minutos y comunica las novedades relevantes a mi puesto de trabajo]],#REF!,#REF!
)</f>
        <v>#REF!</v>
      </c>
      <c r="R117" t="s">
        <v>17</v>
      </c>
      <c r="T117" t="s">
        <v>19</v>
      </c>
      <c r="W117" t="s">
        <v>25</v>
      </c>
      <c r="X117" t="s">
        <v>23</v>
      </c>
      <c r="Y117" t="e">
        <f>+_xlfn.XLOOKUP(tbl_encuesta[[#This Row],[Considero a Limtek como un buen lugar para trabajar]],#REF!,#REF!)</f>
        <v>#REF!</v>
      </c>
      <c r="Z117" t="s">
        <v>344</v>
      </c>
      <c r="AA117" t="s">
        <v>345</v>
      </c>
      <c r="AB117" t="s">
        <v>28</v>
      </c>
      <c r="AC117" s="3" t="s">
        <v>3767</v>
      </c>
      <c r="AD117" s="3" t="s">
        <v>3765</v>
      </c>
      <c r="AE117" t="s">
        <v>29</v>
      </c>
    </row>
    <row r="118" spans="1:31" x14ac:dyDescent="0.25">
      <c r="A118">
        <v>119033843568</v>
      </c>
      <c r="B118">
        <v>462598545</v>
      </c>
      <c r="C118" s="1">
        <v>46031.393634259257</v>
      </c>
      <c r="D118" s="1">
        <v>46031.397534722222</v>
      </c>
      <c r="E118" t="s">
        <v>346</v>
      </c>
      <c r="F118" t="s">
        <v>22</v>
      </c>
      <c r="G118" t="e">
        <f>+_xlfn.XLOOKUP(tbl_encuesta[[#This Row],[Me siento a gusto con el ambiente de trabajo que se genera en mi equipo.]],#REF!,#REF!)</f>
        <v>#REF!</v>
      </c>
      <c r="H118" t="s">
        <v>23</v>
      </c>
      <c r="I118" t="e">
        <f>+_xlfn.XLOOKUP(tbl_encuesta[[#This Row],[Me siento motivado a dar lo mejor de mí y hacer un buen trabajo]],#REF!,#REF!)</f>
        <v>#REF!</v>
      </c>
      <c r="J118" t="s">
        <v>23</v>
      </c>
      <c r="K118" t="e">
        <f>+_xlfn.XLOOKUP(tbl_encuesta[[#This Row],[Mi supervisor o jefe directo me otorga el soporte que necesito para afrontar cualquier problema que afecte mi trabajo]],#REF!,#REF!)</f>
        <v>#REF!</v>
      </c>
      <c r="L118" t="s">
        <v>23</v>
      </c>
      <c r="M118" t="e">
        <f>+_xlfn.XLOOKUP(tbl_encuesta[[#This Row],[Mi supervisor o jefe directo fomenta que nos apoyemos entre todos en el equipo]],#REF!,#REF!)</f>
        <v>#REF!</v>
      </c>
      <c r="N118" t="s">
        <v>23</v>
      </c>
      <c r="O118" t="e">
        <f>+_xlfn.XLOOKUP(tbl_encuesta[[#This Row],[Siento que mi trabajo es reconocido por mi supervisor o jefe directo.]],#REF!,#REF!)</f>
        <v>#REF!</v>
      </c>
      <c r="P118" t="s">
        <v>31</v>
      </c>
      <c r="Q118" t="e">
        <f xml:space="preserve">
_xlfn.XLOOKUP(
tbl_encuesta[[#This Row],[Mi supervisor o jefe directo nos brinda charlas de 5 minutos y comunica las novedades relevantes a mi puesto de trabajo]],#REF!,#REF!
)</f>
        <v>#REF!</v>
      </c>
      <c r="V118" t="s">
        <v>347</v>
      </c>
      <c r="W118" t="s">
        <v>25</v>
      </c>
      <c r="X118" t="s">
        <v>23</v>
      </c>
      <c r="Y118" t="e">
        <f>+_xlfn.XLOOKUP(tbl_encuesta[[#This Row],[Considero a Limtek como un buen lugar para trabajar]],#REF!,#REF!)</f>
        <v>#REF!</v>
      </c>
      <c r="Z118" t="s">
        <v>348</v>
      </c>
      <c r="AA118" t="s">
        <v>349</v>
      </c>
      <c r="AB118" t="s">
        <v>28</v>
      </c>
      <c r="AC118" s="3" t="s">
        <v>3736</v>
      </c>
      <c r="AD118" s="3" t="s">
        <v>3737</v>
      </c>
      <c r="AE118" t="s">
        <v>61</v>
      </c>
    </row>
    <row r="119" spans="1:31" x14ac:dyDescent="0.25">
      <c r="A119">
        <v>119033843390</v>
      </c>
      <c r="B119">
        <v>462598545</v>
      </c>
      <c r="C119" s="1">
        <v>46031.395729166667</v>
      </c>
      <c r="D119" s="1">
        <v>46031.397361111114</v>
      </c>
      <c r="E119" t="s">
        <v>350</v>
      </c>
      <c r="F119" t="s">
        <v>97</v>
      </c>
      <c r="G119" t="e">
        <f>+_xlfn.XLOOKUP(tbl_encuesta[[#This Row],[Me siento a gusto con el ambiente de trabajo que se genera en mi equipo.]],#REF!,#REF!)</f>
        <v>#REF!</v>
      </c>
      <c r="H119" t="s">
        <v>97</v>
      </c>
      <c r="I119" t="e">
        <f>+_xlfn.XLOOKUP(tbl_encuesta[[#This Row],[Me siento motivado a dar lo mejor de mí y hacer un buen trabajo]],#REF!,#REF!)</f>
        <v>#REF!</v>
      </c>
      <c r="J119" t="s">
        <v>22</v>
      </c>
      <c r="K119" t="e">
        <f>+_xlfn.XLOOKUP(tbl_encuesta[[#This Row],[Mi supervisor o jefe directo me otorga el soporte que necesito para afrontar cualquier problema que afecte mi trabajo]],#REF!,#REF!)</f>
        <v>#REF!</v>
      </c>
      <c r="L119" t="s">
        <v>23</v>
      </c>
      <c r="M119" t="e">
        <f>+_xlfn.XLOOKUP(tbl_encuesta[[#This Row],[Mi supervisor o jefe directo fomenta que nos apoyemos entre todos en el equipo]],#REF!,#REF!)</f>
        <v>#REF!</v>
      </c>
      <c r="N119" t="s">
        <v>22</v>
      </c>
      <c r="O119" t="e">
        <f>+_xlfn.XLOOKUP(tbl_encuesta[[#This Row],[Siento que mi trabajo es reconocido por mi supervisor o jefe directo.]],#REF!,#REF!)</f>
        <v>#REF!</v>
      </c>
      <c r="P119" t="s">
        <v>67</v>
      </c>
      <c r="Q119" t="e">
        <f xml:space="preserve">
_xlfn.XLOOKUP(
tbl_encuesta[[#This Row],[Mi supervisor o jefe directo nos brinda charlas de 5 minutos y comunica las novedades relevantes a mi puesto de trabajo]],#REF!,#REF!
)</f>
        <v>#REF!</v>
      </c>
      <c r="R119" t="s">
        <v>17</v>
      </c>
      <c r="W119" t="s">
        <v>25</v>
      </c>
      <c r="X119" t="s">
        <v>23</v>
      </c>
      <c r="Y119" t="e">
        <f>+_xlfn.XLOOKUP(tbl_encuesta[[#This Row],[Considero a Limtek como un buen lugar para trabajar]],#REF!,#REF!)</f>
        <v>#REF!</v>
      </c>
      <c r="Z119" t="s">
        <v>351</v>
      </c>
      <c r="AA119" t="s">
        <v>352</v>
      </c>
      <c r="AB119" t="s">
        <v>72</v>
      </c>
      <c r="AC119" s="3" t="s">
        <v>3610</v>
      </c>
      <c r="AD119" s="3" t="s">
        <v>3624</v>
      </c>
      <c r="AE119" t="s">
        <v>55</v>
      </c>
    </row>
    <row r="120" spans="1:31" x14ac:dyDescent="0.25">
      <c r="A120">
        <v>119033841858</v>
      </c>
      <c r="B120">
        <v>462598545</v>
      </c>
      <c r="C120" s="1">
        <v>46031.394120370373</v>
      </c>
      <c r="D120" s="1">
        <v>46031.395856481482</v>
      </c>
      <c r="E120" t="s">
        <v>353</v>
      </c>
      <c r="F120" t="s">
        <v>23</v>
      </c>
      <c r="G120" t="e">
        <f>+_xlfn.XLOOKUP(tbl_encuesta[[#This Row],[Me siento a gusto con el ambiente de trabajo que se genera en mi equipo.]],#REF!,#REF!)</f>
        <v>#REF!</v>
      </c>
      <c r="H120" t="s">
        <v>23</v>
      </c>
      <c r="I120" t="e">
        <f>+_xlfn.XLOOKUP(tbl_encuesta[[#This Row],[Me siento motivado a dar lo mejor de mí y hacer un buen trabajo]],#REF!,#REF!)</f>
        <v>#REF!</v>
      </c>
      <c r="J120" t="s">
        <v>22</v>
      </c>
      <c r="K120" t="e">
        <f>+_xlfn.XLOOKUP(tbl_encuesta[[#This Row],[Mi supervisor o jefe directo me otorga el soporte que necesito para afrontar cualquier problema que afecte mi trabajo]],#REF!,#REF!)</f>
        <v>#REF!</v>
      </c>
      <c r="L120" t="s">
        <v>23</v>
      </c>
      <c r="M120" t="e">
        <f>+_xlfn.XLOOKUP(tbl_encuesta[[#This Row],[Mi supervisor o jefe directo fomenta que nos apoyemos entre todos en el equipo]],#REF!,#REF!)</f>
        <v>#REF!</v>
      </c>
      <c r="N120" t="s">
        <v>23</v>
      </c>
      <c r="O120" t="e">
        <f>+_xlfn.XLOOKUP(tbl_encuesta[[#This Row],[Siento que mi trabajo es reconocido por mi supervisor o jefe directo.]],#REF!,#REF!)</f>
        <v>#REF!</v>
      </c>
      <c r="P120" t="s">
        <v>67</v>
      </c>
      <c r="Q120" t="e">
        <f xml:space="preserve">
_xlfn.XLOOKUP(
tbl_encuesta[[#This Row],[Mi supervisor o jefe directo nos brinda charlas de 5 minutos y comunica las novedades relevantes a mi puesto de trabajo]],#REF!,#REF!
)</f>
        <v>#REF!</v>
      </c>
      <c r="R120" t="s">
        <v>17</v>
      </c>
      <c r="S120" t="s">
        <v>18</v>
      </c>
      <c r="W120" t="s">
        <v>25</v>
      </c>
      <c r="X120" t="s">
        <v>23</v>
      </c>
      <c r="Y120" t="e">
        <f>+_xlfn.XLOOKUP(tbl_encuesta[[#This Row],[Considero a Limtek como un buen lugar para trabajar]],#REF!,#REF!)</f>
        <v>#REF!</v>
      </c>
      <c r="Z120" t="s">
        <v>354</v>
      </c>
      <c r="AA120" t="s">
        <v>355</v>
      </c>
      <c r="AB120" t="s">
        <v>28</v>
      </c>
      <c r="AC120" s="3" t="s">
        <v>3736</v>
      </c>
      <c r="AD120" s="3" t="s">
        <v>3737</v>
      </c>
      <c r="AE120" t="s">
        <v>34</v>
      </c>
    </row>
    <row r="121" spans="1:31" x14ac:dyDescent="0.25">
      <c r="A121">
        <v>119033841657</v>
      </c>
      <c r="B121">
        <v>462598545</v>
      </c>
      <c r="C121" s="1">
        <v>46031.389675925922</v>
      </c>
      <c r="D121" s="1">
        <v>46031.39565972222</v>
      </c>
      <c r="E121" t="s">
        <v>331</v>
      </c>
      <c r="F121" t="s">
        <v>22</v>
      </c>
      <c r="G121" t="e">
        <f>+_xlfn.XLOOKUP(tbl_encuesta[[#This Row],[Me siento a gusto con el ambiente de trabajo que se genera en mi equipo.]],#REF!,#REF!)</f>
        <v>#REF!</v>
      </c>
      <c r="H121" t="s">
        <v>23</v>
      </c>
      <c r="I121" t="e">
        <f>+_xlfn.XLOOKUP(tbl_encuesta[[#This Row],[Me siento motivado a dar lo mejor de mí y hacer un buen trabajo]],#REF!,#REF!)</f>
        <v>#REF!</v>
      </c>
      <c r="J121" t="s">
        <v>22</v>
      </c>
      <c r="K121" t="e">
        <f>+_xlfn.XLOOKUP(tbl_encuesta[[#This Row],[Mi supervisor o jefe directo me otorga el soporte que necesito para afrontar cualquier problema que afecte mi trabajo]],#REF!,#REF!)</f>
        <v>#REF!</v>
      </c>
      <c r="L121" t="s">
        <v>22</v>
      </c>
      <c r="M121" t="e">
        <f>+_xlfn.XLOOKUP(tbl_encuesta[[#This Row],[Mi supervisor o jefe directo fomenta que nos apoyemos entre todos en el equipo]],#REF!,#REF!)</f>
        <v>#REF!</v>
      </c>
      <c r="N121" t="s">
        <v>22</v>
      </c>
      <c r="O121" t="e">
        <f>+_xlfn.XLOOKUP(tbl_encuesta[[#This Row],[Siento que mi trabajo es reconocido por mi supervisor o jefe directo.]],#REF!,#REF!)</f>
        <v>#REF!</v>
      </c>
      <c r="P121" t="s">
        <v>31</v>
      </c>
      <c r="Q121" t="e">
        <f xml:space="preserve">
_xlfn.XLOOKUP(
tbl_encuesta[[#This Row],[Mi supervisor o jefe directo nos brinda charlas de 5 minutos y comunica las novedades relevantes a mi puesto de trabajo]],#REF!,#REF!
)</f>
        <v>#REF!</v>
      </c>
      <c r="V121" t="s">
        <v>356</v>
      </c>
      <c r="W121" t="s">
        <v>25</v>
      </c>
      <c r="X121" t="s">
        <v>23</v>
      </c>
      <c r="Y121" t="e">
        <f>+_xlfn.XLOOKUP(tbl_encuesta[[#This Row],[Considero a Limtek como un buen lugar para trabajar]],#REF!,#REF!)</f>
        <v>#REF!</v>
      </c>
      <c r="Z121" t="s">
        <v>357</v>
      </c>
      <c r="AA121" t="s">
        <v>358</v>
      </c>
      <c r="AB121" t="s">
        <v>28</v>
      </c>
      <c r="AC121" s="3" t="s">
        <v>3598</v>
      </c>
      <c r="AD121" s="3" t="s">
        <v>3601</v>
      </c>
      <c r="AE121" t="s">
        <v>34</v>
      </c>
    </row>
    <row r="122" spans="1:31" x14ac:dyDescent="0.25">
      <c r="A122">
        <v>119033800175</v>
      </c>
      <c r="B122">
        <v>462598545</v>
      </c>
      <c r="C122" s="1">
        <v>46031.349120370367</v>
      </c>
      <c r="D122" s="1">
        <v>46031.351261574076</v>
      </c>
      <c r="E122" t="s">
        <v>360</v>
      </c>
      <c r="F122" t="s">
        <v>23</v>
      </c>
      <c r="G122" t="e">
        <f>+_xlfn.XLOOKUP(tbl_encuesta[[#This Row],[Me siento a gusto con el ambiente de trabajo que se genera en mi equipo.]],#REF!,#REF!)</f>
        <v>#REF!</v>
      </c>
      <c r="H122" t="s">
        <v>23</v>
      </c>
      <c r="I122" t="e">
        <f>+_xlfn.XLOOKUP(tbl_encuesta[[#This Row],[Me siento motivado a dar lo mejor de mí y hacer un buen trabajo]],#REF!,#REF!)</f>
        <v>#REF!</v>
      </c>
      <c r="J122" t="s">
        <v>23</v>
      </c>
      <c r="K122" t="e">
        <f>+_xlfn.XLOOKUP(tbl_encuesta[[#This Row],[Mi supervisor o jefe directo me otorga el soporte que necesito para afrontar cualquier problema que afecte mi trabajo]],#REF!,#REF!)</f>
        <v>#REF!</v>
      </c>
      <c r="L122" t="s">
        <v>23</v>
      </c>
      <c r="M122" t="e">
        <f>+_xlfn.XLOOKUP(tbl_encuesta[[#This Row],[Mi supervisor o jefe directo fomenta que nos apoyemos entre todos en el equipo]],#REF!,#REF!)</f>
        <v>#REF!</v>
      </c>
      <c r="N122" t="s">
        <v>23</v>
      </c>
      <c r="O122" t="e">
        <f>+_xlfn.XLOOKUP(tbl_encuesta[[#This Row],[Siento que mi trabajo es reconocido por mi supervisor o jefe directo.]],#REF!,#REF!)</f>
        <v>#REF!</v>
      </c>
      <c r="P122" t="s">
        <v>31</v>
      </c>
      <c r="Q122" t="e">
        <f xml:space="preserve">
_xlfn.XLOOKUP(
tbl_encuesta[[#This Row],[Mi supervisor o jefe directo nos brinda charlas de 5 minutos y comunica las novedades relevantes a mi puesto de trabajo]],#REF!,#REF!
)</f>
        <v>#REF!</v>
      </c>
      <c r="S122" t="s">
        <v>18</v>
      </c>
      <c r="W122" t="s">
        <v>25</v>
      </c>
      <c r="X122" t="s">
        <v>23</v>
      </c>
      <c r="Y122" t="e">
        <f>+_xlfn.XLOOKUP(tbl_encuesta[[#This Row],[Considero a Limtek como un buen lugar para trabajar]],#REF!,#REF!)</f>
        <v>#REF!</v>
      </c>
      <c r="Z122" t="s">
        <v>361</v>
      </c>
      <c r="AA122" t="s">
        <v>362</v>
      </c>
      <c r="AB122" t="s">
        <v>28</v>
      </c>
      <c r="AC122" t="s">
        <v>3598</v>
      </c>
      <c r="AD122" s="3" t="s">
        <v>3602</v>
      </c>
      <c r="AE122" t="s">
        <v>69</v>
      </c>
    </row>
    <row r="123" spans="1:31" x14ac:dyDescent="0.25">
      <c r="A123">
        <v>119033796899</v>
      </c>
      <c r="B123">
        <v>462598545</v>
      </c>
      <c r="C123" s="1">
        <v>46031.338414351849</v>
      </c>
      <c r="D123" s="1">
        <v>46031.347534722219</v>
      </c>
      <c r="E123" t="s">
        <v>363</v>
      </c>
      <c r="F123" t="s">
        <v>23</v>
      </c>
      <c r="G123" t="e">
        <f>+_xlfn.XLOOKUP(tbl_encuesta[[#This Row],[Me siento a gusto con el ambiente de trabajo que se genera en mi equipo.]],#REF!,#REF!)</f>
        <v>#REF!</v>
      </c>
      <c r="H123" t="s">
        <v>23</v>
      </c>
      <c r="I123" t="e">
        <f>+_xlfn.XLOOKUP(tbl_encuesta[[#This Row],[Me siento motivado a dar lo mejor de mí y hacer un buen trabajo]],#REF!,#REF!)</f>
        <v>#REF!</v>
      </c>
      <c r="J123" t="s">
        <v>22</v>
      </c>
      <c r="K123" t="e">
        <f>+_xlfn.XLOOKUP(tbl_encuesta[[#This Row],[Mi supervisor o jefe directo me otorga el soporte que necesito para afrontar cualquier problema que afecte mi trabajo]],#REF!,#REF!)</f>
        <v>#REF!</v>
      </c>
      <c r="L123" t="s">
        <v>22</v>
      </c>
      <c r="M123" t="e">
        <f>+_xlfn.XLOOKUP(tbl_encuesta[[#This Row],[Mi supervisor o jefe directo fomenta que nos apoyemos entre todos en el equipo]],#REF!,#REF!)</f>
        <v>#REF!</v>
      </c>
      <c r="N123" t="s">
        <v>22</v>
      </c>
      <c r="O123" t="e">
        <f>+_xlfn.XLOOKUP(tbl_encuesta[[#This Row],[Siento que mi trabajo es reconocido por mi supervisor o jefe directo.]],#REF!,#REF!)</f>
        <v>#REF!</v>
      </c>
      <c r="P123" t="s">
        <v>67</v>
      </c>
      <c r="Q123" t="e">
        <f xml:space="preserve">
_xlfn.XLOOKUP(
tbl_encuesta[[#This Row],[Mi supervisor o jefe directo nos brinda charlas de 5 minutos y comunica las novedades relevantes a mi puesto de trabajo]],#REF!,#REF!
)</f>
        <v>#REF!</v>
      </c>
      <c r="R123" t="s">
        <v>17</v>
      </c>
      <c r="S123" t="s">
        <v>18</v>
      </c>
      <c r="W123" t="s">
        <v>25</v>
      </c>
      <c r="X123" t="s">
        <v>22</v>
      </c>
      <c r="Y123" t="e">
        <f>+_xlfn.XLOOKUP(tbl_encuesta[[#This Row],[Considero a Limtek como un buen lugar para trabajar]],#REF!,#REF!)</f>
        <v>#REF!</v>
      </c>
      <c r="Z123" t="s">
        <v>304</v>
      </c>
      <c r="AA123" t="s">
        <v>364</v>
      </c>
      <c r="AB123" t="s">
        <v>28</v>
      </c>
      <c r="AC123" t="s">
        <v>3598</v>
      </c>
      <c r="AD123" s="3" t="s">
        <v>3602</v>
      </c>
      <c r="AE123" t="s">
        <v>34</v>
      </c>
    </row>
    <row r="124" spans="1:31" x14ac:dyDescent="0.25">
      <c r="A124">
        <v>119033746611</v>
      </c>
      <c r="B124">
        <v>462598545</v>
      </c>
      <c r="C124" s="1">
        <v>46031.282222222224</v>
      </c>
      <c r="D124" s="1">
        <v>46031.285729166666</v>
      </c>
      <c r="E124" t="s">
        <v>365</v>
      </c>
      <c r="F124" t="s">
        <v>23</v>
      </c>
      <c r="G124" t="e">
        <f>+_xlfn.XLOOKUP(tbl_encuesta[[#This Row],[Me siento a gusto con el ambiente de trabajo que se genera en mi equipo.]],#REF!,#REF!)</f>
        <v>#REF!</v>
      </c>
      <c r="H124" t="s">
        <v>23</v>
      </c>
      <c r="I124" t="e">
        <f>+_xlfn.XLOOKUP(tbl_encuesta[[#This Row],[Me siento motivado a dar lo mejor de mí y hacer un buen trabajo]],#REF!,#REF!)</f>
        <v>#REF!</v>
      </c>
      <c r="J124" t="s">
        <v>23</v>
      </c>
      <c r="K124" t="e">
        <f>+_xlfn.XLOOKUP(tbl_encuesta[[#This Row],[Mi supervisor o jefe directo me otorga el soporte que necesito para afrontar cualquier problema que afecte mi trabajo]],#REF!,#REF!)</f>
        <v>#REF!</v>
      </c>
      <c r="L124" t="s">
        <v>23</v>
      </c>
      <c r="M124" t="e">
        <f>+_xlfn.XLOOKUP(tbl_encuesta[[#This Row],[Mi supervisor o jefe directo fomenta que nos apoyemos entre todos en el equipo]],#REF!,#REF!)</f>
        <v>#REF!</v>
      </c>
      <c r="N124" t="s">
        <v>23</v>
      </c>
      <c r="O124" t="e">
        <f>+_xlfn.XLOOKUP(tbl_encuesta[[#This Row],[Siento que mi trabajo es reconocido por mi supervisor o jefe directo.]],#REF!,#REF!)</f>
        <v>#REF!</v>
      </c>
      <c r="P124" t="s">
        <v>31</v>
      </c>
      <c r="Q124" t="e">
        <f xml:space="preserve">
_xlfn.XLOOKUP(
tbl_encuesta[[#This Row],[Mi supervisor o jefe directo nos brinda charlas de 5 minutos y comunica las novedades relevantes a mi puesto de trabajo]],#REF!,#REF!
)</f>
        <v>#REF!</v>
      </c>
      <c r="R124" t="s">
        <v>17</v>
      </c>
      <c r="S124" t="s">
        <v>18</v>
      </c>
      <c r="W124" t="s">
        <v>25</v>
      </c>
      <c r="X124" t="s">
        <v>23</v>
      </c>
      <c r="Y124" t="e">
        <f>+_xlfn.XLOOKUP(tbl_encuesta[[#This Row],[Considero a Limtek como un buen lugar para trabajar]],#REF!,#REF!)</f>
        <v>#REF!</v>
      </c>
      <c r="Z124" t="s">
        <v>366</v>
      </c>
      <c r="AA124" t="s">
        <v>367</v>
      </c>
      <c r="AB124" t="s">
        <v>28</v>
      </c>
      <c r="AC124" s="3" t="s">
        <v>3764</v>
      </c>
      <c r="AD124" s="3" t="s">
        <v>3765</v>
      </c>
      <c r="AE124" t="s">
        <v>61</v>
      </c>
    </row>
    <row r="125" spans="1:31" x14ac:dyDescent="0.25">
      <c r="A125">
        <v>119033741022</v>
      </c>
      <c r="B125">
        <v>462598545</v>
      </c>
      <c r="C125" s="1">
        <v>46031.274363425924</v>
      </c>
      <c r="D125" s="1">
        <v>46031.27721064815</v>
      </c>
      <c r="E125" t="s">
        <v>368</v>
      </c>
      <c r="F125" t="s">
        <v>23</v>
      </c>
      <c r="G125" t="e">
        <f>+_xlfn.XLOOKUP(tbl_encuesta[[#This Row],[Me siento a gusto con el ambiente de trabajo que se genera en mi equipo.]],#REF!,#REF!)</f>
        <v>#REF!</v>
      </c>
      <c r="H125" t="s">
        <v>23</v>
      </c>
      <c r="I125" t="e">
        <f>+_xlfn.XLOOKUP(tbl_encuesta[[#This Row],[Me siento motivado a dar lo mejor de mí y hacer un buen trabajo]],#REF!,#REF!)</f>
        <v>#REF!</v>
      </c>
      <c r="J125" t="s">
        <v>23</v>
      </c>
      <c r="K125" t="e">
        <f>+_xlfn.XLOOKUP(tbl_encuesta[[#This Row],[Mi supervisor o jefe directo me otorga el soporte que necesito para afrontar cualquier problema que afecte mi trabajo]],#REF!,#REF!)</f>
        <v>#REF!</v>
      </c>
      <c r="L125" t="s">
        <v>23</v>
      </c>
      <c r="M125" t="e">
        <f>+_xlfn.XLOOKUP(tbl_encuesta[[#This Row],[Mi supervisor o jefe directo fomenta que nos apoyemos entre todos en el equipo]],#REF!,#REF!)</f>
        <v>#REF!</v>
      </c>
      <c r="N125" t="s">
        <v>23</v>
      </c>
      <c r="O125" t="e">
        <f>+_xlfn.XLOOKUP(tbl_encuesta[[#This Row],[Siento que mi trabajo es reconocido por mi supervisor o jefe directo.]],#REF!,#REF!)</f>
        <v>#REF!</v>
      </c>
      <c r="P125" t="s">
        <v>31</v>
      </c>
      <c r="Q125" t="e">
        <f xml:space="preserve">
_xlfn.XLOOKUP(
tbl_encuesta[[#This Row],[Mi supervisor o jefe directo nos brinda charlas de 5 minutos y comunica las novedades relevantes a mi puesto de trabajo]],#REF!,#REF!
)</f>
        <v>#REF!</v>
      </c>
      <c r="U125" t="s">
        <v>20</v>
      </c>
      <c r="W125" t="s">
        <v>25</v>
      </c>
      <c r="X125" t="s">
        <v>23</v>
      </c>
      <c r="Y125" t="e">
        <f>+_xlfn.XLOOKUP(tbl_encuesta[[#This Row],[Considero a Limtek como un buen lugar para trabajar]],#REF!,#REF!)</f>
        <v>#REF!</v>
      </c>
      <c r="Z125" t="s">
        <v>369</v>
      </c>
      <c r="AA125" t="s">
        <v>370</v>
      </c>
      <c r="AB125" t="s">
        <v>28</v>
      </c>
      <c r="AC125" t="s">
        <v>3598</v>
      </c>
      <c r="AD125" s="3" t="s">
        <v>3602</v>
      </c>
      <c r="AE125" t="s">
        <v>69</v>
      </c>
    </row>
    <row r="126" spans="1:31" x14ac:dyDescent="0.25">
      <c r="A126">
        <v>119033737559</v>
      </c>
      <c r="B126">
        <v>462598545</v>
      </c>
      <c r="C126" s="1">
        <v>46031.267453703702</v>
      </c>
      <c r="D126" s="1">
        <v>46031.271585648145</v>
      </c>
      <c r="E126" t="s">
        <v>371</v>
      </c>
      <c r="F126" t="s">
        <v>22</v>
      </c>
      <c r="G126" t="e">
        <f>+_xlfn.XLOOKUP(tbl_encuesta[[#This Row],[Me siento a gusto con el ambiente de trabajo que se genera en mi equipo.]],#REF!,#REF!)</f>
        <v>#REF!</v>
      </c>
      <c r="H126" t="s">
        <v>23</v>
      </c>
      <c r="I126" t="e">
        <f>+_xlfn.XLOOKUP(tbl_encuesta[[#This Row],[Me siento motivado a dar lo mejor de mí y hacer un buen trabajo]],#REF!,#REF!)</f>
        <v>#REF!</v>
      </c>
      <c r="J126" t="s">
        <v>22</v>
      </c>
      <c r="K126" t="e">
        <f>+_xlfn.XLOOKUP(tbl_encuesta[[#This Row],[Mi supervisor o jefe directo me otorga el soporte que necesito para afrontar cualquier problema que afecte mi trabajo]],#REF!,#REF!)</f>
        <v>#REF!</v>
      </c>
      <c r="L126" t="s">
        <v>22</v>
      </c>
      <c r="M126" t="e">
        <f>+_xlfn.XLOOKUP(tbl_encuesta[[#This Row],[Mi supervisor o jefe directo fomenta que nos apoyemos entre todos en el equipo]],#REF!,#REF!)</f>
        <v>#REF!</v>
      </c>
      <c r="N126" t="s">
        <v>22</v>
      </c>
      <c r="O126" t="e">
        <f>+_xlfn.XLOOKUP(tbl_encuesta[[#This Row],[Siento que mi trabajo es reconocido por mi supervisor o jefe directo.]],#REF!,#REF!)</f>
        <v>#REF!</v>
      </c>
      <c r="P126" t="s">
        <v>67</v>
      </c>
      <c r="Q126" t="e">
        <f xml:space="preserve">
_xlfn.XLOOKUP(
tbl_encuesta[[#This Row],[Mi supervisor o jefe directo nos brinda charlas de 5 minutos y comunica las novedades relevantes a mi puesto de trabajo]],#REF!,#REF!
)</f>
        <v>#REF!</v>
      </c>
      <c r="R126" t="s">
        <v>17</v>
      </c>
      <c r="T126" t="s">
        <v>19</v>
      </c>
      <c r="W126" t="s">
        <v>25</v>
      </c>
      <c r="X126" t="s">
        <v>23</v>
      </c>
      <c r="Y126" t="e">
        <f>+_xlfn.XLOOKUP(tbl_encuesta[[#This Row],[Considero a Limtek como un buen lugar para trabajar]],#REF!,#REF!)</f>
        <v>#REF!</v>
      </c>
      <c r="Z126" t="s">
        <v>372</v>
      </c>
      <c r="AA126" t="s">
        <v>373</v>
      </c>
      <c r="AB126" t="s">
        <v>28</v>
      </c>
      <c r="AC126" t="s">
        <v>3598</v>
      </c>
      <c r="AD126" s="3" t="s">
        <v>3601</v>
      </c>
      <c r="AE126" t="s">
        <v>69</v>
      </c>
    </row>
    <row r="127" spans="1:31" x14ac:dyDescent="0.25">
      <c r="A127">
        <v>119033721050</v>
      </c>
      <c r="B127">
        <v>462598545</v>
      </c>
      <c r="C127" s="1">
        <v>46031.243055555555</v>
      </c>
      <c r="D127" s="1">
        <v>46031.244502314818</v>
      </c>
      <c r="E127" t="s">
        <v>374</v>
      </c>
      <c r="F127" t="s">
        <v>22</v>
      </c>
      <c r="G127" t="e">
        <f>+_xlfn.XLOOKUP(tbl_encuesta[[#This Row],[Me siento a gusto con el ambiente de trabajo que se genera en mi equipo.]],#REF!,#REF!)</f>
        <v>#REF!</v>
      </c>
      <c r="H127" t="s">
        <v>22</v>
      </c>
      <c r="I127" t="e">
        <f>+_xlfn.XLOOKUP(tbl_encuesta[[#This Row],[Me siento motivado a dar lo mejor de mí y hacer un buen trabajo]],#REF!,#REF!)</f>
        <v>#REF!</v>
      </c>
      <c r="J127" t="s">
        <v>23</v>
      </c>
      <c r="K127" t="e">
        <f>+_xlfn.XLOOKUP(tbl_encuesta[[#This Row],[Mi supervisor o jefe directo me otorga el soporte que necesito para afrontar cualquier problema que afecte mi trabajo]],#REF!,#REF!)</f>
        <v>#REF!</v>
      </c>
      <c r="L127" t="s">
        <v>23</v>
      </c>
      <c r="M127" t="e">
        <f>+_xlfn.XLOOKUP(tbl_encuesta[[#This Row],[Mi supervisor o jefe directo fomenta que nos apoyemos entre todos en el equipo]],#REF!,#REF!)</f>
        <v>#REF!</v>
      </c>
      <c r="N127" t="s">
        <v>22</v>
      </c>
      <c r="O127" t="e">
        <f>+_xlfn.XLOOKUP(tbl_encuesta[[#This Row],[Siento que mi trabajo es reconocido por mi supervisor o jefe directo.]],#REF!,#REF!)</f>
        <v>#REF!</v>
      </c>
      <c r="P127" t="s">
        <v>31</v>
      </c>
      <c r="Q127" t="e">
        <f xml:space="preserve">
_xlfn.XLOOKUP(
tbl_encuesta[[#This Row],[Mi supervisor o jefe directo nos brinda charlas de 5 minutos y comunica las novedades relevantes a mi puesto de trabajo]],#REF!,#REF!
)</f>
        <v>#REF!</v>
      </c>
      <c r="S127" t="s">
        <v>18</v>
      </c>
      <c r="W127" t="s">
        <v>25</v>
      </c>
      <c r="X127" t="s">
        <v>23</v>
      </c>
      <c r="Y127" t="e">
        <f>+_xlfn.XLOOKUP(tbl_encuesta[[#This Row],[Considero a Limtek como un buen lugar para trabajar]],#REF!,#REF!)</f>
        <v>#REF!</v>
      </c>
      <c r="Z127" t="s">
        <v>375</v>
      </c>
      <c r="AA127" t="s">
        <v>376</v>
      </c>
      <c r="AB127" t="s">
        <v>28</v>
      </c>
      <c r="AC127" s="3" t="s">
        <v>3736</v>
      </c>
      <c r="AD127" s="3" t="s">
        <v>3737</v>
      </c>
      <c r="AE127" t="s">
        <v>34</v>
      </c>
    </row>
    <row r="128" spans="1:31" x14ac:dyDescent="0.25">
      <c r="A128">
        <v>119033630880</v>
      </c>
      <c r="B128">
        <v>462598545</v>
      </c>
      <c r="C128" s="1">
        <v>46031.035532407404</v>
      </c>
      <c r="D128" s="1">
        <v>46031.05128472222</v>
      </c>
      <c r="E128" t="s">
        <v>377</v>
      </c>
      <c r="F128" t="s">
        <v>23</v>
      </c>
      <c r="G128" t="e">
        <f>+_xlfn.XLOOKUP(tbl_encuesta[[#This Row],[Me siento a gusto con el ambiente de trabajo que se genera en mi equipo.]],#REF!,#REF!)</f>
        <v>#REF!</v>
      </c>
      <c r="H128" t="s">
        <v>23</v>
      </c>
      <c r="I128" t="e">
        <f>+_xlfn.XLOOKUP(tbl_encuesta[[#This Row],[Me siento motivado a dar lo mejor de mí y hacer un buen trabajo]],#REF!,#REF!)</f>
        <v>#REF!</v>
      </c>
      <c r="J128" t="s">
        <v>23</v>
      </c>
      <c r="K128" t="e">
        <f>+_xlfn.XLOOKUP(tbl_encuesta[[#This Row],[Mi supervisor o jefe directo me otorga el soporte que necesito para afrontar cualquier problema que afecte mi trabajo]],#REF!,#REF!)</f>
        <v>#REF!</v>
      </c>
      <c r="L128" t="s">
        <v>23</v>
      </c>
      <c r="M128" t="e">
        <f>+_xlfn.XLOOKUP(tbl_encuesta[[#This Row],[Mi supervisor o jefe directo fomenta que nos apoyemos entre todos en el equipo]],#REF!,#REF!)</f>
        <v>#REF!</v>
      </c>
      <c r="N128" t="s">
        <v>22</v>
      </c>
      <c r="O128" t="e">
        <f>+_xlfn.XLOOKUP(tbl_encuesta[[#This Row],[Siento que mi trabajo es reconocido por mi supervisor o jefe directo.]],#REF!,#REF!)</f>
        <v>#REF!</v>
      </c>
      <c r="P128" t="s">
        <v>67</v>
      </c>
      <c r="Q128" t="e">
        <f xml:space="preserve">
_xlfn.XLOOKUP(
tbl_encuesta[[#This Row],[Mi supervisor o jefe directo nos brinda charlas de 5 minutos y comunica las novedades relevantes a mi puesto de trabajo]],#REF!,#REF!
)</f>
        <v>#REF!</v>
      </c>
      <c r="R128" t="s">
        <v>17</v>
      </c>
      <c r="T128" t="s">
        <v>19</v>
      </c>
      <c r="W128" t="s">
        <v>25</v>
      </c>
      <c r="X128" t="s">
        <v>23</v>
      </c>
      <c r="Y128" t="e">
        <f>+_xlfn.XLOOKUP(tbl_encuesta[[#This Row],[Considero a Limtek como un buen lugar para trabajar]],#REF!,#REF!)</f>
        <v>#REF!</v>
      </c>
      <c r="Z128" t="s">
        <v>378</v>
      </c>
      <c r="AA128" t="s">
        <v>379</v>
      </c>
      <c r="AB128" t="s">
        <v>28</v>
      </c>
      <c r="AC128" t="s">
        <v>3744</v>
      </c>
      <c r="AD128" t="s">
        <v>3744</v>
      </c>
      <c r="AE128" t="s">
        <v>34</v>
      </c>
    </row>
    <row r="129" spans="1:31" x14ac:dyDescent="0.25">
      <c r="A129">
        <v>119033606237</v>
      </c>
      <c r="B129">
        <v>462598545</v>
      </c>
      <c r="C129" s="1">
        <v>46030.987002314818</v>
      </c>
      <c r="D129" s="1">
        <v>46030.990046296298</v>
      </c>
      <c r="E129" t="s">
        <v>381</v>
      </c>
      <c r="F129" t="s">
        <v>23</v>
      </c>
      <c r="G129" t="e">
        <f>+_xlfn.XLOOKUP(tbl_encuesta[[#This Row],[Me siento a gusto con el ambiente de trabajo que se genera en mi equipo.]],#REF!,#REF!)</f>
        <v>#REF!</v>
      </c>
      <c r="H129" t="s">
        <v>23</v>
      </c>
      <c r="I129" t="e">
        <f>+_xlfn.XLOOKUP(tbl_encuesta[[#This Row],[Me siento motivado a dar lo mejor de mí y hacer un buen trabajo]],#REF!,#REF!)</f>
        <v>#REF!</v>
      </c>
      <c r="J129" t="s">
        <v>23</v>
      </c>
      <c r="K129" t="e">
        <f>+_xlfn.XLOOKUP(tbl_encuesta[[#This Row],[Mi supervisor o jefe directo me otorga el soporte que necesito para afrontar cualquier problema que afecte mi trabajo]],#REF!,#REF!)</f>
        <v>#REF!</v>
      </c>
      <c r="L129" t="s">
        <v>23</v>
      </c>
      <c r="M129" t="e">
        <f>+_xlfn.XLOOKUP(tbl_encuesta[[#This Row],[Mi supervisor o jefe directo fomenta que nos apoyemos entre todos en el equipo]],#REF!,#REF!)</f>
        <v>#REF!</v>
      </c>
      <c r="N129" t="s">
        <v>23</v>
      </c>
      <c r="O129" t="e">
        <f>+_xlfn.XLOOKUP(tbl_encuesta[[#This Row],[Siento que mi trabajo es reconocido por mi supervisor o jefe directo.]],#REF!,#REF!)</f>
        <v>#REF!</v>
      </c>
      <c r="P129" t="s">
        <v>67</v>
      </c>
      <c r="Q129" t="e">
        <f xml:space="preserve">
_xlfn.XLOOKUP(
tbl_encuesta[[#This Row],[Mi supervisor o jefe directo nos brinda charlas de 5 minutos y comunica las novedades relevantes a mi puesto de trabajo]],#REF!,#REF!
)</f>
        <v>#REF!</v>
      </c>
      <c r="R129" t="s">
        <v>17</v>
      </c>
      <c r="S129" t="s">
        <v>18</v>
      </c>
      <c r="W129" t="s">
        <v>25</v>
      </c>
      <c r="X129" t="s">
        <v>23</v>
      </c>
      <c r="Y129" t="e">
        <f>+_xlfn.XLOOKUP(tbl_encuesta[[#This Row],[Considero a Limtek como un buen lugar para trabajar]],#REF!,#REF!)</f>
        <v>#REF!</v>
      </c>
      <c r="Z129" t="s">
        <v>382</v>
      </c>
      <c r="AA129" t="s">
        <v>383</v>
      </c>
      <c r="AB129" t="s">
        <v>28</v>
      </c>
      <c r="AC129" t="s">
        <v>3598</v>
      </c>
      <c r="AD129" s="3" t="s">
        <v>3602</v>
      </c>
      <c r="AE129" t="s">
        <v>69</v>
      </c>
    </row>
    <row r="130" spans="1:31" x14ac:dyDescent="0.25">
      <c r="A130">
        <v>119033595271</v>
      </c>
      <c r="B130">
        <v>462598545</v>
      </c>
      <c r="C130" s="1">
        <v>46030.96297453704</v>
      </c>
      <c r="D130" s="1">
        <v>46030.964803240742</v>
      </c>
      <c r="E130" t="s">
        <v>384</v>
      </c>
      <c r="F130" t="s">
        <v>23</v>
      </c>
      <c r="G130" t="e">
        <f>+_xlfn.XLOOKUP(tbl_encuesta[[#This Row],[Me siento a gusto con el ambiente de trabajo que se genera en mi equipo.]],#REF!,#REF!)</f>
        <v>#REF!</v>
      </c>
      <c r="H130" t="s">
        <v>23</v>
      </c>
      <c r="I130" t="e">
        <f>+_xlfn.XLOOKUP(tbl_encuesta[[#This Row],[Me siento motivado a dar lo mejor de mí y hacer un buen trabajo]],#REF!,#REF!)</f>
        <v>#REF!</v>
      </c>
      <c r="J130" t="s">
        <v>97</v>
      </c>
      <c r="K130" t="e">
        <f>+_xlfn.XLOOKUP(tbl_encuesta[[#This Row],[Mi supervisor o jefe directo me otorga el soporte que necesito para afrontar cualquier problema que afecte mi trabajo]],#REF!,#REF!)</f>
        <v>#REF!</v>
      </c>
      <c r="L130" t="s">
        <v>22</v>
      </c>
      <c r="M130" t="e">
        <f>+_xlfn.XLOOKUP(tbl_encuesta[[#This Row],[Mi supervisor o jefe directo fomenta que nos apoyemos entre todos en el equipo]],#REF!,#REF!)</f>
        <v>#REF!</v>
      </c>
      <c r="N130" t="s">
        <v>43</v>
      </c>
      <c r="O130" t="e">
        <f>+_xlfn.XLOOKUP(tbl_encuesta[[#This Row],[Siento que mi trabajo es reconocido por mi supervisor o jefe directo.]],#REF!,#REF!)</f>
        <v>#REF!</v>
      </c>
      <c r="P130" t="s">
        <v>175</v>
      </c>
      <c r="Q130" t="e">
        <f xml:space="preserve">
_xlfn.XLOOKUP(
tbl_encuesta[[#This Row],[Mi supervisor o jefe directo nos brinda charlas de 5 minutos y comunica las novedades relevantes a mi puesto de trabajo]],#REF!,#REF!
)</f>
        <v>#REF!</v>
      </c>
      <c r="S130" t="s">
        <v>18</v>
      </c>
      <c r="W130" t="s">
        <v>25</v>
      </c>
      <c r="X130" t="s">
        <v>22</v>
      </c>
      <c r="Y130" t="e">
        <f>+_xlfn.XLOOKUP(tbl_encuesta[[#This Row],[Considero a Limtek como un buen lugar para trabajar]],#REF!,#REF!)</f>
        <v>#REF!</v>
      </c>
      <c r="Z130" t="s">
        <v>385</v>
      </c>
      <c r="AA130" t="s">
        <v>386</v>
      </c>
      <c r="AB130" t="s">
        <v>28</v>
      </c>
      <c r="AC130" t="s">
        <v>3598</v>
      </c>
      <c r="AD130" s="3" t="s">
        <v>3603</v>
      </c>
      <c r="AE130" t="s">
        <v>69</v>
      </c>
    </row>
    <row r="131" spans="1:31" x14ac:dyDescent="0.25">
      <c r="A131">
        <v>119033591366</v>
      </c>
      <c r="B131">
        <v>462598545</v>
      </c>
      <c r="C131" s="1">
        <v>46030.95045138889</v>
      </c>
      <c r="D131" s="1">
        <v>46030.95579861111</v>
      </c>
      <c r="E131" t="s">
        <v>387</v>
      </c>
      <c r="F131" t="s">
        <v>23</v>
      </c>
      <c r="G131" t="e">
        <f>+_xlfn.XLOOKUP(tbl_encuesta[[#This Row],[Me siento a gusto con el ambiente de trabajo que se genera en mi equipo.]],#REF!,#REF!)</f>
        <v>#REF!</v>
      </c>
      <c r="H131" t="s">
        <v>23</v>
      </c>
      <c r="I131" t="e">
        <f>+_xlfn.XLOOKUP(tbl_encuesta[[#This Row],[Me siento motivado a dar lo mejor de mí y hacer un buen trabajo]],#REF!,#REF!)</f>
        <v>#REF!</v>
      </c>
      <c r="J131" t="s">
        <v>23</v>
      </c>
      <c r="K131" t="e">
        <f>+_xlfn.XLOOKUP(tbl_encuesta[[#This Row],[Mi supervisor o jefe directo me otorga el soporte que necesito para afrontar cualquier problema que afecte mi trabajo]],#REF!,#REF!)</f>
        <v>#REF!</v>
      </c>
      <c r="L131" t="s">
        <v>23</v>
      </c>
      <c r="M131" t="e">
        <f>+_xlfn.XLOOKUP(tbl_encuesta[[#This Row],[Mi supervisor o jefe directo fomenta que nos apoyemos entre todos en el equipo]],#REF!,#REF!)</f>
        <v>#REF!</v>
      </c>
      <c r="N131" t="s">
        <v>23</v>
      </c>
      <c r="O131" t="e">
        <f>+_xlfn.XLOOKUP(tbl_encuesta[[#This Row],[Siento que mi trabajo es reconocido por mi supervisor o jefe directo.]],#REF!,#REF!)</f>
        <v>#REF!</v>
      </c>
      <c r="P131" t="s">
        <v>31</v>
      </c>
      <c r="Q131" t="e">
        <f xml:space="preserve">
_xlfn.XLOOKUP(
tbl_encuesta[[#This Row],[Mi supervisor o jefe directo nos brinda charlas de 5 minutos y comunica las novedades relevantes a mi puesto de trabajo]],#REF!,#REF!
)</f>
        <v>#REF!</v>
      </c>
      <c r="S131" t="s">
        <v>18</v>
      </c>
      <c r="T131" t="s">
        <v>19</v>
      </c>
      <c r="W131" t="s">
        <v>25</v>
      </c>
      <c r="X131" t="s">
        <v>23</v>
      </c>
      <c r="Y131" t="e">
        <f>+_xlfn.XLOOKUP(tbl_encuesta[[#This Row],[Considero a Limtek como un buen lugar para trabajar]],#REF!,#REF!)</f>
        <v>#REF!</v>
      </c>
      <c r="Z131" t="s">
        <v>388</v>
      </c>
      <c r="AA131" t="s">
        <v>389</v>
      </c>
      <c r="AB131" t="s">
        <v>28</v>
      </c>
      <c r="AC131" s="3" t="s">
        <v>3598</v>
      </c>
      <c r="AD131" s="3" t="s">
        <v>3606</v>
      </c>
      <c r="AE131" t="s">
        <v>34</v>
      </c>
    </row>
    <row r="132" spans="1:31" x14ac:dyDescent="0.25">
      <c r="A132">
        <v>119033586165</v>
      </c>
      <c r="B132">
        <v>462598545</v>
      </c>
      <c r="C132" s="1">
        <v>46030.938530092593</v>
      </c>
      <c r="D132" s="1">
        <v>46030.945243055554</v>
      </c>
      <c r="E132" t="s">
        <v>390</v>
      </c>
      <c r="F132" t="s">
        <v>23</v>
      </c>
      <c r="G132" t="e">
        <f>+_xlfn.XLOOKUP(tbl_encuesta[[#This Row],[Me siento a gusto con el ambiente de trabajo que se genera en mi equipo.]],#REF!,#REF!)</f>
        <v>#REF!</v>
      </c>
      <c r="H132" t="s">
        <v>23</v>
      </c>
      <c r="I132" t="e">
        <f>+_xlfn.XLOOKUP(tbl_encuesta[[#This Row],[Me siento motivado a dar lo mejor de mí y hacer un buen trabajo]],#REF!,#REF!)</f>
        <v>#REF!</v>
      </c>
      <c r="J132" t="s">
        <v>23</v>
      </c>
      <c r="K132" t="e">
        <f>+_xlfn.XLOOKUP(tbl_encuesta[[#This Row],[Mi supervisor o jefe directo me otorga el soporte que necesito para afrontar cualquier problema que afecte mi trabajo]],#REF!,#REF!)</f>
        <v>#REF!</v>
      </c>
      <c r="L132" t="s">
        <v>23</v>
      </c>
      <c r="M132" t="e">
        <f>+_xlfn.XLOOKUP(tbl_encuesta[[#This Row],[Mi supervisor o jefe directo fomenta que nos apoyemos entre todos en el equipo]],#REF!,#REF!)</f>
        <v>#REF!</v>
      </c>
      <c r="N132" t="s">
        <v>23</v>
      </c>
      <c r="O132" t="e">
        <f>+_xlfn.XLOOKUP(tbl_encuesta[[#This Row],[Siento que mi trabajo es reconocido por mi supervisor o jefe directo.]],#REF!,#REF!)</f>
        <v>#REF!</v>
      </c>
      <c r="P132" t="s">
        <v>31</v>
      </c>
      <c r="Q132" t="e">
        <f xml:space="preserve">
_xlfn.XLOOKUP(
tbl_encuesta[[#This Row],[Mi supervisor o jefe directo nos brinda charlas de 5 minutos y comunica las novedades relevantes a mi puesto de trabajo]],#REF!,#REF!
)</f>
        <v>#REF!</v>
      </c>
      <c r="R132" t="s">
        <v>17</v>
      </c>
      <c r="S132" t="s">
        <v>18</v>
      </c>
      <c r="W132" t="s">
        <v>25</v>
      </c>
      <c r="X132" t="s">
        <v>23</v>
      </c>
      <c r="Y132" t="e">
        <f>+_xlfn.XLOOKUP(tbl_encuesta[[#This Row],[Considero a Limtek como un buen lugar para trabajar]],#REF!,#REF!)</f>
        <v>#REF!</v>
      </c>
      <c r="Z132" t="s">
        <v>391</v>
      </c>
      <c r="AA132" t="s">
        <v>392</v>
      </c>
      <c r="AB132" t="s">
        <v>28</v>
      </c>
      <c r="AC132" s="3" t="s">
        <v>3598</v>
      </c>
      <c r="AD132" s="3" t="s">
        <v>3604</v>
      </c>
      <c r="AE132" t="s">
        <v>69</v>
      </c>
    </row>
    <row r="133" spans="1:31" x14ac:dyDescent="0.25">
      <c r="A133">
        <v>119033585067</v>
      </c>
      <c r="B133">
        <v>462598545</v>
      </c>
      <c r="C133" s="1">
        <v>46030.935254629629</v>
      </c>
      <c r="D133" s="1">
        <v>46030.943101851852</v>
      </c>
      <c r="E133" t="s">
        <v>393</v>
      </c>
      <c r="F133" t="s">
        <v>23</v>
      </c>
      <c r="G133" t="e">
        <f>+_xlfn.XLOOKUP(tbl_encuesta[[#This Row],[Me siento a gusto con el ambiente de trabajo que se genera en mi equipo.]],#REF!,#REF!)</f>
        <v>#REF!</v>
      </c>
      <c r="H133" t="s">
        <v>23</v>
      </c>
      <c r="I133" t="e">
        <f>+_xlfn.XLOOKUP(tbl_encuesta[[#This Row],[Me siento motivado a dar lo mejor de mí y hacer un buen trabajo]],#REF!,#REF!)</f>
        <v>#REF!</v>
      </c>
      <c r="J133" t="s">
        <v>23</v>
      </c>
      <c r="K133" t="e">
        <f>+_xlfn.XLOOKUP(tbl_encuesta[[#This Row],[Mi supervisor o jefe directo me otorga el soporte que necesito para afrontar cualquier problema que afecte mi trabajo]],#REF!,#REF!)</f>
        <v>#REF!</v>
      </c>
      <c r="L133" t="s">
        <v>23</v>
      </c>
      <c r="M133" t="e">
        <f>+_xlfn.XLOOKUP(tbl_encuesta[[#This Row],[Mi supervisor o jefe directo fomenta que nos apoyemos entre todos en el equipo]],#REF!,#REF!)</f>
        <v>#REF!</v>
      </c>
      <c r="N133" t="s">
        <v>22</v>
      </c>
      <c r="O133" t="e">
        <f>+_xlfn.XLOOKUP(tbl_encuesta[[#This Row],[Siento que mi trabajo es reconocido por mi supervisor o jefe directo.]],#REF!,#REF!)</f>
        <v>#REF!</v>
      </c>
      <c r="P133" t="s">
        <v>31</v>
      </c>
      <c r="Q133" t="e">
        <f xml:space="preserve">
_xlfn.XLOOKUP(
tbl_encuesta[[#This Row],[Mi supervisor o jefe directo nos brinda charlas de 5 minutos y comunica las novedades relevantes a mi puesto de trabajo]],#REF!,#REF!
)</f>
        <v>#REF!</v>
      </c>
      <c r="R133" t="s">
        <v>17</v>
      </c>
      <c r="W133" t="s">
        <v>25</v>
      </c>
      <c r="X133" t="s">
        <v>23</v>
      </c>
      <c r="Y133" t="e">
        <f>+_xlfn.XLOOKUP(tbl_encuesta[[#This Row],[Considero a Limtek como un buen lugar para trabajar]],#REF!,#REF!)</f>
        <v>#REF!</v>
      </c>
      <c r="Z133" t="s">
        <v>394</v>
      </c>
      <c r="AA133" t="s">
        <v>395</v>
      </c>
      <c r="AB133" t="s">
        <v>28</v>
      </c>
      <c r="AC133" s="3" t="s">
        <v>3598</v>
      </c>
      <c r="AD133" s="3" t="s">
        <v>3602</v>
      </c>
      <c r="AE133" t="s">
        <v>34</v>
      </c>
    </row>
    <row r="134" spans="1:31" x14ac:dyDescent="0.25">
      <c r="A134">
        <v>119033584266</v>
      </c>
      <c r="B134">
        <v>462598545</v>
      </c>
      <c r="C134" s="1">
        <v>46030.939976851849</v>
      </c>
      <c r="D134" s="1">
        <v>46030.941435185188</v>
      </c>
      <c r="E134" t="s">
        <v>396</v>
      </c>
      <c r="F134" t="s">
        <v>22</v>
      </c>
      <c r="G134" t="e">
        <f>+_xlfn.XLOOKUP(tbl_encuesta[[#This Row],[Me siento a gusto con el ambiente de trabajo que se genera en mi equipo.]],#REF!,#REF!)</f>
        <v>#REF!</v>
      </c>
      <c r="H134" t="s">
        <v>22</v>
      </c>
      <c r="I134" t="e">
        <f>+_xlfn.XLOOKUP(tbl_encuesta[[#This Row],[Me siento motivado a dar lo mejor de mí y hacer un buen trabajo]],#REF!,#REF!)</f>
        <v>#REF!</v>
      </c>
      <c r="J134" t="s">
        <v>97</v>
      </c>
      <c r="K134" t="e">
        <f>+_xlfn.XLOOKUP(tbl_encuesta[[#This Row],[Mi supervisor o jefe directo me otorga el soporte que necesito para afrontar cualquier problema que afecte mi trabajo]],#REF!,#REF!)</f>
        <v>#REF!</v>
      </c>
      <c r="L134" t="s">
        <v>22</v>
      </c>
      <c r="M134" t="e">
        <f>+_xlfn.XLOOKUP(tbl_encuesta[[#This Row],[Mi supervisor o jefe directo fomenta que nos apoyemos entre todos en el equipo]],#REF!,#REF!)</f>
        <v>#REF!</v>
      </c>
      <c r="N134" t="s">
        <v>22</v>
      </c>
      <c r="O134" t="e">
        <f>+_xlfn.XLOOKUP(tbl_encuesta[[#This Row],[Siento que mi trabajo es reconocido por mi supervisor o jefe directo.]],#REF!,#REF!)</f>
        <v>#REF!</v>
      </c>
      <c r="P134" t="s">
        <v>67</v>
      </c>
      <c r="Q134" t="e">
        <f xml:space="preserve">
_xlfn.XLOOKUP(
tbl_encuesta[[#This Row],[Mi supervisor o jefe directo nos brinda charlas de 5 minutos y comunica las novedades relevantes a mi puesto de trabajo]],#REF!,#REF!
)</f>
        <v>#REF!</v>
      </c>
      <c r="R134" t="s">
        <v>17</v>
      </c>
      <c r="W134" t="s">
        <v>25</v>
      </c>
      <c r="X134" t="s">
        <v>23</v>
      </c>
      <c r="Y134" t="e">
        <f>+_xlfn.XLOOKUP(tbl_encuesta[[#This Row],[Considero a Limtek como un buen lugar para trabajar]],#REF!,#REF!)</f>
        <v>#REF!</v>
      </c>
      <c r="Z134" t="s">
        <v>397</v>
      </c>
      <c r="AA134" t="s">
        <v>116</v>
      </c>
      <c r="AB134" t="s">
        <v>28</v>
      </c>
      <c r="AC134" s="3" t="s">
        <v>3716</v>
      </c>
      <c r="AD134" s="3" t="s">
        <v>3716</v>
      </c>
      <c r="AE134" t="s">
        <v>69</v>
      </c>
    </row>
    <row r="135" spans="1:31" x14ac:dyDescent="0.25">
      <c r="A135">
        <v>119033582873</v>
      </c>
      <c r="B135">
        <v>462598545</v>
      </c>
      <c r="C135" s="1">
        <v>46030.936967592592</v>
      </c>
      <c r="D135" s="1">
        <v>46030.938842592594</v>
      </c>
      <c r="E135" t="s">
        <v>398</v>
      </c>
      <c r="F135" t="s">
        <v>22</v>
      </c>
      <c r="G135" t="e">
        <f>+_xlfn.XLOOKUP(tbl_encuesta[[#This Row],[Me siento a gusto con el ambiente de trabajo que se genera en mi equipo.]],#REF!,#REF!)</f>
        <v>#REF!</v>
      </c>
      <c r="H135" t="s">
        <v>23</v>
      </c>
      <c r="I135" t="e">
        <f>+_xlfn.XLOOKUP(tbl_encuesta[[#This Row],[Me siento motivado a dar lo mejor de mí y hacer un buen trabajo]],#REF!,#REF!)</f>
        <v>#REF!</v>
      </c>
      <c r="J135" t="s">
        <v>22</v>
      </c>
      <c r="K135" t="e">
        <f>+_xlfn.XLOOKUP(tbl_encuesta[[#This Row],[Mi supervisor o jefe directo me otorga el soporte que necesito para afrontar cualquier problema que afecte mi trabajo]],#REF!,#REF!)</f>
        <v>#REF!</v>
      </c>
      <c r="L135" t="s">
        <v>23</v>
      </c>
      <c r="M135" t="e">
        <f>+_xlfn.XLOOKUP(tbl_encuesta[[#This Row],[Mi supervisor o jefe directo fomenta que nos apoyemos entre todos en el equipo]],#REF!,#REF!)</f>
        <v>#REF!</v>
      </c>
      <c r="N135" t="s">
        <v>22</v>
      </c>
      <c r="O135" t="e">
        <f>+_xlfn.XLOOKUP(tbl_encuesta[[#This Row],[Siento que mi trabajo es reconocido por mi supervisor o jefe directo.]],#REF!,#REF!)</f>
        <v>#REF!</v>
      </c>
      <c r="P135" t="s">
        <v>24</v>
      </c>
      <c r="Q135" t="e">
        <f xml:space="preserve">
_xlfn.XLOOKUP(
tbl_encuesta[[#This Row],[Mi supervisor o jefe directo nos brinda charlas de 5 minutos y comunica las novedades relevantes a mi puesto de trabajo]],#REF!,#REF!
)</f>
        <v>#REF!</v>
      </c>
      <c r="R135" t="s">
        <v>17</v>
      </c>
      <c r="W135" t="s">
        <v>25</v>
      </c>
      <c r="X135" t="s">
        <v>23</v>
      </c>
      <c r="Y135" t="e">
        <f>+_xlfn.XLOOKUP(tbl_encuesta[[#This Row],[Considero a Limtek como un buen lugar para trabajar]],#REF!,#REF!)</f>
        <v>#REF!</v>
      </c>
      <c r="Z135" t="s">
        <v>399</v>
      </c>
      <c r="AA135" t="s">
        <v>400</v>
      </c>
      <c r="AB135" t="s">
        <v>28</v>
      </c>
      <c r="AC135" t="s">
        <v>3598</v>
      </c>
      <c r="AD135" t="s">
        <v>3598</v>
      </c>
      <c r="AE135" t="s">
        <v>34</v>
      </c>
    </row>
    <row r="136" spans="1:31" x14ac:dyDescent="0.25">
      <c r="A136">
        <v>119033579149</v>
      </c>
      <c r="B136">
        <v>462598545</v>
      </c>
      <c r="C136" s="1">
        <v>46030.929664351854</v>
      </c>
      <c r="D136" s="1">
        <v>46030.931990740741</v>
      </c>
      <c r="E136" t="s">
        <v>401</v>
      </c>
      <c r="F136" t="s">
        <v>22</v>
      </c>
      <c r="G136" t="e">
        <f>+_xlfn.XLOOKUP(tbl_encuesta[[#This Row],[Me siento a gusto con el ambiente de trabajo que se genera en mi equipo.]],#REF!,#REF!)</f>
        <v>#REF!</v>
      </c>
      <c r="H136" t="s">
        <v>23</v>
      </c>
      <c r="I136" t="e">
        <f>+_xlfn.XLOOKUP(tbl_encuesta[[#This Row],[Me siento motivado a dar lo mejor de mí y hacer un buen trabajo]],#REF!,#REF!)</f>
        <v>#REF!</v>
      </c>
      <c r="J136" t="s">
        <v>22</v>
      </c>
      <c r="K136" t="e">
        <f>+_xlfn.XLOOKUP(tbl_encuesta[[#This Row],[Mi supervisor o jefe directo me otorga el soporte que necesito para afrontar cualquier problema que afecte mi trabajo]],#REF!,#REF!)</f>
        <v>#REF!</v>
      </c>
      <c r="L136" t="s">
        <v>22</v>
      </c>
      <c r="M136" t="e">
        <f>+_xlfn.XLOOKUP(tbl_encuesta[[#This Row],[Mi supervisor o jefe directo fomenta que nos apoyemos entre todos en el equipo]],#REF!,#REF!)</f>
        <v>#REF!</v>
      </c>
      <c r="N136" t="s">
        <v>22</v>
      </c>
      <c r="O136" t="e">
        <f>+_xlfn.XLOOKUP(tbl_encuesta[[#This Row],[Siento que mi trabajo es reconocido por mi supervisor o jefe directo.]],#REF!,#REF!)</f>
        <v>#REF!</v>
      </c>
      <c r="P136" t="s">
        <v>67</v>
      </c>
      <c r="Q136" t="e">
        <f xml:space="preserve">
_xlfn.XLOOKUP(
tbl_encuesta[[#This Row],[Mi supervisor o jefe directo nos brinda charlas de 5 minutos y comunica las novedades relevantes a mi puesto de trabajo]],#REF!,#REF!
)</f>
        <v>#REF!</v>
      </c>
      <c r="S136" t="s">
        <v>18</v>
      </c>
      <c r="W136" t="s">
        <v>25</v>
      </c>
      <c r="X136" t="s">
        <v>22</v>
      </c>
      <c r="Y136" t="e">
        <f>+_xlfn.XLOOKUP(tbl_encuesta[[#This Row],[Considero a Limtek como un buen lugar para trabajar]],#REF!,#REF!)</f>
        <v>#REF!</v>
      </c>
      <c r="Z136" t="s">
        <v>402</v>
      </c>
      <c r="AA136" t="s">
        <v>305</v>
      </c>
      <c r="AB136" t="s">
        <v>28</v>
      </c>
      <c r="AC136" s="3" t="s">
        <v>3598</v>
      </c>
      <c r="AD136" s="3" t="s">
        <v>3602</v>
      </c>
      <c r="AE136" t="s">
        <v>69</v>
      </c>
    </row>
    <row r="137" spans="1:31" x14ac:dyDescent="0.25">
      <c r="A137">
        <v>119033577195</v>
      </c>
      <c r="B137">
        <v>462598545</v>
      </c>
      <c r="C137" s="1">
        <v>46030.922696759262</v>
      </c>
      <c r="D137" s="1">
        <v>46030.928460648145</v>
      </c>
      <c r="E137" t="s">
        <v>403</v>
      </c>
      <c r="F137" t="s">
        <v>23</v>
      </c>
      <c r="G137" t="e">
        <f>+_xlfn.XLOOKUP(tbl_encuesta[[#This Row],[Me siento a gusto con el ambiente de trabajo que se genera en mi equipo.]],#REF!,#REF!)</f>
        <v>#REF!</v>
      </c>
      <c r="H137" t="s">
        <v>23</v>
      </c>
      <c r="I137" t="e">
        <f>+_xlfn.XLOOKUP(tbl_encuesta[[#This Row],[Me siento motivado a dar lo mejor de mí y hacer un buen trabajo]],#REF!,#REF!)</f>
        <v>#REF!</v>
      </c>
      <c r="J137" t="s">
        <v>22</v>
      </c>
      <c r="K137" t="e">
        <f>+_xlfn.XLOOKUP(tbl_encuesta[[#This Row],[Mi supervisor o jefe directo me otorga el soporte que necesito para afrontar cualquier problema que afecte mi trabajo]],#REF!,#REF!)</f>
        <v>#REF!</v>
      </c>
      <c r="L137" t="s">
        <v>23</v>
      </c>
      <c r="M137" t="e">
        <f>+_xlfn.XLOOKUP(tbl_encuesta[[#This Row],[Mi supervisor o jefe directo fomenta que nos apoyemos entre todos en el equipo]],#REF!,#REF!)</f>
        <v>#REF!</v>
      </c>
      <c r="N137" t="s">
        <v>23</v>
      </c>
      <c r="O137" t="e">
        <f>+_xlfn.XLOOKUP(tbl_encuesta[[#This Row],[Siento que mi trabajo es reconocido por mi supervisor o jefe directo.]],#REF!,#REF!)</f>
        <v>#REF!</v>
      </c>
      <c r="P137" t="s">
        <v>67</v>
      </c>
      <c r="Q137" t="e">
        <f xml:space="preserve">
_xlfn.XLOOKUP(
tbl_encuesta[[#This Row],[Mi supervisor o jefe directo nos brinda charlas de 5 minutos y comunica las novedades relevantes a mi puesto de trabajo]],#REF!,#REF!
)</f>
        <v>#REF!</v>
      </c>
      <c r="R137" t="s">
        <v>17</v>
      </c>
      <c r="T137" t="s">
        <v>19</v>
      </c>
      <c r="W137" t="s">
        <v>25</v>
      </c>
      <c r="X137" t="s">
        <v>22</v>
      </c>
      <c r="Y137" t="e">
        <f>+_xlfn.XLOOKUP(tbl_encuesta[[#This Row],[Considero a Limtek como un buen lugar para trabajar]],#REF!,#REF!)</f>
        <v>#REF!</v>
      </c>
      <c r="Z137" t="s">
        <v>404</v>
      </c>
      <c r="AA137" t="s">
        <v>405</v>
      </c>
      <c r="AB137" t="s">
        <v>28</v>
      </c>
      <c r="AC137" t="s">
        <v>3598</v>
      </c>
      <c r="AD137" s="3" t="s">
        <v>3604</v>
      </c>
      <c r="AE137" t="s">
        <v>34</v>
      </c>
    </row>
    <row r="138" spans="1:31" x14ac:dyDescent="0.25">
      <c r="A138">
        <v>119033570010</v>
      </c>
      <c r="B138">
        <v>462598545</v>
      </c>
      <c r="C138" s="1">
        <v>46030.913287037038</v>
      </c>
      <c r="D138" s="1">
        <v>46030.915902777779</v>
      </c>
      <c r="E138" t="s">
        <v>406</v>
      </c>
      <c r="F138" t="s">
        <v>23</v>
      </c>
      <c r="G138" t="e">
        <f>+_xlfn.XLOOKUP(tbl_encuesta[[#This Row],[Me siento a gusto con el ambiente de trabajo que se genera en mi equipo.]],#REF!,#REF!)</f>
        <v>#REF!</v>
      </c>
      <c r="H138" t="s">
        <v>23</v>
      </c>
      <c r="I138" t="e">
        <f>+_xlfn.XLOOKUP(tbl_encuesta[[#This Row],[Me siento motivado a dar lo mejor de mí y hacer un buen trabajo]],#REF!,#REF!)</f>
        <v>#REF!</v>
      </c>
      <c r="J138" t="s">
        <v>23</v>
      </c>
      <c r="K138" t="e">
        <f>+_xlfn.XLOOKUP(tbl_encuesta[[#This Row],[Mi supervisor o jefe directo me otorga el soporte que necesito para afrontar cualquier problema que afecte mi trabajo]],#REF!,#REF!)</f>
        <v>#REF!</v>
      </c>
      <c r="L138" t="s">
        <v>23</v>
      </c>
      <c r="M138" t="e">
        <f>+_xlfn.XLOOKUP(tbl_encuesta[[#This Row],[Mi supervisor o jefe directo fomenta que nos apoyemos entre todos en el equipo]],#REF!,#REF!)</f>
        <v>#REF!</v>
      </c>
      <c r="N138" t="s">
        <v>23</v>
      </c>
      <c r="O138" t="e">
        <f>+_xlfn.XLOOKUP(tbl_encuesta[[#This Row],[Siento que mi trabajo es reconocido por mi supervisor o jefe directo.]],#REF!,#REF!)</f>
        <v>#REF!</v>
      </c>
      <c r="P138" t="s">
        <v>31</v>
      </c>
      <c r="Q138" t="e">
        <f xml:space="preserve">
_xlfn.XLOOKUP(
tbl_encuesta[[#This Row],[Mi supervisor o jefe directo nos brinda charlas de 5 minutos y comunica las novedades relevantes a mi puesto de trabajo]],#REF!,#REF!
)</f>
        <v>#REF!</v>
      </c>
      <c r="R138" t="s">
        <v>17</v>
      </c>
      <c r="W138" t="s">
        <v>25</v>
      </c>
      <c r="X138" t="s">
        <v>23</v>
      </c>
      <c r="Y138" t="e">
        <f>+_xlfn.XLOOKUP(tbl_encuesta[[#This Row],[Considero a Limtek como un buen lugar para trabajar]],#REF!,#REF!)</f>
        <v>#REF!</v>
      </c>
      <c r="Z138" t="s">
        <v>407</v>
      </c>
      <c r="AA138" t="s">
        <v>408</v>
      </c>
      <c r="AB138" t="s">
        <v>28</v>
      </c>
      <c r="AC138" t="s">
        <v>3744</v>
      </c>
      <c r="AD138" t="s">
        <v>3744</v>
      </c>
      <c r="AE138" t="s">
        <v>34</v>
      </c>
    </row>
    <row r="139" spans="1:31" x14ac:dyDescent="0.25">
      <c r="A139">
        <v>119033552732</v>
      </c>
      <c r="B139">
        <v>462598545</v>
      </c>
      <c r="C139" s="1">
        <v>46030.885694444441</v>
      </c>
      <c r="D139" s="1">
        <v>46030.888287037036</v>
      </c>
      <c r="E139" t="s">
        <v>409</v>
      </c>
      <c r="F139" t="s">
        <v>23</v>
      </c>
      <c r="G139" t="e">
        <f>+_xlfn.XLOOKUP(tbl_encuesta[[#This Row],[Me siento a gusto con el ambiente de trabajo que se genera en mi equipo.]],#REF!,#REF!)</f>
        <v>#REF!</v>
      </c>
      <c r="H139" t="s">
        <v>23</v>
      </c>
      <c r="I139" t="e">
        <f>+_xlfn.XLOOKUP(tbl_encuesta[[#This Row],[Me siento motivado a dar lo mejor de mí y hacer un buen trabajo]],#REF!,#REF!)</f>
        <v>#REF!</v>
      </c>
      <c r="J139" t="s">
        <v>22</v>
      </c>
      <c r="K139" t="e">
        <f>+_xlfn.XLOOKUP(tbl_encuesta[[#This Row],[Mi supervisor o jefe directo me otorga el soporte que necesito para afrontar cualquier problema que afecte mi trabajo]],#REF!,#REF!)</f>
        <v>#REF!</v>
      </c>
      <c r="L139" t="s">
        <v>22</v>
      </c>
      <c r="M139" t="e">
        <f>+_xlfn.XLOOKUP(tbl_encuesta[[#This Row],[Mi supervisor o jefe directo fomenta que nos apoyemos entre todos en el equipo]],#REF!,#REF!)</f>
        <v>#REF!</v>
      </c>
      <c r="N139" t="s">
        <v>22</v>
      </c>
      <c r="O139" t="e">
        <f>+_xlfn.XLOOKUP(tbl_encuesta[[#This Row],[Siento que mi trabajo es reconocido por mi supervisor o jefe directo.]],#REF!,#REF!)</f>
        <v>#REF!</v>
      </c>
      <c r="P139" t="s">
        <v>31</v>
      </c>
      <c r="Q139" t="e">
        <f xml:space="preserve">
_xlfn.XLOOKUP(
tbl_encuesta[[#This Row],[Mi supervisor o jefe directo nos brinda charlas de 5 minutos y comunica las novedades relevantes a mi puesto de trabajo]],#REF!,#REF!
)</f>
        <v>#REF!</v>
      </c>
      <c r="R139" t="s">
        <v>17</v>
      </c>
      <c r="U139" t="s">
        <v>20</v>
      </c>
      <c r="W139" t="s">
        <v>25</v>
      </c>
      <c r="X139" t="s">
        <v>22</v>
      </c>
      <c r="Y139" t="e">
        <f>+_xlfn.XLOOKUP(tbl_encuesta[[#This Row],[Considero a Limtek como un buen lugar para trabajar]],#REF!,#REF!)</f>
        <v>#REF!</v>
      </c>
      <c r="Z139" t="s">
        <v>410</v>
      </c>
      <c r="AA139" t="s">
        <v>411</v>
      </c>
      <c r="AB139" t="s">
        <v>28</v>
      </c>
      <c r="AC139" s="3" t="s">
        <v>3736</v>
      </c>
      <c r="AD139" s="3" t="s">
        <v>3738</v>
      </c>
      <c r="AE139" t="s">
        <v>55</v>
      </c>
    </row>
    <row r="140" spans="1:31" x14ac:dyDescent="0.25">
      <c r="A140">
        <v>119033550700</v>
      </c>
      <c r="B140">
        <v>462598545</v>
      </c>
      <c r="C140" s="1">
        <v>46030.875081018516</v>
      </c>
      <c r="D140" s="1">
        <v>46030.885138888887</v>
      </c>
      <c r="E140" t="s">
        <v>412</v>
      </c>
      <c r="F140" t="s">
        <v>23</v>
      </c>
      <c r="G140" t="e">
        <f>+_xlfn.XLOOKUP(tbl_encuesta[[#This Row],[Me siento a gusto con el ambiente de trabajo que se genera en mi equipo.]],#REF!,#REF!)</f>
        <v>#REF!</v>
      </c>
      <c r="H140" t="s">
        <v>23</v>
      </c>
      <c r="I140" t="e">
        <f>+_xlfn.XLOOKUP(tbl_encuesta[[#This Row],[Me siento motivado a dar lo mejor de mí y hacer un buen trabajo]],#REF!,#REF!)</f>
        <v>#REF!</v>
      </c>
      <c r="J140" t="s">
        <v>23</v>
      </c>
      <c r="K140" t="e">
        <f>+_xlfn.XLOOKUP(tbl_encuesta[[#This Row],[Mi supervisor o jefe directo me otorga el soporte que necesito para afrontar cualquier problema que afecte mi trabajo]],#REF!,#REF!)</f>
        <v>#REF!</v>
      </c>
      <c r="L140" t="s">
        <v>23</v>
      </c>
      <c r="M140" t="e">
        <f>+_xlfn.XLOOKUP(tbl_encuesta[[#This Row],[Mi supervisor o jefe directo fomenta que nos apoyemos entre todos en el equipo]],#REF!,#REF!)</f>
        <v>#REF!</v>
      </c>
      <c r="N140" t="s">
        <v>23</v>
      </c>
      <c r="O140" t="e">
        <f>+_xlfn.XLOOKUP(tbl_encuesta[[#This Row],[Siento que mi trabajo es reconocido por mi supervisor o jefe directo.]],#REF!,#REF!)</f>
        <v>#REF!</v>
      </c>
      <c r="P140" t="s">
        <v>31</v>
      </c>
      <c r="Q140" t="e">
        <f xml:space="preserve">
_xlfn.XLOOKUP(
tbl_encuesta[[#This Row],[Mi supervisor o jefe directo nos brinda charlas de 5 minutos y comunica las novedades relevantes a mi puesto de trabajo]],#REF!,#REF!
)</f>
        <v>#REF!</v>
      </c>
      <c r="R140" t="s">
        <v>17</v>
      </c>
      <c r="S140" t="s">
        <v>18</v>
      </c>
      <c r="W140" t="s">
        <v>25</v>
      </c>
      <c r="X140" t="s">
        <v>23</v>
      </c>
      <c r="Y140" t="e">
        <f>+_xlfn.XLOOKUP(tbl_encuesta[[#This Row],[Considero a Limtek como un buen lugar para trabajar]],#REF!,#REF!)</f>
        <v>#REF!</v>
      </c>
      <c r="Z140" t="s">
        <v>413</v>
      </c>
      <c r="AA140" t="s">
        <v>414</v>
      </c>
      <c r="AB140" t="s">
        <v>28</v>
      </c>
      <c r="AC140" t="s">
        <v>3736</v>
      </c>
      <c r="AD140" t="s">
        <v>3736</v>
      </c>
      <c r="AE140" t="s">
        <v>29</v>
      </c>
    </row>
    <row r="141" spans="1:31" x14ac:dyDescent="0.25">
      <c r="A141">
        <v>119033550435</v>
      </c>
      <c r="B141">
        <v>462598545</v>
      </c>
      <c r="C141" s="1">
        <v>46030.877210648148</v>
      </c>
      <c r="D141" s="1">
        <v>46030.884745370371</v>
      </c>
      <c r="E141" t="s">
        <v>409</v>
      </c>
      <c r="F141" t="s">
        <v>23</v>
      </c>
      <c r="G141" t="e">
        <f>+_xlfn.XLOOKUP(tbl_encuesta[[#This Row],[Me siento a gusto con el ambiente de trabajo que se genera en mi equipo.]],#REF!,#REF!)</f>
        <v>#REF!</v>
      </c>
      <c r="H141" t="s">
        <v>23</v>
      </c>
      <c r="I141" t="e">
        <f>+_xlfn.XLOOKUP(tbl_encuesta[[#This Row],[Me siento motivado a dar lo mejor de mí y hacer un buen trabajo]],#REF!,#REF!)</f>
        <v>#REF!</v>
      </c>
      <c r="J141" t="s">
        <v>22</v>
      </c>
      <c r="K141" t="e">
        <f>+_xlfn.XLOOKUP(tbl_encuesta[[#This Row],[Mi supervisor o jefe directo me otorga el soporte que necesito para afrontar cualquier problema que afecte mi trabajo]],#REF!,#REF!)</f>
        <v>#REF!</v>
      </c>
      <c r="L141" t="s">
        <v>23</v>
      </c>
      <c r="M141" t="e">
        <f>+_xlfn.XLOOKUP(tbl_encuesta[[#This Row],[Mi supervisor o jefe directo fomenta que nos apoyemos entre todos en el equipo]],#REF!,#REF!)</f>
        <v>#REF!</v>
      </c>
      <c r="N141" t="s">
        <v>97</v>
      </c>
      <c r="O141" t="e">
        <f>+_xlfn.XLOOKUP(tbl_encuesta[[#This Row],[Siento que mi trabajo es reconocido por mi supervisor o jefe directo.]],#REF!,#REF!)</f>
        <v>#REF!</v>
      </c>
      <c r="P141" t="s">
        <v>67</v>
      </c>
      <c r="Q141" t="e">
        <f xml:space="preserve">
_xlfn.XLOOKUP(
tbl_encuesta[[#This Row],[Mi supervisor o jefe directo nos brinda charlas de 5 minutos y comunica las novedades relevantes a mi puesto de trabajo]],#REF!,#REF!
)</f>
        <v>#REF!</v>
      </c>
      <c r="R141" t="s">
        <v>17</v>
      </c>
      <c r="U141" t="s">
        <v>20</v>
      </c>
      <c r="W141" t="s">
        <v>25</v>
      </c>
      <c r="X141" t="s">
        <v>22</v>
      </c>
      <c r="Y141" t="e">
        <f>+_xlfn.XLOOKUP(tbl_encuesta[[#This Row],[Considero a Limtek como un buen lugar para trabajar]],#REF!,#REF!)</f>
        <v>#REF!</v>
      </c>
      <c r="Z141" t="s">
        <v>415</v>
      </c>
      <c r="AA141" t="s">
        <v>416</v>
      </c>
      <c r="AB141" t="s">
        <v>28</v>
      </c>
      <c r="AC141" s="3" t="s">
        <v>3736</v>
      </c>
      <c r="AD141" s="3" t="s">
        <v>3738</v>
      </c>
      <c r="AE141" t="s">
        <v>55</v>
      </c>
    </row>
    <row r="142" spans="1:31" x14ac:dyDescent="0.25">
      <c r="A142">
        <v>119033522983</v>
      </c>
      <c r="B142">
        <v>462598545</v>
      </c>
      <c r="C142" s="1">
        <v>46030.840567129628</v>
      </c>
      <c r="D142" s="1">
        <v>46030.846759259257</v>
      </c>
      <c r="E142" t="s">
        <v>417</v>
      </c>
      <c r="F142" t="s">
        <v>23</v>
      </c>
      <c r="G142" t="e">
        <f>+_xlfn.XLOOKUP(tbl_encuesta[[#This Row],[Me siento a gusto con el ambiente de trabajo que se genera en mi equipo.]],#REF!,#REF!)</f>
        <v>#REF!</v>
      </c>
      <c r="H142" t="s">
        <v>23</v>
      </c>
      <c r="I142" t="e">
        <f>+_xlfn.XLOOKUP(tbl_encuesta[[#This Row],[Me siento motivado a dar lo mejor de mí y hacer un buen trabajo]],#REF!,#REF!)</f>
        <v>#REF!</v>
      </c>
      <c r="J142" t="s">
        <v>23</v>
      </c>
      <c r="K142" t="e">
        <f>+_xlfn.XLOOKUP(tbl_encuesta[[#This Row],[Mi supervisor o jefe directo me otorga el soporte que necesito para afrontar cualquier problema que afecte mi trabajo]],#REF!,#REF!)</f>
        <v>#REF!</v>
      </c>
      <c r="L142" t="s">
        <v>23</v>
      </c>
      <c r="M142" t="e">
        <f>+_xlfn.XLOOKUP(tbl_encuesta[[#This Row],[Mi supervisor o jefe directo fomenta que nos apoyemos entre todos en el equipo]],#REF!,#REF!)</f>
        <v>#REF!</v>
      </c>
      <c r="N142" t="s">
        <v>23</v>
      </c>
      <c r="O142" t="e">
        <f>+_xlfn.XLOOKUP(tbl_encuesta[[#This Row],[Siento que mi trabajo es reconocido por mi supervisor o jefe directo.]],#REF!,#REF!)</f>
        <v>#REF!</v>
      </c>
      <c r="P142" t="s">
        <v>31</v>
      </c>
      <c r="Q142" t="e">
        <f xml:space="preserve">
_xlfn.XLOOKUP(
tbl_encuesta[[#This Row],[Mi supervisor o jefe directo nos brinda charlas de 5 minutos y comunica las novedades relevantes a mi puesto de trabajo]],#REF!,#REF!
)</f>
        <v>#REF!</v>
      </c>
      <c r="R142" t="s">
        <v>17</v>
      </c>
      <c r="U142" t="s">
        <v>20</v>
      </c>
      <c r="W142" t="s">
        <v>25</v>
      </c>
      <c r="X142" t="s">
        <v>23</v>
      </c>
      <c r="Y142" t="e">
        <f>+_xlfn.XLOOKUP(tbl_encuesta[[#This Row],[Considero a Limtek como un buen lugar para trabajar]],#REF!,#REF!)</f>
        <v>#REF!</v>
      </c>
      <c r="Z142" t="s">
        <v>418</v>
      </c>
      <c r="AA142" t="s">
        <v>419</v>
      </c>
      <c r="AB142" t="s">
        <v>28</v>
      </c>
      <c r="AC142" s="3" t="s">
        <v>3714</v>
      </c>
      <c r="AD142" s="3" t="s">
        <v>3714</v>
      </c>
      <c r="AE142" t="s">
        <v>29</v>
      </c>
    </row>
    <row r="143" spans="1:31" x14ac:dyDescent="0.25">
      <c r="A143">
        <v>119033501914</v>
      </c>
      <c r="B143">
        <v>462598545</v>
      </c>
      <c r="C143" s="1">
        <v>46030.813518518517</v>
      </c>
      <c r="D143" s="1">
        <v>46030.81726851852</v>
      </c>
      <c r="E143" t="s">
        <v>420</v>
      </c>
      <c r="F143" t="s">
        <v>23</v>
      </c>
      <c r="G143" t="e">
        <f>+_xlfn.XLOOKUP(tbl_encuesta[[#This Row],[Me siento a gusto con el ambiente de trabajo que se genera en mi equipo.]],#REF!,#REF!)</f>
        <v>#REF!</v>
      </c>
      <c r="H143" t="s">
        <v>23</v>
      </c>
      <c r="I143" t="e">
        <f>+_xlfn.XLOOKUP(tbl_encuesta[[#This Row],[Me siento motivado a dar lo mejor de mí y hacer un buen trabajo]],#REF!,#REF!)</f>
        <v>#REF!</v>
      </c>
      <c r="J143" t="s">
        <v>23</v>
      </c>
      <c r="K143" t="e">
        <f>+_xlfn.XLOOKUP(tbl_encuesta[[#This Row],[Mi supervisor o jefe directo me otorga el soporte que necesito para afrontar cualquier problema que afecte mi trabajo]],#REF!,#REF!)</f>
        <v>#REF!</v>
      </c>
      <c r="L143" t="s">
        <v>23</v>
      </c>
      <c r="M143" t="e">
        <f>+_xlfn.XLOOKUP(tbl_encuesta[[#This Row],[Mi supervisor o jefe directo fomenta que nos apoyemos entre todos en el equipo]],#REF!,#REF!)</f>
        <v>#REF!</v>
      </c>
      <c r="N143" t="s">
        <v>23</v>
      </c>
      <c r="O143" t="e">
        <f>+_xlfn.XLOOKUP(tbl_encuesta[[#This Row],[Siento que mi trabajo es reconocido por mi supervisor o jefe directo.]],#REF!,#REF!)</f>
        <v>#REF!</v>
      </c>
      <c r="P143" t="s">
        <v>31</v>
      </c>
      <c r="Q143" t="e">
        <f xml:space="preserve">
_xlfn.XLOOKUP(
tbl_encuesta[[#This Row],[Mi supervisor o jefe directo nos brinda charlas de 5 minutos y comunica las novedades relevantes a mi puesto de trabajo]],#REF!,#REF!
)</f>
        <v>#REF!</v>
      </c>
      <c r="U143" t="s">
        <v>20</v>
      </c>
      <c r="V143" t="s">
        <v>421</v>
      </c>
      <c r="W143" t="s">
        <v>25</v>
      </c>
      <c r="X143" t="s">
        <v>23</v>
      </c>
      <c r="Y143" t="e">
        <f>+_xlfn.XLOOKUP(tbl_encuesta[[#This Row],[Considero a Limtek como un buen lugar para trabajar]],#REF!,#REF!)</f>
        <v>#REF!</v>
      </c>
      <c r="Z143" t="s">
        <v>422</v>
      </c>
      <c r="AA143" t="s">
        <v>423</v>
      </c>
      <c r="AB143" t="s">
        <v>28</v>
      </c>
      <c r="AC143" s="3" t="s">
        <v>3736</v>
      </c>
      <c r="AD143" s="3" t="s">
        <v>3739</v>
      </c>
      <c r="AE143" t="s">
        <v>34</v>
      </c>
    </row>
    <row r="144" spans="1:31" x14ac:dyDescent="0.25">
      <c r="A144">
        <v>119033500666</v>
      </c>
      <c r="B144">
        <v>462598545</v>
      </c>
      <c r="C144" s="1">
        <v>46030.809479166666</v>
      </c>
      <c r="D144" s="1">
        <v>46030.815312500003</v>
      </c>
      <c r="E144" t="s">
        <v>424</v>
      </c>
      <c r="F144" t="s">
        <v>23</v>
      </c>
      <c r="G144" t="e">
        <f>+_xlfn.XLOOKUP(tbl_encuesta[[#This Row],[Me siento a gusto con el ambiente de trabajo que se genera en mi equipo.]],#REF!,#REF!)</f>
        <v>#REF!</v>
      </c>
      <c r="H144" t="s">
        <v>23</v>
      </c>
      <c r="I144" t="e">
        <f>+_xlfn.XLOOKUP(tbl_encuesta[[#This Row],[Me siento motivado a dar lo mejor de mí y hacer un buen trabajo]],#REF!,#REF!)</f>
        <v>#REF!</v>
      </c>
      <c r="J144" t="s">
        <v>23</v>
      </c>
      <c r="K144" t="e">
        <f>+_xlfn.XLOOKUP(tbl_encuesta[[#This Row],[Mi supervisor o jefe directo me otorga el soporte que necesito para afrontar cualquier problema que afecte mi trabajo]],#REF!,#REF!)</f>
        <v>#REF!</v>
      </c>
      <c r="L144" t="s">
        <v>23</v>
      </c>
      <c r="M144" t="e">
        <f>+_xlfn.XLOOKUP(tbl_encuesta[[#This Row],[Mi supervisor o jefe directo fomenta que nos apoyemos entre todos en el equipo]],#REF!,#REF!)</f>
        <v>#REF!</v>
      </c>
      <c r="N144" t="s">
        <v>23</v>
      </c>
      <c r="O144" t="e">
        <f>+_xlfn.XLOOKUP(tbl_encuesta[[#This Row],[Siento que mi trabajo es reconocido por mi supervisor o jefe directo.]],#REF!,#REF!)</f>
        <v>#REF!</v>
      </c>
      <c r="P144" t="s">
        <v>31</v>
      </c>
      <c r="Q144" t="e">
        <f xml:space="preserve">
_xlfn.XLOOKUP(
tbl_encuesta[[#This Row],[Mi supervisor o jefe directo nos brinda charlas de 5 minutos y comunica las novedades relevantes a mi puesto de trabajo]],#REF!,#REF!
)</f>
        <v>#REF!</v>
      </c>
      <c r="S144" t="s">
        <v>18</v>
      </c>
      <c r="W144" t="s">
        <v>25</v>
      </c>
      <c r="X144" t="s">
        <v>23</v>
      </c>
      <c r="Y144" t="e">
        <f>+_xlfn.XLOOKUP(tbl_encuesta[[#This Row],[Considero a Limtek como un buen lugar para trabajar]],#REF!,#REF!)</f>
        <v>#REF!</v>
      </c>
      <c r="Z144" t="s">
        <v>425</v>
      </c>
      <c r="AA144" t="s">
        <v>426</v>
      </c>
      <c r="AB144" t="s">
        <v>28</v>
      </c>
      <c r="AC144" s="3" t="s">
        <v>3714</v>
      </c>
      <c r="AD144" s="3" t="s">
        <v>3714</v>
      </c>
      <c r="AE144" t="s">
        <v>29</v>
      </c>
    </row>
    <row r="145" spans="1:31" x14ac:dyDescent="0.25">
      <c r="A145">
        <v>119033499442</v>
      </c>
      <c r="B145">
        <v>462598545</v>
      </c>
      <c r="C145" s="1">
        <v>46030.812974537039</v>
      </c>
      <c r="D145" s="1">
        <v>46030.813564814816</v>
      </c>
      <c r="E145" t="s">
        <v>427</v>
      </c>
      <c r="F145" t="s">
        <v>22</v>
      </c>
      <c r="G145" t="e">
        <f>+_xlfn.XLOOKUP(tbl_encuesta[[#This Row],[Me siento a gusto con el ambiente de trabajo que se genera en mi equipo.]],#REF!,#REF!)</f>
        <v>#REF!</v>
      </c>
      <c r="H145" t="s">
        <v>23</v>
      </c>
      <c r="I145" t="e">
        <f>+_xlfn.XLOOKUP(tbl_encuesta[[#This Row],[Me siento motivado a dar lo mejor de mí y hacer un buen trabajo]],#REF!,#REF!)</f>
        <v>#REF!</v>
      </c>
      <c r="J145" t="s">
        <v>22</v>
      </c>
      <c r="K145" t="e">
        <f>+_xlfn.XLOOKUP(tbl_encuesta[[#This Row],[Mi supervisor o jefe directo me otorga el soporte que necesito para afrontar cualquier problema que afecte mi trabajo]],#REF!,#REF!)</f>
        <v>#REF!</v>
      </c>
      <c r="L145" t="s">
        <v>22</v>
      </c>
      <c r="M145" t="e">
        <f>+_xlfn.XLOOKUP(tbl_encuesta[[#This Row],[Mi supervisor o jefe directo fomenta que nos apoyemos entre todos en el equipo]],#REF!,#REF!)</f>
        <v>#REF!</v>
      </c>
      <c r="N145" t="s">
        <v>22</v>
      </c>
      <c r="O145" t="e">
        <f>+_xlfn.XLOOKUP(tbl_encuesta[[#This Row],[Siento que mi trabajo es reconocido por mi supervisor o jefe directo.]],#REF!,#REF!)</f>
        <v>#REF!</v>
      </c>
      <c r="P145" t="s">
        <v>67</v>
      </c>
      <c r="Q145" t="e">
        <f xml:space="preserve">
_xlfn.XLOOKUP(
tbl_encuesta[[#This Row],[Mi supervisor o jefe directo nos brinda charlas de 5 minutos y comunica las novedades relevantes a mi puesto de trabajo]],#REF!,#REF!
)</f>
        <v>#REF!</v>
      </c>
      <c r="R145" t="s">
        <v>17</v>
      </c>
      <c r="S145" t="s">
        <v>18</v>
      </c>
      <c r="W145" t="s">
        <v>25</v>
      </c>
      <c r="X145" t="s">
        <v>22</v>
      </c>
      <c r="Y145" t="e">
        <f>+_xlfn.XLOOKUP(tbl_encuesta[[#This Row],[Considero a Limtek como un buen lugar para trabajar]],#REF!,#REF!)</f>
        <v>#REF!</v>
      </c>
      <c r="Z145" t="s">
        <v>428</v>
      </c>
      <c r="AA145" t="s">
        <v>429</v>
      </c>
      <c r="AB145" t="s">
        <v>28</v>
      </c>
      <c r="AC145" s="3" t="s">
        <v>3736</v>
      </c>
      <c r="AD145" s="3" t="s">
        <v>3736</v>
      </c>
      <c r="AE145" t="s">
        <v>55</v>
      </c>
    </row>
    <row r="146" spans="1:31" x14ac:dyDescent="0.25">
      <c r="A146">
        <v>119033498819</v>
      </c>
      <c r="B146">
        <v>462598545</v>
      </c>
      <c r="C146" s="1">
        <v>46030.810671296298</v>
      </c>
      <c r="D146" s="1">
        <v>46030.812615740739</v>
      </c>
      <c r="E146" t="s">
        <v>427</v>
      </c>
      <c r="F146" t="s">
        <v>22</v>
      </c>
      <c r="G146" t="e">
        <f>+_xlfn.XLOOKUP(tbl_encuesta[[#This Row],[Me siento a gusto con el ambiente de trabajo que se genera en mi equipo.]],#REF!,#REF!)</f>
        <v>#REF!</v>
      </c>
      <c r="H146" t="s">
        <v>23</v>
      </c>
      <c r="I146" t="e">
        <f>+_xlfn.XLOOKUP(tbl_encuesta[[#This Row],[Me siento motivado a dar lo mejor de mí y hacer un buen trabajo]],#REF!,#REF!)</f>
        <v>#REF!</v>
      </c>
      <c r="J146" t="s">
        <v>22</v>
      </c>
      <c r="K146" t="e">
        <f>+_xlfn.XLOOKUP(tbl_encuesta[[#This Row],[Mi supervisor o jefe directo me otorga el soporte que necesito para afrontar cualquier problema que afecte mi trabajo]],#REF!,#REF!)</f>
        <v>#REF!</v>
      </c>
      <c r="L146" t="s">
        <v>22</v>
      </c>
      <c r="M146" t="e">
        <f>+_xlfn.XLOOKUP(tbl_encuesta[[#This Row],[Mi supervisor o jefe directo fomenta que nos apoyemos entre todos en el equipo]],#REF!,#REF!)</f>
        <v>#REF!</v>
      </c>
      <c r="N146" t="s">
        <v>22</v>
      </c>
      <c r="O146" t="e">
        <f>+_xlfn.XLOOKUP(tbl_encuesta[[#This Row],[Siento que mi trabajo es reconocido por mi supervisor o jefe directo.]],#REF!,#REF!)</f>
        <v>#REF!</v>
      </c>
      <c r="P146" t="s">
        <v>67</v>
      </c>
      <c r="Q146" t="e">
        <f xml:space="preserve">
_xlfn.XLOOKUP(
tbl_encuesta[[#This Row],[Mi supervisor o jefe directo nos brinda charlas de 5 minutos y comunica las novedades relevantes a mi puesto de trabajo]],#REF!,#REF!
)</f>
        <v>#REF!</v>
      </c>
      <c r="R146" t="s">
        <v>17</v>
      </c>
      <c r="S146" t="s">
        <v>18</v>
      </c>
      <c r="W146" t="s">
        <v>25</v>
      </c>
      <c r="X146" t="s">
        <v>22</v>
      </c>
      <c r="Y146" t="e">
        <f>+_xlfn.XLOOKUP(tbl_encuesta[[#This Row],[Considero a Limtek como un buen lugar para trabajar]],#REF!,#REF!)</f>
        <v>#REF!</v>
      </c>
      <c r="Z146" t="s">
        <v>428</v>
      </c>
      <c r="AA146" t="s">
        <v>429</v>
      </c>
      <c r="AB146" t="s">
        <v>28</v>
      </c>
      <c r="AC146" s="3" t="s">
        <v>3736</v>
      </c>
      <c r="AD146" s="3" t="s">
        <v>3736</v>
      </c>
      <c r="AE146" t="s">
        <v>55</v>
      </c>
    </row>
    <row r="147" spans="1:31" x14ac:dyDescent="0.25">
      <c r="A147">
        <v>119033496143</v>
      </c>
      <c r="B147">
        <v>462598545</v>
      </c>
      <c r="C147" s="1">
        <v>46030.804942129631</v>
      </c>
      <c r="D147" s="1">
        <v>46030.808622685188</v>
      </c>
      <c r="E147" t="s">
        <v>430</v>
      </c>
      <c r="F147" t="s">
        <v>22</v>
      </c>
      <c r="G147" t="e">
        <f>+_xlfn.XLOOKUP(tbl_encuesta[[#This Row],[Me siento a gusto con el ambiente de trabajo que se genera en mi equipo.]],#REF!,#REF!)</f>
        <v>#REF!</v>
      </c>
      <c r="H147" t="s">
        <v>23</v>
      </c>
      <c r="I147" t="e">
        <f>+_xlfn.XLOOKUP(tbl_encuesta[[#This Row],[Me siento motivado a dar lo mejor de mí y hacer un buen trabajo]],#REF!,#REF!)</f>
        <v>#REF!</v>
      </c>
      <c r="J147" t="s">
        <v>23</v>
      </c>
      <c r="K147" t="e">
        <f>+_xlfn.XLOOKUP(tbl_encuesta[[#This Row],[Mi supervisor o jefe directo me otorga el soporte que necesito para afrontar cualquier problema que afecte mi trabajo]],#REF!,#REF!)</f>
        <v>#REF!</v>
      </c>
      <c r="L147" t="s">
        <v>23</v>
      </c>
      <c r="M147" t="e">
        <f>+_xlfn.XLOOKUP(tbl_encuesta[[#This Row],[Mi supervisor o jefe directo fomenta que nos apoyemos entre todos en el equipo]],#REF!,#REF!)</f>
        <v>#REF!</v>
      </c>
      <c r="N147" t="s">
        <v>23</v>
      </c>
      <c r="O147" t="e">
        <f>+_xlfn.XLOOKUP(tbl_encuesta[[#This Row],[Siento que mi trabajo es reconocido por mi supervisor o jefe directo.]],#REF!,#REF!)</f>
        <v>#REF!</v>
      </c>
      <c r="P147" t="s">
        <v>67</v>
      </c>
      <c r="Q147" t="e">
        <f xml:space="preserve">
_xlfn.XLOOKUP(
tbl_encuesta[[#This Row],[Mi supervisor o jefe directo nos brinda charlas de 5 minutos y comunica las novedades relevantes a mi puesto de trabajo]],#REF!,#REF!
)</f>
        <v>#REF!</v>
      </c>
      <c r="S147" t="s">
        <v>18</v>
      </c>
      <c r="W147" t="s">
        <v>25</v>
      </c>
      <c r="X147" t="s">
        <v>22</v>
      </c>
      <c r="Y147" t="e">
        <f>+_xlfn.XLOOKUP(tbl_encuesta[[#This Row],[Considero a Limtek como un buen lugar para trabajar]],#REF!,#REF!)</f>
        <v>#REF!</v>
      </c>
      <c r="Z147" t="s">
        <v>431</v>
      </c>
      <c r="AA147" t="s">
        <v>432</v>
      </c>
      <c r="AB147" t="s">
        <v>28</v>
      </c>
      <c r="AC147" s="3" t="s">
        <v>3714</v>
      </c>
      <c r="AD147" s="3" t="s">
        <v>3715</v>
      </c>
      <c r="AE147" t="s">
        <v>34</v>
      </c>
    </row>
    <row r="148" spans="1:31" x14ac:dyDescent="0.25">
      <c r="A148">
        <v>119033494679</v>
      </c>
      <c r="B148">
        <v>462598545</v>
      </c>
      <c r="C148" s="1">
        <v>46030.803483796299</v>
      </c>
      <c r="D148" s="1">
        <v>46030.806423611109</v>
      </c>
      <c r="E148" t="s">
        <v>433</v>
      </c>
      <c r="F148" t="s">
        <v>23</v>
      </c>
      <c r="G148" t="e">
        <f>+_xlfn.XLOOKUP(tbl_encuesta[[#This Row],[Me siento a gusto con el ambiente de trabajo que se genera en mi equipo.]],#REF!,#REF!)</f>
        <v>#REF!</v>
      </c>
      <c r="H148" t="s">
        <v>23</v>
      </c>
      <c r="I148" t="e">
        <f>+_xlfn.XLOOKUP(tbl_encuesta[[#This Row],[Me siento motivado a dar lo mejor de mí y hacer un buen trabajo]],#REF!,#REF!)</f>
        <v>#REF!</v>
      </c>
      <c r="J148" t="s">
        <v>23</v>
      </c>
      <c r="K148" t="e">
        <f>+_xlfn.XLOOKUP(tbl_encuesta[[#This Row],[Mi supervisor o jefe directo me otorga el soporte que necesito para afrontar cualquier problema que afecte mi trabajo]],#REF!,#REF!)</f>
        <v>#REF!</v>
      </c>
      <c r="L148" t="s">
        <v>23</v>
      </c>
      <c r="M148" t="e">
        <f>+_xlfn.XLOOKUP(tbl_encuesta[[#This Row],[Mi supervisor o jefe directo fomenta que nos apoyemos entre todos en el equipo]],#REF!,#REF!)</f>
        <v>#REF!</v>
      </c>
      <c r="N148" t="s">
        <v>22</v>
      </c>
      <c r="O148" t="e">
        <f>+_xlfn.XLOOKUP(tbl_encuesta[[#This Row],[Siento que mi trabajo es reconocido por mi supervisor o jefe directo.]],#REF!,#REF!)</f>
        <v>#REF!</v>
      </c>
      <c r="P148" t="s">
        <v>31</v>
      </c>
      <c r="Q148" t="e">
        <f xml:space="preserve">
_xlfn.XLOOKUP(
tbl_encuesta[[#This Row],[Mi supervisor o jefe directo nos brinda charlas de 5 minutos y comunica las novedades relevantes a mi puesto de trabajo]],#REF!,#REF!
)</f>
        <v>#REF!</v>
      </c>
      <c r="R148" t="s">
        <v>17</v>
      </c>
      <c r="W148" t="s">
        <v>25</v>
      </c>
      <c r="X148" t="s">
        <v>23</v>
      </c>
      <c r="Y148" t="e">
        <f>+_xlfn.XLOOKUP(tbl_encuesta[[#This Row],[Considero a Limtek como un buen lugar para trabajar]],#REF!,#REF!)</f>
        <v>#REF!</v>
      </c>
      <c r="Z148" t="s">
        <v>434</v>
      </c>
      <c r="AA148" t="s">
        <v>435</v>
      </c>
      <c r="AB148" t="s">
        <v>28</v>
      </c>
      <c r="AC148" t="s">
        <v>3598</v>
      </c>
      <c r="AD148" s="3" t="s">
        <v>3604</v>
      </c>
      <c r="AE148" t="s">
        <v>34</v>
      </c>
    </row>
    <row r="149" spans="1:31" x14ac:dyDescent="0.25">
      <c r="A149">
        <v>119033493099</v>
      </c>
      <c r="B149">
        <v>462598545</v>
      </c>
      <c r="C149" s="1">
        <v>46030.802824074075</v>
      </c>
      <c r="D149" s="1">
        <v>46030.803923611114</v>
      </c>
      <c r="E149" t="s">
        <v>436</v>
      </c>
      <c r="F149" t="s">
        <v>23</v>
      </c>
      <c r="G149" t="e">
        <f>+_xlfn.XLOOKUP(tbl_encuesta[[#This Row],[Me siento a gusto con el ambiente de trabajo que se genera en mi equipo.]],#REF!,#REF!)</f>
        <v>#REF!</v>
      </c>
      <c r="H149" t="s">
        <v>23</v>
      </c>
      <c r="I149" t="e">
        <f>+_xlfn.XLOOKUP(tbl_encuesta[[#This Row],[Me siento motivado a dar lo mejor de mí y hacer un buen trabajo]],#REF!,#REF!)</f>
        <v>#REF!</v>
      </c>
      <c r="J149" t="s">
        <v>23</v>
      </c>
      <c r="K149" t="e">
        <f>+_xlfn.XLOOKUP(tbl_encuesta[[#This Row],[Mi supervisor o jefe directo me otorga el soporte que necesito para afrontar cualquier problema que afecte mi trabajo]],#REF!,#REF!)</f>
        <v>#REF!</v>
      </c>
      <c r="L149" t="s">
        <v>23</v>
      </c>
      <c r="M149" t="e">
        <f>+_xlfn.XLOOKUP(tbl_encuesta[[#This Row],[Mi supervisor o jefe directo fomenta que nos apoyemos entre todos en el equipo]],#REF!,#REF!)</f>
        <v>#REF!</v>
      </c>
      <c r="N149" t="s">
        <v>23</v>
      </c>
      <c r="O149" t="e">
        <f>+_xlfn.XLOOKUP(tbl_encuesta[[#This Row],[Siento que mi trabajo es reconocido por mi supervisor o jefe directo.]],#REF!,#REF!)</f>
        <v>#REF!</v>
      </c>
      <c r="P149" t="s">
        <v>31</v>
      </c>
      <c r="Q149" t="e">
        <f xml:space="preserve">
_xlfn.XLOOKUP(
tbl_encuesta[[#This Row],[Mi supervisor o jefe directo nos brinda charlas de 5 minutos y comunica las novedades relevantes a mi puesto de trabajo]],#REF!,#REF!
)</f>
        <v>#REF!</v>
      </c>
      <c r="S149" t="s">
        <v>18</v>
      </c>
      <c r="T149" t="s">
        <v>19</v>
      </c>
      <c r="W149" t="s">
        <v>25</v>
      </c>
      <c r="X149" t="s">
        <v>23</v>
      </c>
      <c r="Y149" t="e">
        <f>+_xlfn.XLOOKUP(tbl_encuesta[[#This Row],[Considero a Limtek como un buen lugar para trabajar]],#REF!,#REF!)</f>
        <v>#REF!</v>
      </c>
      <c r="Z149" t="s">
        <v>437</v>
      </c>
      <c r="AA149" t="s">
        <v>438</v>
      </c>
      <c r="AB149" t="s">
        <v>28</v>
      </c>
      <c r="AC149" s="3" t="s">
        <v>3714</v>
      </c>
      <c r="AD149" s="3" t="s">
        <v>3714</v>
      </c>
      <c r="AE149" t="s">
        <v>69</v>
      </c>
    </row>
    <row r="150" spans="1:31" x14ac:dyDescent="0.25">
      <c r="A150">
        <v>119033493016</v>
      </c>
      <c r="B150">
        <v>462598545</v>
      </c>
      <c r="C150" s="1">
        <v>46030.800868055558</v>
      </c>
      <c r="D150" s="1">
        <v>46030.803796296299</v>
      </c>
      <c r="E150" t="s">
        <v>439</v>
      </c>
      <c r="F150" t="s">
        <v>23</v>
      </c>
      <c r="G150" t="e">
        <f>+_xlfn.XLOOKUP(tbl_encuesta[[#This Row],[Me siento a gusto con el ambiente de trabajo que se genera en mi equipo.]],#REF!,#REF!)</f>
        <v>#REF!</v>
      </c>
      <c r="H150" t="s">
        <v>23</v>
      </c>
      <c r="I150" t="e">
        <f>+_xlfn.XLOOKUP(tbl_encuesta[[#This Row],[Me siento motivado a dar lo mejor de mí y hacer un buen trabajo]],#REF!,#REF!)</f>
        <v>#REF!</v>
      </c>
      <c r="J150" t="s">
        <v>23</v>
      </c>
      <c r="K150" t="e">
        <f>+_xlfn.XLOOKUP(tbl_encuesta[[#This Row],[Mi supervisor o jefe directo me otorga el soporte que necesito para afrontar cualquier problema que afecte mi trabajo]],#REF!,#REF!)</f>
        <v>#REF!</v>
      </c>
      <c r="L150" t="s">
        <v>23</v>
      </c>
      <c r="M150" t="e">
        <f>+_xlfn.XLOOKUP(tbl_encuesta[[#This Row],[Mi supervisor o jefe directo fomenta que nos apoyemos entre todos en el equipo]],#REF!,#REF!)</f>
        <v>#REF!</v>
      </c>
      <c r="N150" t="s">
        <v>23</v>
      </c>
      <c r="O150" t="e">
        <f>+_xlfn.XLOOKUP(tbl_encuesta[[#This Row],[Siento que mi trabajo es reconocido por mi supervisor o jefe directo.]],#REF!,#REF!)</f>
        <v>#REF!</v>
      </c>
      <c r="P150" t="s">
        <v>31</v>
      </c>
      <c r="Q150" t="e">
        <f xml:space="preserve">
_xlfn.XLOOKUP(
tbl_encuesta[[#This Row],[Mi supervisor o jefe directo nos brinda charlas de 5 minutos y comunica las novedades relevantes a mi puesto de trabajo]],#REF!,#REF!
)</f>
        <v>#REF!</v>
      </c>
      <c r="R150" t="s">
        <v>17</v>
      </c>
      <c r="U150" t="s">
        <v>20</v>
      </c>
      <c r="W150" t="s">
        <v>25</v>
      </c>
      <c r="X150" t="s">
        <v>23</v>
      </c>
      <c r="Y150" t="e">
        <f>+_xlfn.XLOOKUP(tbl_encuesta[[#This Row],[Considero a Limtek como un buen lugar para trabajar]],#REF!,#REF!)</f>
        <v>#REF!</v>
      </c>
      <c r="Z150" t="s">
        <v>388</v>
      </c>
      <c r="AA150" t="s">
        <v>440</v>
      </c>
      <c r="AB150" t="s">
        <v>28</v>
      </c>
      <c r="AC150" s="3" t="s">
        <v>3736</v>
      </c>
      <c r="AD150" s="3" t="s">
        <v>3741</v>
      </c>
      <c r="AE150" t="s">
        <v>34</v>
      </c>
    </row>
    <row r="151" spans="1:31" x14ac:dyDescent="0.25">
      <c r="A151">
        <v>119033492056</v>
      </c>
      <c r="B151">
        <v>462598545</v>
      </c>
      <c r="C151" s="1">
        <v>46030.800023148149</v>
      </c>
      <c r="D151" s="1">
        <v>46030.802314814813</v>
      </c>
      <c r="E151" t="s">
        <v>441</v>
      </c>
      <c r="F151" t="s">
        <v>22</v>
      </c>
      <c r="G151" t="e">
        <f>+_xlfn.XLOOKUP(tbl_encuesta[[#This Row],[Me siento a gusto con el ambiente de trabajo que se genera en mi equipo.]],#REF!,#REF!)</f>
        <v>#REF!</v>
      </c>
      <c r="H151" t="s">
        <v>22</v>
      </c>
      <c r="I151" t="e">
        <f>+_xlfn.XLOOKUP(tbl_encuesta[[#This Row],[Me siento motivado a dar lo mejor de mí y hacer un buen trabajo]],#REF!,#REF!)</f>
        <v>#REF!</v>
      </c>
      <c r="J151" t="s">
        <v>22</v>
      </c>
      <c r="K151" t="e">
        <f>+_xlfn.XLOOKUP(tbl_encuesta[[#This Row],[Mi supervisor o jefe directo me otorga el soporte que necesito para afrontar cualquier problema que afecte mi trabajo]],#REF!,#REF!)</f>
        <v>#REF!</v>
      </c>
      <c r="L151" t="s">
        <v>22</v>
      </c>
      <c r="M151" t="e">
        <f>+_xlfn.XLOOKUP(tbl_encuesta[[#This Row],[Mi supervisor o jefe directo fomenta que nos apoyemos entre todos en el equipo]],#REF!,#REF!)</f>
        <v>#REF!</v>
      </c>
      <c r="N151" t="s">
        <v>22</v>
      </c>
      <c r="O151" t="e">
        <f>+_xlfn.XLOOKUP(tbl_encuesta[[#This Row],[Siento que mi trabajo es reconocido por mi supervisor o jefe directo.]],#REF!,#REF!)</f>
        <v>#REF!</v>
      </c>
      <c r="P151" t="s">
        <v>67</v>
      </c>
      <c r="Q151" t="e">
        <f xml:space="preserve">
_xlfn.XLOOKUP(
tbl_encuesta[[#This Row],[Mi supervisor o jefe directo nos brinda charlas de 5 minutos y comunica las novedades relevantes a mi puesto de trabajo]],#REF!,#REF!
)</f>
        <v>#REF!</v>
      </c>
      <c r="S151" t="s">
        <v>18</v>
      </c>
      <c r="T151" t="s">
        <v>19</v>
      </c>
      <c r="W151" t="s">
        <v>25</v>
      </c>
      <c r="X151" t="s">
        <v>23</v>
      </c>
      <c r="Y151" t="e">
        <f>+_xlfn.XLOOKUP(tbl_encuesta[[#This Row],[Considero a Limtek como un buen lugar para trabajar]],#REF!,#REF!)</f>
        <v>#REF!</v>
      </c>
      <c r="Z151" t="s">
        <v>442</v>
      </c>
      <c r="AA151" t="s">
        <v>443</v>
      </c>
      <c r="AB151" t="s">
        <v>28</v>
      </c>
      <c r="AC151" t="s">
        <v>3598</v>
      </c>
      <c r="AD151" s="3" t="s">
        <v>3606</v>
      </c>
      <c r="AE151" t="s">
        <v>55</v>
      </c>
    </row>
    <row r="152" spans="1:31" x14ac:dyDescent="0.25">
      <c r="A152">
        <v>119033491445</v>
      </c>
      <c r="B152">
        <v>462598545</v>
      </c>
      <c r="C152" s="1">
        <v>46030.799710648149</v>
      </c>
      <c r="D152" s="1">
        <v>46030.801446759258</v>
      </c>
      <c r="E152" t="s">
        <v>436</v>
      </c>
      <c r="F152" t="s">
        <v>23</v>
      </c>
      <c r="G152" t="e">
        <f>+_xlfn.XLOOKUP(tbl_encuesta[[#This Row],[Me siento a gusto con el ambiente de trabajo que se genera en mi equipo.]],#REF!,#REF!)</f>
        <v>#REF!</v>
      </c>
      <c r="H152" t="s">
        <v>23</v>
      </c>
      <c r="I152" t="e">
        <f>+_xlfn.XLOOKUP(tbl_encuesta[[#This Row],[Me siento motivado a dar lo mejor de mí y hacer un buen trabajo]],#REF!,#REF!)</f>
        <v>#REF!</v>
      </c>
      <c r="J152" t="s">
        <v>23</v>
      </c>
      <c r="K152" t="e">
        <f>+_xlfn.XLOOKUP(tbl_encuesta[[#This Row],[Mi supervisor o jefe directo me otorga el soporte que necesito para afrontar cualquier problema que afecte mi trabajo]],#REF!,#REF!)</f>
        <v>#REF!</v>
      </c>
      <c r="L152" t="s">
        <v>23</v>
      </c>
      <c r="M152" t="e">
        <f>+_xlfn.XLOOKUP(tbl_encuesta[[#This Row],[Mi supervisor o jefe directo fomenta que nos apoyemos entre todos en el equipo]],#REF!,#REF!)</f>
        <v>#REF!</v>
      </c>
      <c r="N152" t="s">
        <v>23</v>
      </c>
      <c r="O152" t="e">
        <f>+_xlfn.XLOOKUP(tbl_encuesta[[#This Row],[Siento que mi trabajo es reconocido por mi supervisor o jefe directo.]],#REF!,#REF!)</f>
        <v>#REF!</v>
      </c>
      <c r="P152" t="s">
        <v>31</v>
      </c>
      <c r="Q152" t="e">
        <f xml:space="preserve">
_xlfn.XLOOKUP(
tbl_encuesta[[#This Row],[Mi supervisor o jefe directo nos brinda charlas de 5 minutos y comunica las novedades relevantes a mi puesto de trabajo]],#REF!,#REF!
)</f>
        <v>#REF!</v>
      </c>
      <c r="S152" t="s">
        <v>18</v>
      </c>
      <c r="T152" t="s">
        <v>19</v>
      </c>
      <c r="W152" t="s">
        <v>25</v>
      </c>
      <c r="X152" t="s">
        <v>23</v>
      </c>
      <c r="Y152" t="e">
        <f>+_xlfn.XLOOKUP(tbl_encuesta[[#This Row],[Considero a Limtek como un buen lugar para trabajar]],#REF!,#REF!)</f>
        <v>#REF!</v>
      </c>
      <c r="Z152" t="s">
        <v>437</v>
      </c>
      <c r="AA152" t="s">
        <v>444</v>
      </c>
      <c r="AB152" t="s">
        <v>28</v>
      </c>
      <c r="AC152" s="3" t="s">
        <v>3714</v>
      </c>
      <c r="AD152" s="3" t="s">
        <v>3714</v>
      </c>
      <c r="AE152" t="s">
        <v>69</v>
      </c>
    </row>
    <row r="153" spans="1:31" x14ac:dyDescent="0.25">
      <c r="A153">
        <v>119033490257</v>
      </c>
      <c r="B153">
        <v>462598545</v>
      </c>
      <c r="C153" s="1">
        <v>46030.792291666665</v>
      </c>
      <c r="D153" s="1">
        <v>46030.799629629626</v>
      </c>
      <c r="E153" t="s">
        <v>445</v>
      </c>
      <c r="F153" t="s">
        <v>23</v>
      </c>
      <c r="G153" t="e">
        <f>+_xlfn.XLOOKUP(tbl_encuesta[[#This Row],[Me siento a gusto con el ambiente de trabajo que se genera en mi equipo.]],#REF!,#REF!)</f>
        <v>#REF!</v>
      </c>
      <c r="H153" t="s">
        <v>23</v>
      </c>
      <c r="I153" t="e">
        <f>+_xlfn.XLOOKUP(tbl_encuesta[[#This Row],[Me siento motivado a dar lo mejor de mí y hacer un buen trabajo]],#REF!,#REF!)</f>
        <v>#REF!</v>
      </c>
      <c r="J153" t="s">
        <v>97</v>
      </c>
      <c r="K153" t="e">
        <f>+_xlfn.XLOOKUP(tbl_encuesta[[#This Row],[Mi supervisor o jefe directo me otorga el soporte que necesito para afrontar cualquier problema que afecte mi trabajo]],#REF!,#REF!)</f>
        <v>#REF!</v>
      </c>
      <c r="L153" t="s">
        <v>22</v>
      </c>
      <c r="M153" t="e">
        <f>+_xlfn.XLOOKUP(tbl_encuesta[[#This Row],[Mi supervisor o jefe directo fomenta que nos apoyemos entre todos en el equipo]],#REF!,#REF!)</f>
        <v>#REF!</v>
      </c>
      <c r="N153" t="s">
        <v>43</v>
      </c>
      <c r="O153" t="e">
        <f>+_xlfn.XLOOKUP(tbl_encuesta[[#This Row],[Siento que mi trabajo es reconocido por mi supervisor o jefe directo.]],#REF!,#REF!)</f>
        <v>#REF!</v>
      </c>
      <c r="P153" t="s">
        <v>31</v>
      </c>
      <c r="Q153" t="e">
        <f xml:space="preserve">
_xlfn.XLOOKUP(
tbl_encuesta[[#This Row],[Mi supervisor o jefe directo nos brinda charlas de 5 minutos y comunica las novedades relevantes a mi puesto de trabajo]],#REF!,#REF!
)</f>
        <v>#REF!</v>
      </c>
      <c r="T153" t="s">
        <v>19</v>
      </c>
      <c r="V153" t="s">
        <v>446</v>
      </c>
      <c r="W153" t="s">
        <v>25</v>
      </c>
      <c r="X153" t="s">
        <v>23</v>
      </c>
      <c r="Y153" t="e">
        <f>+_xlfn.XLOOKUP(tbl_encuesta[[#This Row],[Considero a Limtek como un buen lugar para trabajar]],#REF!,#REF!)</f>
        <v>#REF!</v>
      </c>
      <c r="Z153" t="s">
        <v>447</v>
      </c>
      <c r="AA153" t="s">
        <v>448</v>
      </c>
      <c r="AB153" t="s">
        <v>28</v>
      </c>
      <c r="AC153" s="3" t="s">
        <v>3736</v>
      </c>
      <c r="AD153" s="3" t="s">
        <v>3736</v>
      </c>
      <c r="AE153" t="s">
        <v>61</v>
      </c>
    </row>
    <row r="154" spans="1:31" x14ac:dyDescent="0.25">
      <c r="A154">
        <v>119033487514</v>
      </c>
      <c r="B154">
        <v>462598545</v>
      </c>
      <c r="C154" s="1">
        <v>46030.788101851853</v>
      </c>
      <c r="D154" s="1">
        <v>46030.795486111114</v>
      </c>
      <c r="E154" t="s">
        <v>441</v>
      </c>
      <c r="F154" t="s">
        <v>22</v>
      </c>
      <c r="G154" t="e">
        <f>+_xlfn.XLOOKUP(tbl_encuesta[[#This Row],[Me siento a gusto con el ambiente de trabajo que se genera en mi equipo.]],#REF!,#REF!)</f>
        <v>#REF!</v>
      </c>
      <c r="H154" t="s">
        <v>22</v>
      </c>
      <c r="I154" t="e">
        <f>+_xlfn.XLOOKUP(tbl_encuesta[[#This Row],[Me siento motivado a dar lo mejor de mí y hacer un buen trabajo]],#REF!,#REF!)</f>
        <v>#REF!</v>
      </c>
      <c r="J154" t="s">
        <v>22</v>
      </c>
      <c r="K154" t="e">
        <f>+_xlfn.XLOOKUP(tbl_encuesta[[#This Row],[Mi supervisor o jefe directo me otorga el soporte que necesito para afrontar cualquier problema que afecte mi trabajo]],#REF!,#REF!)</f>
        <v>#REF!</v>
      </c>
      <c r="L154" t="s">
        <v>23</v>
      </c>
      <c r="M154" t="e">
        <f>+_xlfn.XLOOKUP(tbl_encuesta[[#This Row],[Mi supervisor o jefe directo fomenta que nos apoyemos entre todos en el equipo]],#REF!,#REF!)</f>
        <v>#REF!</v>
      </c>
      <c r="N154" t="s">
        <v>22</v>
      </c>
      <c r="O154" t="e">
        <f>+_xlfn.XLOOKUP(tbl_encuesta[[#This Row],[Siento que mi trabajo es reconocido por mi supervisor o jefe directo.]],#REF!,#REF!)</f>
        <v>#REF!</v>
      </c>
      <c r="P154" t="s">
        <v>67</v>
      </c>
      <c r="Q154" t="e">
        <f xml:space="preserve">
_xlfn.XLOOKUP(
tbl_encuesta[[#This Row],[Mi supervisor o jefe directo nos brinda charlas de 5 minutos y comunica las novedades relevantes a mi puesto de trabajo]],#REF!,#REF!
)</f>
        <v>#REF!</v>
      </c>
      <c r="R154" t="s">
        <v>17</v>
      </c>
      <c r="U154" t="s">
        <v>20</v>
      </c>
      <c r="W154" t="s">
        <v>25</v>
      </c>
      <c r="X154" t="s">
        <v>22</v>
      </c>
      <c r="Y154" t="e">
        <f>+_xlfn.XLOOKUP(tbl_encuesta[[#This Row],[Considero a Limtek como un buen lugar para trabajar]],#REF!,#REF!)</f>
        <v>#REF!</v>
      </c>
      <c r="Z154" t="s">
        <v>449</v>
      </c>
      <c r="AA154" t="s">
        <v>450</v>
      </c>
      <c r="AB154" t="s">
        <v>28</v>
      </c>
      <c r="AC154" t="s">
        <v>3598</v>
      </c>
      <c r="AD154" s="3" t="s">
        <v>3606</v>
      </c>
      <c r="AE154" t="s">
        <v>34</v>
      </c>
    </row>
    <row r="155" spans="1:31" x14ac:dyDescent="0.25">
      <c r="A155">
        <v>119033484347</v>
      </c>
      <c r="B155">
        <v>462598545</v>
      </c>
      <c r="C155" s="1">
        <v>46030.774583333332</v>
      </c>
      <c r="D155" s="1">
        <v>46030.790937500002</v>
      </c>
      <c r="E155" t="s">
        <v>451</v>
      </c>
      <c r="F155" t="s">
        <v>23</v>
      </c>
      <c r="G155" t="e">
        <f>+_xlfn.XLOOKUP(tbl_encuesta[[#This Row],[Me siento a gusto con el ambiente de trabajo que se genera en mi equipo.]],#REF!,#REF!)</f>
        <v>#REF!</v>
      </c>
      <c r="H155" t="s">
        <v>23</v>
      </c>
      <c r="I155" t="e">
        <f>+_xlfn.XLOOKUP(tbl_encuesta[[#This Row],[Me siento motivado a dar lo mejor de mí y hacer un buen trabajo]],#REF!,#REF!)</f>
        <v>#REF!</v>
      </c>
      <c r="J155" t="s">
        <v>23</v>
      </c>
      <c r="K155" t="e">
        <f>+_xlfn.XLOOKUP(tbl_encuesta[[#This Row],[Mi supervisor o jefe directo me otorga el soporte que necesito para afrontar cualquier problema que afecte mi trabajo]],#REF!,#REF!)</f>
        <v>#REF!</v>
      </c>
      <c r="L155" t="s">
        <v>23</v>
      </c>
      <c r="M155" t="e">
        <f>+_xlfn.XLOOKUP(tbl_encuesta[[#This Row],[Mi supervisor o jefe directo fomenta que nos apoyemos entre todos en el equipo]],#REF!,#REF!)</f>
        <v>#REF!</v>
      </c>
      <c r="N155" t="s">
        <v>23</v>
      </c>
      <c r="O155" t="e">
        <f>+_xlfn.XLOOKUP(tbl_encuesta[[#This Row],[Siento que mi trabajo es reconocido por mi supervisor o jefe directo.]],#REF!,#REF!)</f>
        <v>#REF!</v>
      </c>
      <c r="P155" t="s">
        <v>31</v>
      </c>
      <c r="Q155" t="e">
        <f xml:space="preserve">
_xlfn.XLOOKUP(
tbl_encuesta[[#This Row],[Mi supervisor o jefe directo nos brinda charlas de 5 minutos y comunica las novedades relevantes a mi puesto de trabajo]],#REF!,#REF!
)</f>
        <v>#REF!</v>
      </c>
      <c r="R155" t="s">
        <v>17</v>
      </c>
      <c r="T155" t="s">
        <v>19</v>
      </c>
      <c r="W155" t="s">
        <v>25</v>
      </c>
      <c r="X155" t="s">
        <v>23</v>
      </c>
      <c r="Y155" t="e">
        <f>+_xlfn.XLOOKUP(tbl_encuesta[[#This Row],[Considero a Limtek como un buen lugar para trabajar]],#REF!,#REF!)</f>
        <v>#REF!</v>
      </c>
      <c r="Z155" t="s">
        <v>452</v>
      </c>
      <c r="AA155" t="s">
        <v>453</v>
      </c>
      <c r="AB155" t="s">
        <v>28</v>
      </c>
      <c r="AC155" s="3" t="s">
        <v>3736</v>
      </c>
      <c r="AD155" s="3" t="s">
        <v>3742</v>
      </c>
      <c r="AE155" t="s">
        <v>29</v>
      </c>
    </row>
    <row r="156" spans="1:31" x14ac:dyDescent="0.25">
      <c r="A156">
        <v>119033477547</v>
      </c>
      <c r="B156">
        <v>462598545</v>
      </c>
      <c r="C156" s="1">
        <v>46030.77988425926</v>
      </c>
      <c r="D156" s="1">
        <v>46030.780636574076</v>
      </c>
      <c r="E156" t="s">
        <v>454</v>
      </c>
      <c r="F156" t="s">
        <v>23</v>
      </c>
      <c r="G156" t="e">
        <f>+_xlfn.XLOOKUP(tbl_encuesta[[#This Row],[Me siento a gusto con el ambiente de trabajo que se genera en mi equipo.]],#REF!,#REF!)</f>
        <v>#REF!</v>
      </c>
      <c r="H156" t="s">
        <v>23</v>
      </c>
      <c r="I156" t="e">
        <f>+_xlfn.XLOOKUP(tbl_encuesta[[#This Row],[Me siento motivado a dar lo mejor de mí y hacer un buen trabajo]],#REF!,#REF!)</f>
        <v>#REF!</v>
      </c>
      <c r="J156" t="s">
        <v>23</v>
      </c>
      <c r="K156" t="e">
        <f>+_xlfn.XLOOKUP(tbl_encuesta[[#This Row],[Mi supervisor o jefe directo me otorga el soporte que necesito para afrontar cualquier problema que afecte mi trabajo]],#REF!,#REF!)</f>
        <v>#REF!</v>
      </c>
      <c r="L156" t="s">
        <v>23</v>
      </c>
      <c r="M156" t="e">
        <f>+_xlfn.XLOOKUP(tbl_encuesta[[#This Row],[Mi supervisor o jefe directo fomenta que nos apoyemos entre todos en el equipo]],#REF!,#REF!)</f>
        <v>#REF!</v>
      </c>
      <c r="N156" t="s">
        <v>23</v>
      </c>
      <c r="O156" t="e">
        <f>+_xlfn.XLOOKUP(tbl_encuesta[[#This Row],[Siento que mi trabajo es reconocido por mi supervisor o jefe directo.]],#REF!,#REF!)</f>
        <v>#REF!</v>
      </c>
      <c r="P156" t="s">
        <v>31</v>
      </c>
      <c r="Q156" t="e">
        <f xml:space="preserve">
_xlfn.XLOOKUP(
tbl_encuesta[[#This Row],[Mi supervisor o jefe directo nos brinda charlas de 5 minutos y comunica las novedades relevantes a mi puesto de trabajo]],#REF!,#REF!
)</f>
        <v>#REF!</v>
      </c>
      <c r="R156" t="s">
        <v>17</v>
      </c>
      <c r="U156" t="s">
        <v>20</v>
      </c>
      <c r="W156" t="s">
        <v>25</v>
      </c>
      <c r="X156" t="s">
        <v>23</v>
      </c>
      <c r="Y156" t="e">
        <f>+_xlfn.XLOOKUP(tbl_encuesta[[#This Row],[Considero a Limtek como un buen lugar para trabajar]],#REF!,#REF!)</f>
        <v>#REF!</v>
      </c>
      <c r="Z156" t="s">
        <v>455</v>
      </c>
      <c r="AA156" t="s">
        <v>456</v>
      </c>
      <c r="AB156" t="s">
        <v>28</v>
      </c>
      <c r="AC156" s="3" t="s">
        <v>3714</v>
      </c>
      <c r="AD156" s="3" t="s">
        <v>3714</v>
      </c>
      <c r="AE156" t="s">
        <v>61</v>
      </c>
    </row>
    <row r="157" spans="1:31" x14ac:dyDescent="0.25">
      <c r="A157">
        <v>119033476697</v>
      </c>
      <c r="B157">
        <v>462598545</v>
      </c>
      <c r="C157" s="1">
        <v>46030.7734837963</v>
      </c>
      <c r="D157" s="1">
        <v>46030.779328703706</v>
      </c>
      <c r="E157" t="s">
        <v>454</v>
      </c>
      <c r="F157" t="s">
        <v>23</v>
      </c>
      <c r="G157" t="e">
        <f>+_xlfn.XLOOKUP(tbl_encuesta[[#This Row],[Me siento a gusto con el ambiente de trabajo que se genera en mi equipo.]],#REF!,#REF!)</f>
        <v>#REF!</v>
      </c>
      <c r="H157" t="s">
        <v>23</v>
      </c>
      <c r="I157" t="e">
        <f>+_xlfn.XLOOKUP(tbl_encuesta[[#This Row],[Me siento motivado a dar lo mejor de mí y hacer un buen trabajo]],#REF!,#REF!)</f>
        <v>#REF!</v>
      </c>
      <c r="J157" t="s">
        <v>23</v>
      </c>
      <c r="K157" t="e">
        <f>+_xlfn.XLOOKUP(tbl_encuesta[[#This Row],[Mi supervisor o jefe directo me otorga el soporte que necesito para afrontar cualquier problema que afecte mi trabajo]],#REF!,#REF!)</f>
        <v>#REF!</v>
      </c>
      <c r="L157" t="s">
        <v>23</v>
      </c>
      <c r="M157" t="e">
        <f>+_xlfn.XLOOKUP(tbl_encuesta[[#This Row],[Mi supervisor o jefe directo fomenta que nos apoyemos entre todos en el equipo]],#REF!,#REF!)</f>
        <v>#REF!</v>
      </c>
      <c r="N157" t="s">
        <v>23</v>
      </c>
      <c r="O157" t="e">
        <f>+_xlfn.XLOOKUP(tbl_encuesta[[#This Row],[Siento que mi trabajo es reconocido por mi supervisor o jefe directo.]],#REF!,#REF!)</f>
        <v>#REF!</v>
      </c>
      <c r="P157" t="s">
        <v>31</v>
      </c>
      <c r="Q157" t="e">
        <f xml:space="preserve">
_xlfn.XLOOKUP(
tbl_encuesta[[#This Row],[Mi supervisor o jefe directo nos brinda charlas de 5 minutos y comunica las novedades relevantes a mi puesto de trabajo]],#REF!,#REF!
)</f>
        <v>#REF!</v>
      </c>
      <c r="R157" t="s">
        <v>17</v>
      </c>
      <c r="U157" t="s">
        <v>20</v>
      </c>
      <c r="W157" t="s">
        <v>25</v>
      </c>
      <c r="X157" t="s">
        <v>23</v>
      </c>
      <c r="Y157" t="e">
        <f>+_xlfn.XLOOKUP(tbl_encuesta[[#This Row],[Considero a Limtek como un buen lugar para trabajar]],#REF!,#REF!)</f>
        <v>#REF!</v>
      </c>
      <c r="Z157" t="s">
        <v>455</v>
      </c>
      <c r="AA157" t="s">
        <v>456</v>
      </c>
      <c r="AB157" t="s">
        <v>28</v>
      </c>
      <c r="AC157" s="3" t="s">
        <v>3714</v>
      </c>
      <c r="AD157" s="3" t="s">
        <v>3714</v>
      </c>
      <c r="AE157" t="s">
        <v>61</v>
      </c>
    </row>
    <row r="158" spans="1:31" x14ac:dyDescent="0.25">
      <c r="A158">
        <v>119033473854</v>
      </c>
      <c r="B158">
        <v>462598545</v>
      </c>
      <c r="C158" s="1">
        <v>46030.773402777777</v>
      </c>
      <c r="D158" s="1">
        <v>46030.77511574074</v>
      </c>
      <c r="E158" t="s">
        <v>457</v>
      </c>
      <c r="F158" t="s">
        <v>23</v>
      </c>
      <c r="G158" t="e">
        <f>+_xlfn.XLOOKUP(tbl_encuesta[[#This Row],[Me siento a gusto con el ambiente de trabajo que se genera en mi equipo.]],#REF!,#REF!)</f>
        <v>#REF!</v>
      </c>
      <c r="H158" t="s">
        <v>23</v>
      </c>
      <c r="I158" t="e">
        <f>+_xlfn.XLOOKUP(tbl_encuesta[[#This Row],[Me siento motivado a dar lo mejor de mí y hacer un buen trabajo]],#REF!,#REF!)</f>
        <v>#REF!</v>
      </c>
      <c r="J158" t="s">
        <v>23</v>
      </c>
      <c r="K158" t="e">
        <f>+_xlfn.XLOOKUP(tbl_encuesta[[#This Row],[Mi supervisor o jefe directo me otorga el soporte que necesito para afrontar cualquier problema que afecte mi trabajo]],#REF!,#REF!)</f>
        <v>#REF!</v>
      </c>
      <c r="L158" t="s">
        <v>23</v>
      </c>
      <c r="M158" t="e">
        <f>+_xlfn.XLOOKUP(tbl_encuesta[[#This Row],[Mi supervisor o jefe directo fomenta que nos apoyemos entre todos en el equipo]],#REF!,#REF!)</f>
        <v>#REF!</v>
      </c>
      <c r="N158" t="s">
        <v>23</v>
      </c>
      <c r="O158" t="e">
        <f>+_xlfn.XLOOKUP(tbl_encuesta[[#This Row],[Siento que mi trabajo es reconocido por mi supervisor o jefe directo.]],#REF!,#REF!)</f>
        <v>#REF!</v>
      </c>
      <c r="P158" t="s">
        <v>31</v>
      </c>
      <c r="Q158" t="e">
        <f xml:space="preserve">
_xlfn.XLOOKUP(
tbl_encuesta[[#This Row],[Mi supervisor o jefe directo nos brinda charlas de 5 minutos y comunica las novedades relevantes a mi puesto de trabajo]],#REF!,#REF!
)</f>
        <v>#REF!</v>
      </c>
      <c r="R158" t="s">
        <v>17</v>
      </c>
      <c r="W158" t="s">
        <v>25</v>
      </c>
      <c r="X158" t="s">
        <v>23</v>
      </c>
      <c r="Y158" t="e">
        <f>+_xlfn.XLOOKUP(tbl_encuesta[[#This Row],[Considero a Limtek como un buen lugar para trabajar]],#REF!,#REF!)</f>
        <v>#REF!</v>
      </c>
      <c r="Z158" t="s">
        <v>458</v>
      </c>
      <c r="AA158" t="s">
        <v>459</v>
      </c>
      <c r="AB158" t="s">
        <v>28</v>
      </c>
      <c r="AC158" t="s">
        <v>3598</v>
      </c>
      <c r="AD158" s="3" t="s">
        <v>3604</v>
      </c>
      <c r="AE158" t="s">
        <v>69</v>
      </c>
    </row>
    <row r="159" spans="1:31" x14ac:dyDescent="0.25">
      <c r="A159">
        <v>119033473293</v>
      </c>
      <c r="B159">
        <v>462598545</v>
      </c>
      <c r="C159" s="1">
        <v>46030.772800925923</v>
      </c>
      <c r="D159" s="1">
        <v>46030.774305555555</v>
      </c>
      <c r="E159" t="s">
        <v>460</v>
      </c>
      <c r="F159" t="s">
        <v>23</v>
      </c>
      <c r="G159" t="e">
        <f>+_xlfn.XLOOKUP(tbl_encuesta[[#This Row],[Me siento a gusto con el ambiente de trabajo que se genera en mi equipo.]],#REF!,#REF!)</f>
        <v>#REF!</v>
      </c>
      <c r="H159" t="s">
        <v>23</v>
      </c>
      <c r="I159" t="e">
        <f>+_xlfn.XLOOKUP(tbl_encuesta[[#This Row],[Me siento motivado a dar lo mejor de mí y hacer un buen trabajo]],#REF!,#REF!)</f>
        <v>#REF!</v>
      </c>
      <c r="J159" t="s">
        <v>22</v>
      </c>
      <c r="K159" t="e">
        <f>+_xlfn.XLOOKUP(tbl_encuesta[[#This Row],[Mi supervisor o jefe directo me otorga el soporte que necesito para afrontar cualquier problema que afecte mi trabajo]],#REF!,#REF!)</f>
        <v>#REF!</v>
      </c>
      <c r="L159" t="s">
        <v>23</v>
      </c>
      <c r="M159" t="e">
        <f>+_xlfn.XLOOKUP(tbl_encuesta[[#This Row],[Mi supervisor o jefe directo fomenta que nos apoyemos entre todos en el equipo]],#REF!,#REF!)</f>
        <v>#REF!</v>
      </c>
      <c r="N159" t="s">
        <v>23</v>
      </c>
      <c r="O159" t="e">
        <f>+_xlfn.XLOOKUP(tbl_encuesta[[#This Row],[Siento que mi trabajo es reconocido por mi supervisor o jefe directo.]],#REF!,#REF!)</f>
        <v>#REF!</v>
      </c>
      <c r="P159" t="s">
        <v>24</v>
      </c>
      <c r="Q159" t="e">
        <f xml:space="preserve">
_xlfn.XLOOKUP(
tbl_encuesta[[#This Row],[Mi supervisor o jefe directo nos brinda charlas de 5 minutos y comunica las novedades relevantes a mi puesto de trabajo]],#REF!,#REF!
)</f>
        <v>#REF!</v>
      </c>
      <c r="R159" t="s">
        <v>17</v>
      </c>
      <c r="T159" t="s">
        <v>19</v>
      </c>
      <c r="W159" t="s">
        <v>25</v>
      </c>
      <c r="X159" t="s">
        <v>22</v>
      </c>
      <c r="Y159" t="e">
        <f>+_xlfn.XLOOKUP(tbl_encuesta[[#This Row],[Considero a Limtek como un buen lugar para trabajar]],#REF!,#REF!)</f>
        <v>#REF!</v>
      </c>
      <c r="Z159" t="s">
        <v>461</v>
      </c>
      <c r="AA159" t="s">
        <v>462</v>
      </c>
      <c r="AB159" t="s">
        <v>28</v>
      </c>
      <c r="AC159" t="s">
        <v>3598</v>
      </c>
      <c r="AD159" s="3" t="s">
        <v>3605</v>
      </c>
      <c r="AE159" t="s">
        <v>29</v>
      </c>
    </row>
    <row r="160" spans="1:31" x14ac:dyDescent="0.25">
      <c r="A160">
        <v>119033471519</v>
      </c>
      <c r="B160">
        <v>462598545</v>
      </c>
      <c r="C160" s="1">
        <v>46030.768078703702</v>
      </c>
      <c r="D160" s="1">
        <v>46030.77175925926</v>
      </c>
      <c r="E160" t="s">
        <v>463</v>
      </c>
      <c r="F160" t="s">
        <v>22</v>
      </c>
      <c r="G160" t="e">
        <f>+_xlfn.XLOOKUP(tbl_encuesta[[#This Row],[Me siento a gusto con el ambiente de trabajo que se genera en mi equipo.]],#REF!,#REF!)</f>
        <v>#REF!</v>
      </c>
      <c r="H160" t="s">
        <v>23</v>
      </c>
      <c r="I160" t="e">
        <f>+_xlfn.XLOOKUP(tbl_encuesta[[#This Row],[Me siento motivado a dar lo mejor de mí y hacer un buen trabajo]],#REF!,#REF!)</f>
        <v>#REF!</v>
      </c>
      <c r="J160" t="s">
        <v>22</v>
      </c>
      <c r="K160" t="e">
        <f>+_xlfn.XLOOKUP(tbl_encuesta[[#This Row],[Mi supervisor o jefe directo me otorga el soporte que necesito para afrontar cualquier problema que afecte mi trabajo]],#REF!,#REF!)</f>
        <v>#REF!</v>
      </c>
      <c r="L160" t="s">
        <v>23</v>
      </c>
      <c r="M160" t="e">
        <f>+_xlfn.XLOOKUP(tbl_encuesta[[#This Row],[Mi supervisor o jefe directo fomenta que nos apoyemos entre todos en el equipo]],#REF!,#REF!)</f>
        <v>#REF!</v>
      </c>
      <c r="N160" t="s">
        <v>97</v>
      </c>
      <c r="O160" t="e">
        <f>+_xlfn.XLOOKUP(tbl_encuesta[[#This Row],[Siento que mi trabajo es reconocido por mi supervisor o jefe directo.]],#REF!,#REF!)</f>
        <v>#REF!</v>
      </c>
      <c r="P160" t="s">
        <v>67</v>
      </c>
      <c r="Q160" t="e">
        <f xml:space="preserve">
_xlfn.XLOOKUP(
tbl_encuesta[[#This Row],[Mi supervisor o jefe directo nos brinda charlas de 5 minutos y comunica las novedades relevantes a mi puesto de trabajo]],#REF!,#REF!
)</f>
        <v>#REF!</v>
      </c>
      <c r="R160" t="s">
        <v>17</v>
      </c>
      <c r="W160" t="s">
        <v>25</v>
      </c>
      <c r="X160" t="s">
        <v>22</v>
      </c>
      <c r="Y160" t="e">
        <f>+_xlfn.XLOOKUP(tbl_encuesta[[#This Row],[Considero a Limtek como un buen lugar para trabajar]],#REF!,#REF!)</f>
        <v>#REF!</v>
      </c>
      <c r="Z160" t="s">
        <v>464</v>
      </c>
      <c r="AA160" t="s">
        <v>465</v>
      </c>
      <c r="AB160" t="s">
        <v>28</v>
      </c>
      <c r="AC160" t="s">
        <v>3598</v>
      </c>
      <c r="AD160" s="3" t="s">
        <v>3604</v>
      </c>
      <c r="AE160" t="s">
        <v>34</v>
      </c>
    </row>
    <row r="161" spans="1:31" x14ac:dyDescent="0.25">
      <c r="A161">
        <v>119033470841</v>
      </c>
      <c r="B161">
        <v>462598545</v>
      </c>
      <c r="C161" s="1">
        <v>46030.766458333332</v>
      </c>
      <c r="D161" s="1">
        <v>46030.770902777775</v>
      </c>
      <c r="E161" t="s">
        <v>466</v>
      </c>
      <c r="F161" t="s">
        <v>23</v>
      </c>
      <c r="G161" t="e">
        <f>+_xlfn.XLOOKUP(tbl_encuesta[[#This Row],[Me siento a gusto con el ambiente de trabajo que se genera en mi equipo.]],#REF!,#REF!)</f>
        <v>#REF!</v>
      </c>
      <c r="H161" t="s">
        <v>23</v>
      </c>
      <c r="I161" t="e">
        <f>+_xlfn.XLOOKUP(tbl_encuesta[[#This Row],[Me siento motivado a dar lo mejor de mí y hacer un buen trabajo]],#REF!,#REF!)</f>
        <v>#REF!</v>
      </c>
      <c r="J161" t="s">
        <v>23</v>
      </c>
      <c r="K161" t="e">
        <f>+_xlfn.XLOOKUP(tbl_encuesta[[#This Row],[Mi supervisor o jefe directo me otorga el soporte que necesito para afrontar cualquier problema que afecte mi trabajo]],#REF!,#REF!)</f>
        <v>#REF!</v>
      </c>
      <c r="L161" t="s">
        <v>23</v>
      </c>
      <c r="M161" t="e">
        <f>+_xlfn.XLOOKUP(tbl_encuesta[[#This Row],[Mi supervisor o jefe directo fomenta que nos apoyemos entre todos en el equipo]],#REF!,#REF!)</f>
        <v>#REF!</v>
      </c>
      <c r="N161" t="s">
        <v>23</v>
      </c>
      <c r="O161" t="e">
        <f>+_xlfn.XLOOKUP(tbl_encuesta[[#This Row],[Siento que mi trabajo es reconocido por mi supervisor o jefe directo.]],#REF!,#REF!)</f>
        <v>#REF!</v>
      </c>
      <c r="P161" t="s">
        <v>31</v>
      </c>
      <c r="Q161" t="e">
        <f xml:space="preserve">
_xlfn.XLOOKUP(
tbl_encuesta[[#This Row],[Mi supervisor o jefe directo nos brinda charlas de 5 minutos y comunica las novedades relevantes a mi puesto de trabajo]],#REF!,#REF!
)</f>
        <v>#REF!</v>
      </c>
      <c r="R161" t="s">
        <v>17</v>
      </c>
      <c r="T161" t="s">
        <v>19</v>
      </c>
      <c r="W161" t="s">
        <v>25</v>
      </c>
      <c r="X161" t="s">
        <v>23</v>
      </c>
      <c r="Y161" t="e">
        <f>+_xlfn.XLOOKUP(tbl_encuesta[[#This Row],[Considero a Limtek como un buen lugar para trabajar]],#REF!,#REF!)</f>
        <v>#REF!</v>
      </c>
      <c r="Z161" t="s">
        <v>145</v>
      </c>
      <c r="AA161" t="s">
        <v>467</v>
      </c>
      <c r="AB161" t="s">
        <v>28</v>
      </c>
      <c r="AC161" s="3" t="s">
        <v>3598</v>
      </c>
      <c r="AD161" s="3" t="s">
        <v>3605</v>
      </c>
      <c r="AE161" t="s">
        <v>29</v>
      </c>
    </row>
    <row r="162" spans="1:31" x14ac:dyDescent="0.25">
      <c r="A162">
        <v>119033470778</v>
      </c>
      <c r="B162">
        <v>462598545</v>
      </c>
      <c r="C162" s="1">
        <v>46030.767048611109</v>
      </c>
      <c r="D162" s="1">
        <v>46030.770821759259</v>
      </c>
      <c r="E162" t="s">
        <v>468</v>
      </c>
      <c r="F162" t="s">
        <v>22</v>
      </c>
      <c r="G162" t="e">
        <f>+_xlfn.XLOOKUP(tbl_encuesta[[#This Row],[Me siento a gusto con el ambiente de trabajo que se genera en mi equipo.]],#REF!,#REF!)</f>
        <v>#REF!</v>
      </c>
      <c r="H162" t="s">
        <v>22</v>
      </c>
      <c r="I162" t="e">
        <f>+_xlfn.XLOOKUP(tbl_encuesta[[#This Row],[Me siento motivado a dar lo mejor de mí y hacer un buen trabajo]],#REF!,#REF!)</f>
        <v>#REF!</v>
      </c>
      <c r="J162" t="s">
        <v>22</v>
      </c>
      <c r="K162" t="e">
        <f>+_xlfn.XLOOKUP(tbl_encuesta[[#This Row],[Mi supervisor o jefe directo me otorga el soporte que necesito para afrontar cualquier problema que afecte mi trabajo]],#REF!,#REF!)</f>
        <v>#REF!</v>
      </c>
      <c r="L162" t="s">
        <v>22</v>
      </c>
      <c r="M162" t="e">
        <f>+_xlfn.XLOOKUP(tbl_encuesta[[#This Row],[Mi supervisor o jefe directo fomenta que nos apoyemos entre todos en el equipo]],#REF!,#REF!)</f>
        <v>#REF!</v>
      </c>
      <c r="N162" t="s">
        <v>22</v>
      </c>
      <c r="O162" t="e">
        <f>+_xlfn.XLOOKUP(tbl_encuesta[[#This Row],[Siento que mi trabajo es reconocido por mi supervisor o jefe directo.]],#REF!,#REF!)</f>
        <v>#REF!</v>
      </c>
      <c r="P162" t="s">
        <v>24</v>
      </c>
      <c r="Q162" t="e">
        <f xml:space="preserve">
_xlfn.XLOOKUP(
tbl_encuesta[[#This Row],[Mi supervisor o jefe directo nos brinda charlas de 5 minutos y comunica las novedades relevantes a mi puesto de trabajo]],#REF!,#REF!
)</f>
        <v>#REF!</v>
      </c>
      <c r="S162" t="s">
        <v>18</v>
      </c>
      <c r="W162" t="s">
        <v>25</v>
      </c>
      <c r="X162" t="s">
        <v>22</v>
      </c>
      <c r="Y162" t="e">
        <f>+_xlfn.XLOOKUP(tbl_encuesta[[#This Row],[Considero a Limtek como un buen lugar para trabajar]],#REF!,#REF!)</f>
        <v>#REF!</v>
      </c>
      <c r="Z162" t="s">
        <v>469</v>
      </c>
      <c r="AA162" t="s">
        <v>470</v>
      </c>
      <c r="AB162" t="s">
        <v>28</v>
      </c>
      <c r="AC162" t="s">
        <v>3598</v>
      </c>
      <c r="AD162" s="3" t="s">
        <v>3605</v>
      </c>
      <c r="AE162" t="s">
        <v>29</v>
      </c>
    </row>
    <row r="163" spans="1:31" x14ac:dyDescent="0.25">
      <c r="A163">
        <v>119033470424</v>
      </c>
      <c r="B163">
        <v>462598545</v>
      </c>
      <c r="C163" s="1">
        <v>46030.766886574071</v>
      </c>
      <c r="D163" s="1">
        <v>46030.770324074074</v>
      </c>
      <c r="E163" t="s">
        <v>471</v>
      </c>
      <c r="F163" t="s">
        <v>23</v>
      </c>
      <c r="G163" t="e">
        <f>+_xlfn.XLOOKUP(tbl_encuesta[[#This Row],[Me siento a gusto con el ambiente de trabajo que se genera en mi equipo.]],#REF!,#REF!)</f>
        <v>#REF!</v>
      </c>
      <c r="H163" t="s">
        <v>23</v>
      </c>
      <c r="I163" t="e">
        <f>+_xlfn.XLOOKUP(tbl_encuesta[[#This Row],[Me siento motivado a dar lo mejor de mí y hacer un buen trabajo]],#REF!,#REF!)</f>
        <v>#REF!</v>
      </c>
      <c r="J163" t="s">
        <v>23</v>
      </c>
      <c r="K163" t="e">
        <f>+_xlfn.XLOOKUP(tbl_encuesta[[#This Row],[Mi supervisor o jefe directo me otorga el soporte que necesito para afrontar cualquier problema que afecte mi trabajo]],#REF!,#REF!)</f>
        <v>#REF!</v>
      </c>
      <c r="L163" t="s">
        <v>23</v>
      </c>
      <c r="M163" t="e">
        <f>+_xlfn.XLOOKUP(tbl_encuesta[[#This Row],[Mi supervisor o jefe directo fomenta que nos apoyemos entre todos en el equipo]],#REF!,#REF!)</f>
        <v>#REF!</v>
      </c>
      <c r="N163" t="s">
        <v>23</v>
      </c>
      <c r="O163" t="e">
        <f>+_xlfn.XLOOKUP(tbl_encuesta[[#This Row],[Siento que mi trabajo es reconocido por mi supervisor o jefe directo.]],#REF!,#REF!)</f>
        <v>#REF!</v>
      </c>
      <c r="P163" t="s">
        <v>31</v>
      </c>
      <c r="Q163" t="e">
        <f xml:space="preserve">
_xlfn.XLOOKUP(
tbl_encuesta[[#This Row],[Mi supervisor o jefe directo nos brinda charlas de 5 minutos y comunica las novedades relevantes a mi puesto de trabajo]],#REF!,#REF!
)</f>
        <v>#REF!</v>
      </c>
      <c r="R163" t="s">
        <v>17</v>
      </c>
      <c r="T163" t="s">
        <v>19</v>
      </c>
      <c r="W163" t="s">
        <v>25</v>
      </c>
      <c r="X163" t="s">
        <v>23</v>
      </c>
      <c r="Y163" t="e">
        <f>+_xlfn.XLOOKUP(tbl_encuesta[[#This Row],[Considero a Limtek como un buen lugar para trabajar]],#REF!,#REF!)</f>
        <v>#REF!</v>
      </c>
      <c r="Z163" t="s">
        <v>145</v>
      </c>
      <c r="AA163" t="s">
        <v>472</v>
      </c>
      <c r="AB163" t="s">
        <v>28</v>
      </c>
      <c r="AC163" t="s">
        <v>3598</v>
      </c>
      <c r="AD163" s="3" t="s">
        <v>3605</v>
      </c>
      <c r="AE163" t="s">
        <v>29</v>
      </c>
    </row>
    <row r="164" spans="1:31" x14ac:dyDescent="0.25">
      <c r="A164">
        <v>119033468780</v>
      </c>
      <c r="B164">
        <v>462598545</v>
      </c>
      <c r="C164" s="1">
        <v>46030.749432870369</v>
      </c>
      <c r="D164" s="1">
        <v>46030.767858796295</v>
      </c>
      <c r="E164" t="s">
        <v>457</v>
      </c>
      <c r="F164" t="s">
        <v>23</v>
      </c>
      <c r="G164" t="e">
        <f>+_xlfn.XLOOKUP(tbl_encuesta[[#This Row],[Me siento a gusto con el ambiente de trabajo que se genera en mi equipo.]],#REF!,#REF!)</f>
        <v>#REF!</v>
      </c>
      <c r="H164" t="s">
        <v>23</v>
      </c>
      <c r="I164" t="e">
        <f>+_xlfn.XLOOKUP(tbl_encuesta[[#This Row],[Me siento motivado a dar lo mejor de mí y hacer un buen trabajo]],#REF!,#REF!)</f>
        <v>#REF!</v>
      </c>
      <c r="J164" t="s">
        <v>23</v>
      </c>
      <c r="K164" t="e">
        <f>+_xlfn.XLOOKUP(tbl_encuesta[[#This Row],[Mi supervisor o jefe directo me otorga el soporte que necesito para afrontar cualquier problema que afecte mi trabajo]],#REF!,#REF!)</f>
        <v>#REF!</v>
      </c>
      <c r="L164" t="s">
        <v>23</v>
      </c>
      <c r="M164" t="e">
        <f>+_xlfn.XLOOKUP(tbl_encuesta[[#This Row],[Mi supervisor o jefe directo fomenta que nos apoyemos entre todos en el equipo]],#REF!,#REF!)</f>
        <v>#REF!</v>
      </c>
      <c r="N164" t="s">
        <v>23</v>
      </c>
      <c r="O164" t="e">
        <f>+_xlfn.XLOOKUP(tbl_encuesta[[#This Row],[Siento que mi trabajo es reconocido por mi supervisor o jefe directo.]],#REF!,#REF!)</f>
        <v>#REF!</v>
      </c>
      <c r="P164" t="s">
        <v>31</v>
      </c>
      <c r="Q164" t="e">
        <f xml:space="preserve">
_xlfn.XLOOKUP(
tbl_encuesta[[#This Row],[Mi supervisor o jefe directo nos brinda charlas de 5 minutos y comunica las novedades relevantes a mi puesto de trabajo]],#REF!,#REF!
)</f>
        <v>#REF!</v>
      </c>
      <c r="R164" t="s">
        <v>17</v>
      </c>
      <c r="W164" t="s">
        <v>25</v>
      </c>
      <c r="X164" t="s">
        <v>23</v>
      </c>
      <c r="Y164" t="e">
        <f>+_xlfn.XLOOKUP(tbl_encuesta[[#This Row],[Considero a Limtek como un buen lugar para trabajar]],#REF!,#REF!)</f>
        <v>#REF!</v>
      </c>
      <c r="Z164" t="s">
        <v>473</v>
      </c>
      <c r="AA164" t="s">
        <v>474</v>
      </c>
      <c r="AB164" t="s">
        <v>28</v>
      </c>
      <c r="AC164" t="s">
        <v>3598</v>
      </c>
      <c r="AD164" s="3" t="s">
        <v>3604</v>
      </c>
      <c r="AE164" t="s">
        <v>69</v>
      </c>
    </row>
    <row r="165" spans="1:31" x14ac:dyDescent="0.25">
      <c r="A165">
        <v>119033468062</v>
      </c>
      <c r="B165">
        <v>462598545</v>
      </c>
      <c r="C165" s="1">
        <v>46030.763854166667</v>
      </c>
      <c r="D165" s="1">
        <v>46030.766840277778</v>
      </c>
      <c r="E165" t="s">
        <v>475</v>
      </c>
      <c r="F165" t="s">
        <v>23</v>
      </c>
      <c r="G165" t="e">
        <f>+_xlfn.XLOOKUP(tbl_encuesta[[#This Row],[Me siento a gusto con el ambiente de trabajo que se genera en mi equipo.]],#REF!,#REF!)</f>
        <v>#REF!</v>
      </c>
      <c r="H165" t="s">
        <v>23</v>
      </c>
      <c r="I165" t="e">
        <f>+_xlfn.XLOOKUP(tbl_encuesta[[#This Row],[Me siento motivado a dar lo mejor de mí y hacer un buen trabajo]],#REF!,#REF!)</f>
        <v>#REF!</v>
      </c>
      <c r="J165" t="s">
        <v>23</v>
      </c>
      <c r="K165" t="e">
        <f>+_xlfn.XLOOKUP(tbl_encuesta[[#This Row],[Mi supervisor o jefe directo me otorga el soporte que necesito para afrontar cualquier problema que afecte mi trabajo]],#REF!,#REF!)</f>
        <v>#REF!</v>
      </c>
      <c r="L165" t="s">
        <v>23</v>
      </c>
      <c r="M165" t="e">
        <f>+_xlfn.XLOOKUP(tbl_encuesta[[#This Row],[Mi supervisor o jefe directo fomenta que nos apoyemos entre todos en el equipo]],#REF!,#REF!)</f>
        <v>#REF!</v>
      </c>
      <c r="N165" t="s">
        <v>23</v>
      </c>
      <c r="O165" t="e">
        <f>+_xlfn.XLOOKUP(tbl_encuesta[[#This Row],[Siento que mi trabajo es reconocido por mi supervisor o jefe directo.]],#REF!,#REF!)</f>
        <v>#REF!</v>
      </c>
      <c r="P165" t="s">
        <v>31</v>
      </c>
      <c r="Q165" t="e">
        <f xml:space="preserve">
_xlfn.XLOOKUP(
tbl_encuesta[[#This Row],[Mi supervisor o jefe directo nos brinda charlas de 5 minutos y comunica las novedades relevantes a mi puesto de trabajo]],#REF!,#REF!
)</f>
        <v>#REF!</v>
      </c>
      <c r="S165" t="s">
        <v>18</v>
      </c>
      <c r="T165" t="s">
        <v>19</v>
      </c>
      <c r="W165" t="s">
        <v>25</v>
      </c>
      <c r="X165" t="s">
        <v>23</v>
      </c>
      <c r="Y165" t="e">
        <f>+_xlfn.XLOOKUP(tbl_encuesta[[#This Row],[Considero a Limtek como un buen lugar para trabajar]],#REF!,#REF!)</f>
        <v>#REF!</v>
      </c>
      <c r="Z165" t="s">
        <v>476</v>
      </c>
      <c r="AA165" t="s">
        <v>477</v>
      </c>
      <c r="AB165" t="s">
        <v>28</v>
      </c>
      <c r="AC165" t="s">
        <v>3598</v>
      </c>
      <c r="AD165" t="s">
        <v>3598</v>
      </c>
      <c r="AE165" t="s">
        <v>69</v>
      </c>
    </row>
    <row r="166" spans="1:31" x14ac:dyDescent="0.25">
      <c r="A166">
        <v>119033465538</v>
      </c>
      <c r="B166">
        <v>462598545</v>
      </c>
      <c r="C166" s="1">
        <v>46030.761655092596</v>
      </c>
      <c r="D166" s="1">
        <v>46030.763333333336</v>
      </c>
      <c r="E166" t="s">
        <v>436</v>
      </c>
      <c r="F166" t="s">
        <v>23</v>
      </c>
      <c r="G166" t="e">
        <f>+_xlfn.XLOOKUP(tbl_encuesta[[#This Row],[Me siento a gusto con el ambiente de trabajo que se genera en mi equipo.]],#REF!,#REF!)</f>
        <v>#REF!</v>
      </c>
      <c r="H166" t="s">
        <v>23</v>
      </c>
      <c r="I166" t="e">
        <f>+_xlfn.XLOOKUP(tbl_encuesta[[#This Row],[Me siento motivado a dar lo mejor de mí y hacer un buen trabajo]],#REF!,#REF!)</f>
        <v>#REF!</v>
      </c>
      <c r="J166" t="s">
        <v>23</v>
      </c>
      <c r="K166" t="e">
        <f>+_xlfn.XLOOKUP(tbl_encuesta[[#This Row],[Mi supervisor o jefe directo me otorga el soporte que necesito para afrontar cualquier problema que afecte mi trabajo]],#REF!,#REF!)</f>
        <v>#REF!</v>
      </c>
      <c r="L166" t="s">
        <v>23</v>
      </c>
      <c r="M166" t="e">
        <f>+_xlfn.XLOOKUP(tbl_encuesta[[#This Row],[Mi supervisor o jefe directo fomenta que nos apoyemos entre todos en el equipo]],#REF!,#REF!)</f>
        <v>#REF!</v>
      </c>
      <c r="N166" t="s">
        <v>23</v>
      </c>
      <c r="O166" t="e">
        <f>+_xlfn.XLOOKUP(tbl_encuesta[[#This Row],[Siento que mi trabajo es reconocido por mi supervisor o jefe directo.]],#REF!,#REF!)</f>
        <v>#REF!</v>
      </c>
      <c r="P166" t="s">
        <v>31</v>
      </c>
      <c r="Q166" t="e">
        <f xml:space="preserve">
_xlfn.XLOOKUP(
tbl_encuesta[[#This Row],[Mi supervisor o jefe directo nos brinda charlas de 5 minutos y comunica las novedades relevantes a mi puesto de trabajo]],#REF!,#REF!
)</f>
        <v>#REF!</v>
      </c>
      <c r="S166" t="s">
        <v>18</v>
      </c>
      <c r="T166" t="s">
        <v>19</v>
      </c>
      <c r="W166" t="s">
        <v>25</v>
      </c>
      <c r="X166" t="s">
        <v>23</v>
      </c>
      <c r="Y166" t="e">
        <f>+_xlfn.XLOOKUP(tbl_encuesta[[#This Row],[Considero a Limtek como un buen lugar para trabajar]],#REF!,#REF!)</f>
        <v>#REF!</v>
      </c>
      <c r="Z166" t="s">
        <v>437</v>
      </c>
      <c r="AA166" t="s">
        <v>478</v>
      </c>
      <c r="AB166" t="s">
        <v>28</v>
      </c>
      <c r="AC166" s="3" t="s">
        <v>3714</v>
      </c>
      <c r="AD166" s="3" t="s">
        <v>3714</v>
      </c>
      <c r="AE166" t="s">
        <v>69</v>
      </c>
    </row>
    <row r="167" spans="1:31" x14ac:dyDescent="0.25">
      <c r="A167">
        <v>119033463979</v>
      </c>
      <c r="B167">
        <v>462598545</v>
      </c>
      <c r="C167" s="1">
        <v>46030.750405092593</v>
      </c>
      <c r="D167" s="1">
        <v>46030.76116898148</v>
      </c>
      <c r="E167" t="s">
        <v>466</v>
      </c>
      <c r="F167" t="s">
        <v>23</v>
      </c>
      <c r="G167" t="e">
        <f>+_xlfn.XLOOKUP(tbl_encuesta[[#This Row],[Me siento a gusto con el ambiente de trabajo que se genera en mi equipo.]],#REF!,#REF!)</f>
        <v>#REF!</v>
      </c>
      <c r="H167" t="s">
        <v>23</v>
      </c>
      <c r="I167" t="e">
        <f>+_xlfn.XLOOKUP(tbl_encuesta[[#This Row],[Me siento motivado a dar lo mejor de mí y hacer un buen trabajo]],#REF!,#REF!)</f>
        <v>#REF!</v>
      </c>
      <c r="J167" t="s">
        <v>23</v>
      </c>
      <c r="K167" t="e">
        <f>+_xlfn.XLOOKUP(tbl_encuesta[[#This Row],[Mi supervisor o jefe directo me otorga el soporte que necesito para afrontar cualquier problema que afecte mi trabajo]],#REF!,#REF!)</f>
        <v>#REF!</v>
      </c>
      <c r="L167" t="s">
        <v>23</v>
      </c>
      <c r="M167" t="e">
        <f>+_xlfn.XLOOKUP(tbl_encuesta[[#This Row],[Mi supervisor o jefe directo fomenta que nos apoyemos entre todos en el equipo]],#REF!,#REF!)</f>
        <v>#REF!</v>
      </c>
      <c r="N167" t="s">
        <v>23</v>
      </c>
      <c r="O167" t="e">
        <f>+_xlfn.XLOOKUP(tbl_encuesta[[#This Row],[Siento que mi trabajo es reconocido por mi supervisor o jefe directo.]],#REF!,#REF!)</f>
        <v>#REF!</v>
      </c>
      <c r="P167" t="s">
        <v>31</v>
      </c>
      <c r="Q167" t="e">
        <f xml:space="preserve">
_xlfn.XLOOKUP(
tbl_encuesta[[#This Row],[Mi supervisor o jefe directo nos brinda charlas de 5 minutos y comunica las novedades relevantes a mi puesto de trabajo]],#REF!,#REF!
)</f>
        <v>#REF!</v>
      </c>
      <c r="R167" t="s">
        <v>17</v>
      </c>
      <c r="T167" t="s">
        <v>19</v>
      </c>
      <c r="W167" t="s">
        <v>25</v>
      </c>
      <c r="X167" t="s">
        <v>23</v>
      </c>
      <c r="Y167" t="e">
        <f>+_xlfn.XLOOKUP(tbl_encuesta[[#This Row],[Considero a Limtek como un buen lugar para trabajar]],#REF!,#REF!)</f>
        <v>#REF!</v>
      </c>
      <c r="Z167" t="s">
        <v>461</v>
      </c>
      <c r="AA167" t="s">
        <v>479</v>
      </c>
      <c r="AB167" t="s">
        <v>28</v>
      </c>
      <c r="AC167" s="3" t="s">
        <v>3598</v>
      </c>
      <c r="AD167" s="3" t="s">
        <v>3605</v>
      </c>
      <c r="AE167" t="s">
        <v>34</v>
      </c>
    </row>
    <row r="168" spans="1:31" x14ac:dyDescent="0.25">
      <c r="A168">
        <v>119033463553</v>
      </c>
      <c r="B168">
        <v>462598545</v>
      </c>
      <c r="C168" s="1">
        <v>46030.758425925924</v>
      </c>
      <c r="D168" s="1">
        <v>46030.760578703703</v>
      </c>
      <c r="E168" t="s">
        <v>480</v>
      </c>
      <c r="F168" t="s">
        <v>23</v>
      </c>
      <c r="G168" t="e">
        <f>+_xlfn.XLOOKUP(tbl_encuesta[[#This Row],[Me siento a gusto con el ambiente de trabajo que se genera en mi equipo.]],#REF!,#REF!)</f>
        <v>#REF!</v>
      </c>
      <c r="H168" t="s">
        <v>23</v>
      </c>
      <c r="I168" t="e">
        <f>+_xlfn.XLOOKUP(tbl_encuesta[[#This Row],[Me siento motivado a dar lo mejor de mí y hacer un buen trabajo]],#REF!,#REF!)</f>
        <v>#REF!</v>
      </c>
      <c r="J168" t="s">
        <v>23</v>
      </c>
      <c r="K168" t="e">
        <f>+_xlfn.XLOOKUP(tbl_encuesta[[#This Row],[Mi supervisor o jefe directo me otorga el soporte que necesito para afrontar cualquier problema que afecte mi trabajo]],#REF!,#REF!)</f>
        <v>#REF!</v>
      </c>
      <c r="L168" t="s">
        <v>23</v>
      </c>
      <c r="M168" t="e">
        <f>+_xlfn.XLOOKUP(tbl_encuesta[[#This Row],[Mi supervisor o jefe directo fomenta que nos apoyemos entre todos en el equipo]],#REF!,#REF!)</f>
        <v>#REF!</v>
      </c>
      <c r="N168" t="s">
        <v>23</v>
      </c>
      <c r="O168" t="e">
        <f>+_xlfn.XLOOKUP(tbl_encuesta[[#This Row],[Siento que mi trabajo es reconocido por mi supervisor o jefe directo.]],#REF!,#REF!)</f>
        <v>#REF!</v>
      </c>
      <c r="P168" t="s">
        <v>31</v>
      </c>
      <c r="Q168" t="e">
        <f xml:space="preserve">
_xlfn.XLOOKUP(
tbl_encuesta[[#This Row],[Mi supervisor o jefe directo nos brinda charlas de 5 minutos y comunica las novedades relevantes a mi puesto de trabajo]],#REF!,#REF!
)</f>
        <v>#REF!</v>
      </c>
      <c r="R168" t="s">
        <v>17</v>
      </c>
      <c r="S168" t="s">
        <v>18</v>
      </c>
      <c r="W168" t="s">
        <v>25</v>
      </c>
      <c r="X168" t="s">
        <v>23</v>
      </c>
      <c r="Y168" t="e">
        <f>+_xlfn.XLOOKUP(tbl_encuesta[[#This Row],[Considero a Limtek como un buen lugar para trabajar]],#REF!,#REF!)</f>
        <v>#REF!</v>
      </c>
      <c r="Z168" t="s">
        <v>132</v>
      </c>
      <c r="AA168" t="s">
        <v>481</v>
      </c>
      <c r="AB168" t="s">
        <v>28</v>
      </c>
      <c r="AC168" s="3" t="s">
        <v>3736</v>
      </c>
      <c r="AD168" s="3" t="s">
        <v>3743</v>
      </c>
      <c r="AE168" t="s">
        <v>55</v>
      </c>
    </row>
    <row r="169" spans="1:31" x14ac:dyDescent="0.25">
      <c r="A169">
        <v>119033463085</v>
      </c>
      <c r="B169">
        <v>462598545</v>
      </c>
      <c r="C169" s="1">
        <v>46030.757488425923</v>
      </c>
      <c r="D169" s="1">
        <v>46030.759884259256</v>
      </c>
      <c r="E169" t="s">
        <v>482</v>
      </c>
      <c r="F169" t="s">
        <v>23</v>
      </c>
      <c r="G169" t="e">
        <f>+_xlfn.XLOOKUP(tbl_encuesta[[#This Row],[Me siento a gusto con el ambiente de trabajo que se genera en mi equipo.]],#REF!,#REF!)</f>
        <v>#REF!</v>
      </c>
      <c r="H169" t="s">
        <v>23</v>
      </c>
      <c r="I169" t="e">
        <f>+_xlfn.XLOOKUP(tbl_encuesta[[#This Row],[Me siento motivado a dar lo mejor de mí y hacer un buen trabajo]],#REF!,#REF!)</f>
        <v>#REF!</v>
      </c>
      <c r="J169" t="s">
        <v>23</v>
      </c>
      <c r="K169" t="e">
        <f>+_xlfn.XLOOKUP(tbl_encuesta[[#This Row],[Mi supervisor o jefe directo me otorga el soporte que necesito para afrontar cualquier problema que afecte mi trabajo]],#REF!,#REF!)</f>
        <v>#REF!</v>
      </c>
      <c r="L169" t="s">
        <v>23</v>
      </c>
      <c r="M169" t="e">
        <f>+_xlfn.XLOOKUP(tbl_encuesta[[#This Row],[Mi supervisor o jefe directo fomenta que nos apoyemos entre todos en el equipo]],#REF!,#REF!)</f>
        <v>#REF!</v>
      </c>
      <c r="N169" t="s">
        <v>23</v>
      </c>
      <c r="O169" t="e">
        <f>+_xlfn.XLOOKUP(tbl_encuesta[[#This Row],[Siento que mi trabajo es reconocido por mi supervisor o jefe directo.]],#REF!,#REF!)</f>
        <v>#REF!</v>
      </c>
      <c r="P169" t="s">
        <v>31</v>
      </c>
      <c r="Q169" t="e">
        <f xml:space="preserve">
_xlfn.XLOOKUP(
tbl_encuesta[[#This Row],[Mi supervisor o jefe directo nos brinda charlas de 5 minutos y comunica las novedades relevantes a mi puesto de trabajo]],#REF!,#REF!
)</f>
        <v>#REF!</v>
      </c>
      <c r="S169" t="s">
        <v>18</v>
      </c>
      <c r="W169" t="s">
        <v>25</v>
      </c>
      <c r="X169" t="s">
        <v>23</v>
      </c>
      <c r="Y169" t="e">
        <f>+_xlfn.XLOOKUP(tbl_encuesta[[#This Row],[Considero a Limtek como un buen lugar para trabajar]],#REF!,#REF!)</f>
        <v>#REF!</v>
      </c>
      <c r="Z169" t="s">
        <v>483</v>
      </c>
      <c r="AA169" t="s">
        <v>484</v>
      </c>
      <c r="AB169" t="s">
        <v>28</v>
      </c>
      <c r="AC169" s="3" t="s">
        <v>3736</v>
      </c>
      <c r="AD169" s="3" t="s">
        <v>3743</v>
      </c>
      <c r="AE169" t="s">
        <v>29</v>
      </c>
    </row>
    <row r="170" spans="1:31" x14ac:dyDescent="0.25">
      <c r="A170">
        <v>119033462464</v>
      </c>
      <c r="B170">
        <v>462598545</v>
      </c>
      <c r="C170" s="1">
        <v>46030.752465277779</v>
      </c>
      <c r="D170" s="1">
        <v>46030.759016203701</v>
      </c>
      <c r="E170" t="s">
        <v>485</v>
      </c>
      <c r="F170" t="s">
        <v>23</v>
      </c>
      <c r="G170" t="e">
        <f>+_xlfn.XLOOKUP(tbl_encuesta[[#This Row],[Me siento a gusto con el ambiente de trabajo que se genera en mi equipo.]],#REF!,#REF!)</f>
        <v>#REF!</v>
      </c>
      <c r="H170" t="s">
        <v>23</v>
      </c>
      <c r="I170" t="e">
        <f>+_xlfn.XLOOKUP(tbl_encuesta[[#This Row],[Me siento motivado a dar lo mejor de mí y hacer un buen trabajo]],#REF!,#REF!)</f>
        <v>#REF!</v>
      </c>
      <c r="J170" t="s">
        <v>22</v>
      </c>
      <c r="K170" t="e">
        <f>+_xlfn.XLOOKUP(tbl_encuesta[[#This Row],[Mi supervisor o jefe directo me otorga el soporte que necesito para afrontar cualquier problema que afecte mi trabajo]],#REF!,#REF!)</f>
        <v>#REF!</v>
      </c>
      <c r="L170" t="s">
        <v>23</v>
      </c>
      <c r="M170" t="e">
        <f>+_xlfn.XLOOKUP(tbl_encuesta[[#This Row],[Mi supervisor o jefe directo fomenta que nos apoyemos entre todos en el equipo]],#REF!,#REF!)</f>
        <v>#REF!</v>
      </c>
      <c r="N170" t="s">
        <v>23</v>
      </c>
      <c r="O170" t="e">
        <f>+_xlfn.XLOOKUP(tbl_encuesta[[#This Row],[Siento que mi trabajo es reconocido por mi supervisor o jefe directo.]],#REF!,#REF!)</f>
        <v>#REF!</v>
      </c>
      <c r="P170" t="s">
        <v>31</v>
      </c>
      <c r="Q170" t="e">
        <f xml:space="preserve">
_xlfn.XLOOKUP(
tbl_encuesta[[#This Row],[Mi supervisor o jefe directo nos brinda charlas de 5 minutos y comunica las novedades relevantes a mi puesto de trabajo]],#REF!,#REF!
)</f>
        <v>#REF!</v>
      </c>
      <c r="R170" t="s">
        <v>17</v>
      </c>
      <c r="T170" t="s">
        <v>19</v>
      </c>
      <c r="W170" t="s">
        <v>25</v>
      </c>
      <c r="X170" t="s">
        <v>23</v>
      </c>
      <c r="Y170" t="e">
        <f>+_xlfn.XLOOKUP(tbl_encuesta[[#This Row],[Considero a Limtek como un buen lugar para trabajar]],#REF!,#REF!)</f>
        <v>#REF!</v>
      </c>
      <c r="Z170" t="s">
        <v>135</v>
      </c>
      <c r="AA170" t="s">
        <v>486</v>
      </c>
      <c r="AB170" t="s">
        <v>28</v>
      </c>
      <c r="AC170" s="3" t="s">
        <v>3736</v>
      </c>
      <c r="AD170" s="3" t="s">
        <v>3736</v>
      </c>
      <c r="AE170" t="s">
        <v>34</v>
      </c>
    </row>
    <row r="171" spans="1:31" x14ac:dyDescent="0.25">
      <c r="A171">
        <v>119033461326</v>
      </c>
      <c r="B171">
        <v>462598545</v>
      </c>
      <c r="C171" s="1">
        <v>46030.753449074073</v>
      </c>
      <c r="D171" s="1">
        <v>46030.757476851853</v>
      </c>
      <c r="E171" t="s">
        <v>487</v>
      </c>
      <c r="F171" t="s">
        <v>23</v>
      </c>
      <c r="G171" t="e">
        <f>+_xlfn.XLOOKUP(tbl_encuesta[[#This Row],[Me siento a gusto con el ambiente de trabajo que se genera en mi equipo.]],#REF!,#REF!)</f>
        <v>#REF!</v>
      </c>
      <c r="H171" t="s">
        <v>23</v>
      </c>
      <c r="I171" t="e">
        <f>+_xlfn.XLOOKUP(tbl_encuesta[[#This Row],[Me siento motivado a dar lo mejor de mí y hacer un buen trabajo]],#REF!,#REF!)</f>
        <v>#REF!</v>
      </c>
      <c r="J171" t="s">
        <v>23</v>
      </c>
      <c r="K171" t="e">
        <f>+_xlfn.XLOOKUP(tbl_encuesta[[#This Row],[Mi supervisor o jefe directo me otorga el soporte que necesito para afrontar cualquier problema que afecte mi trabajo]],#REF!,#REF!)</f>
        <v>#REF!</v>
      </c>
      <c r="L171" t="s">
        <v>23</v>
      </c>
      <c r="M171" t="e">
        <f>+_xlfn.XLOOKUP(tbl_encuesta[[#This Row],[Mi supervisor o jefe directo fomenta que nos apoyemos entre todos en el equipo]],#REF!,#REF!)</f>
        <v>#REF!</v>
      </c>
      <c r="N171" t="s">
        <v>23</v>
      </c>
      <c r="O171" t="e">
        <f>+_xlfn.XLOOKUP(tbl_encuesta[[#This Row],[Siento que mi trabajo es reconocido por mi supervisor o jefe directo.]],#REF!,#REF!)</f>
        <v>#REF!</v>
      </c>
      <c r="P171" t="s">
        <v>31</v>
      </c>
      <c r="Q171" t="e">
        <f xml:space="preserve">
_xlfn.XLOOKUP(
tbl_encuesta[[#This Row],[Mi supervisor o jefe directo nos brinda charlas de 5 minutos y comunica las novedades relevantes a mi puesto de trabajo]],#REF!,#REF!
)</f>
        <v>#REF!</v>
      </c>
      <c r="R171" t="s">
        <v>17</v>
      </c>
      <c r="W171" t="s">
        <v>25</v>
      </c>
      <c r="X171" t="s">
        <v>23</v>
      </c>
      <c r="Y171" t="e">
        <f>+_xlfn.XLOOKUP(tbl_encuesta[[#This Row],[Considero a Limtek como un buen lugar para trabajar]],#REF!,#REF!)</f>
        <v>#REF!</v>
      </c>
      <c r="Z171" t="s">
        <v>488</v>
      </c>
      <c r="AA171" t="s">
        <v>489</v>
      </c>
      <c r="AB171" t="s">
        <v>28</v>
      </c>
      <c r="AC171" s="3" t="s">
        <v>3714</v>
      </c>
      <c r="AD171" s="3" t="s">
        <v>3714</v>
      </c>
      <c r="AE171" t="s">
        <v>29</v>
      </c>
    </row>
    <row r="172" spans="1:31" x14ac:dyDescent="0.25">
      <c r="A172">
        <v>119033460257</v>
      </c>
      <c r="B172">
        <v>462598545</v>
      </c>
      <c r="C172" s="1">
        <v>46030.753842592596</v>
      </c>
      <c r="D172" s="1">
        <v>46030.756018518521</v>
      </c>
      <c r="E172" t="s">
        <v>490</v>
      </c>
      <c r="F172" t="s">
        <v>22</v>
      </c>
      <c r="G172" t="e">
        <f>+_xlfn.XLOOKUP(tbl_encuesta[[#This Row],[Me siento a gusto con el ambiente de trabajo que se genera en mi equipo.]],#REF!,#REF!)</f>
        <v>#REF!</v>
      </c>
      <c r="H172" t="s">
        <v>23</v>
      </c>
      <c r="I172" t="e">
        <f>+_xlfn.XLOOKUP(tbl_encuesta[[#This Row],[Me siento motivado a dar lo mejor de mí y hacer un buen trabajo]],#REF!,#REF!)</f>
        <v>#REF!</v>
      </c>
      <c r="J172" t="s">
        <v>23</v>
      </c>
      <c r="K172" t="e">
        <f>+_xlfn.XLOOKUP(tbl_encuesta[[#This Row],[Mi supervisor o jefe directo me otorga el soporte que necesito para afrontar cualquier problema que afecte mi trabajo]],#REF!,#REF!)</f>
        <v>#REF!</v>
      </c>
      <c r="L172" t="s">
        <v>23</v>
      </c>
      <c r="M172" t="e">
        <f>+_xlfn.XLOOKUP(tbl_encuesta[[#This Row],[Mi supervisor o jefe directo fomenta que nos apoyemos entre todos en el equipo]],#REF!,#REF!)</f>
        <v>#REF!</v>
      </c>
      <c r="N172" t="s">
        <v>23</v>
      </c>
      <c r="O172" t="e">
        <f>+_xlfn.XLOOKUP(tbl_encuesta[[#This Row],[Siento que mi trabajo es reconocido por mi supervisor o jefe directo.]],#REF!,#REF!)</f>
        <v>#REF!</v>
      </c>
      <c r="P172" t="s">
        <v>31</v>
      </c>
      <c r="Q172" t="e">
        <f xml:space="preserve">
_xlfn.XLOOKUP(
tbl_encuesta[[#This Row],[Mi supervisor o jefe directo nos brinda charlas de 5 minutos y comunica las novedades relevantes a mi puesto de trabajo]],#REF!,#REF!
)</f>
        <v>#REF!</v>
      </c>
      <c r="R172" t="s">
        <v>17</v>
      </c>
      <c r="S172" t="s">
        <v>18</v>
      </c>
      <c r="W172" t="s">
        <v>25</v>
      </c>
      <c r="X172" t="s">
        <v>23</v>
      </c>
      <c r="Y172" t="e">
        <f>+_xlfn.XLOOKUP(tbl_encuesta[[#This Row],[Considero a Limtek como un buen lugar para trabajar]],#REF!,#REF!)</f>
        <v>#REF!</v>
      </c>
      <c r="Z172" t="s">
        <v>576</v>
      </c>
      <c r="AA172" t="s">
        <v>491</v>
      </c>
      <c r="AB172" t="s">
        <v>28</v>
      </c>
      <c r="AC172" s="3" t="s">
        <v>3714</v>
      </c>
      <c r="AD172" s="3" t="s">
        <v>3714</v>
      </c>
      <c r="AE172" t="s">
        <v>29</v>
      </c>
    </row>
    <row r="173" spans="1:31" x14ac:dyDescent="0.25">
      <c r="A173">
        <v>119033458399</v>
      </c>
      <c r="B173">
        <v>462598545</v>
      </c>
      <c r="C173" s="1">
        <v>46030.742164351854</v>
      </c>
      <c r="D173" s="1">
        <v>46030.753541666665</v>
      </c>
      <c r="E173" t="s">
        <v>492</v>
      </c>
      <c r="F173" t="s">
        <v>22</v>
      </c>
      <c r="G173" t="e">
        <f>+_xlfn.XLOOKUP(tbl_encuesta[[#This Row],[Me siento a gusto con el ambiente de trabajo que se genera en mi equipo.]],#REF!,#REF!)</f>
        <v>#REF!</v>
      </c>
      <c r="H173" t="s">
        <v>22</v>
      </c>
      <c r="I173" t="e">
        <f>+_xlfn.XLOOKUP(tbl_encuesta[[#This Row],[Me siento motivado a dar lo mejor de mí y hacer un buen trabajo]],#REF!,#REF!)</f>
        <v>#REF!</v>
      </c>
      <c r="J173" t="s">
        <v>22</v>
      </c>
      <c r="K173" t="e">
        <f>+_xlfn.XLOOKUP(tbl_encuesta[[#This Row],[Mi supervisor o jefe directo me otorga el soporte que necesito para afrontar cualquier problema que afecte mi trabajo]],#REF!,#REF!)</f>
        <v>#REF!</v>
      </c>
      <c r="L173" t="s">
        <v>22</v>
      </c>
      <c r="M173" t="e">
        <f>+_xlfn.XLOOKUP(tbl_encuesta[[#This Row],[Mi supervisor o jefe directo fomenta que nos apoyemos entre todos en el equipo]],#REF!,#REF!)</f>
        <v>#REF!</v>
      </c>
      <c r="N173" t="s">
        <v>22</v>
      </c>
      <c r="O173" t="e">
        <f>+_xlfn.XLOOKUP(tbl_encuesta[[#This Row],[Siento que mi trabajo es reconocido por mi supervisor o jefe directo.]],#REF!,#REF!)</f>
        <v>#REF!</v>
      </c>
      <c r="P173" t="s">
        <v>67</v>
      </c>
      <c r="Q173" t="e">
        <f xml:space="preserve">
_xlfn.XLOOKUP(
tbl_encuesta[[#This Row],[Mi supervisor o jefe directo nos brinda charlas de 5 minutos y comunica las novedades relevantes a mi puesto de trabajo]],#REF!,#REF!
)</f>
        <v>#REF!</v>
      </c>
      <c r="R173" t="s">
        <v>17</v>
      </c>
      <c r="S173" t="s">
        <v>18</v>
      </c>
      <c r="W173" t="s">
        <v>25</v>
      </c>
      <c r="X173" t="s">
        <v>22</v>
      </c>
      <c r="Y173" t="e">
        <f>+_xlfn.XLOOKUP(tbl_encuesta[[#This Row],[Considero a Limtek como un buen lugar para trabajar]],#REF!,#REF!)</f>
        <v>#REF!</v>
      </c>
      <c r="Z173" t="s">
        <v>493</v>
      </c>
      <c r="AA173" t="s">
        <v>494</v>
      </c>
      <c r="AB173" t="s">
        <v>28</v>
      </c>
      <c r="AC173" s="3" t="s">
        <v>3714</v>
      </c>
      <c r="AD173" s="3" t="s">
        <v>3715</v>
      </c>
      <c r="AE173" t="s">
        <v>69</v>
      </c>
    </row>
    <row r="174" spans="1:31" x14ac:dyDescent="0.25">
      <c r="A174">
        <v>119033458127</v>
      </c>
      <c r="B174">
        <v>462598545</v>
      </c>
      <c r="C174" s="1">
        <v>46030.744317129633</v>
      </c>
      <c r="D174" s="1">
        <v>46030.753159722219</v>
      </c>
      <c r="E174" t="s">
        <v>495</v>
      </c>
      <c r="F174" t="s">
        <v>23</v>
      </c>
      <c r="G174" t="e">
        <f>+_xlfn.XLOOKUP(tbl_encuesta[[#This Row],[Me siento a gusto con el ambiente de trabajo que se genera en mi equipo.]],#REF!,#REF!)</f>
        <v>#REF!</v>
      </c>
      <c r="H174" t="s">
        <v>23</v>
      </c>
      <c r="I174" t="e">
        <f>+_xlfn.XLOOKUP(tbl_encuesta[[#This Row],[Me siento motivado a dar lo mejor de mí y hacer un buen trabajo]],#REF!,#REF!)</f>
        <v>#REF!</v>
      </c>
      <c r="J174" t="s">
        <v>23</v>
      </c>
      <c r="K174" t="e">
        <f>+_xlfn.XLOOKUP(tbl_encuesta[[#This Row],[Mi supervisor o jefe directo me otorga el soporte que necesito para afrontar cualquier problema que afecte mi trabajo]],#REF!,#REF!)</f>
        <v>#REF!</v>
      </c>
      <c r="L174" t="s">
        <v>23</v>
      </c>
      <c r="M174" t="e">
        <f>+_xlfn.XLOOKUP(tbl_encuesta[[#This Row],[Mi supervisor o jefe directo fomenta que nos apoyemos entre todos en el equipo]],#REF!,#REF!)</f>
        <v>#REF!</v>
      </c>
      <c r="N174" t="s">
        <v>23</v>
      </c>
      <c r="O174" t="e">
        <f>+_xlfn.XLOOKUP(tbl_encuesta[[#This Row],[Siento que mi trabajo es reconocido por mi supervisor o jefe directo.]],#REF!,#REF!)</f>
        <v>#REF!</v>
      </c>
      <c r="P174" t="s">
        <v>31</v>
      </c>
      <c r="Q174" t="e">
        <f xml:space="preserve">
_xlfn.XLOOKUP(
tbl_encuesta[[#This Row],[Mi supervisor o jefe directo nos brinda charlas de 5 minutos y comunica las novedades relevantes a mi puesto de trabajo]],#REF!,#REF!
)</f>
        <v>#REF!</v>
      </c>
      <c r="R174" t="s">
        <v>17</v>
      </c>
      <c r="U174" t="s">
        <v>20</v>
      </c>
      <c r="W174" t="s">
        <v>25</v>
      </c>
      <c r="X174" t="s">
        <v>23</v>
      </c>
      <c r="Y174" t="e">
        <f>+_xlfn.XLOOKUP(tbl_encuesta[[#This Row],[Considero a Limtek como un buen lugar para trabajar]],#REF!,#REF!)</f>
        <v>#REF!</v>
      </c>
      <c r="Z174" t="s">
        <v>129</v>
      </c>
      <c r="AA174" t="s">
        <v>496</v>
      </c>
      <c r="AB174" t="s">
        <v>28</v>
      </c>
      <c r="AC174" t="s">
        <v>3736</v>
      </c>
      <c r="AD174" t="s">
        <v>3736</v>
      </c>
      <c r="AE174" t="s">
        <v>55</v>
      </c>
    </row>
    <row r="175" spans="1:31" x14ac:dyDescent="0.25">
      <c r="A175">
        <v>119033457596</v>
      </c>
      <c r="B175">
        <v>462598545</v>
      </c>
      <c r="C175" s="1">
        <v>46030.748425925929</v>
      </c>
      <c r="D175" s="1">
        <v>46030.752476851849</v>
      </c>
      <c r="E175" t="s">
        <v>377</v>
      </c>
      <c r="F175" t="s">
        <v>23</v>
      </c>
      <c r="G175" t="e">
        <f>+_xlfn.XLOOKUP(tbl_encuesta[[#This Row],[Me siento a gusto con el ambiente de trabajo que se genera en mi equipo.]],#REF!,#REF!)</f>
        <v>#REF!</v>
      </c>
      <c r="H175" t="s">
        <v>23</v>
      </c>
      <c r="I175" t="e">
        <f>+_xlfn.XLOOKUP(tbl_encuesta[[#This Row],[Me siento motivado a dar lo mejor de mí y hacer un buen trabajo]],#REF!,#REF!)</f>
        <v>#REF!</v>
      </c>
      <c r="J175" t="s">
        <v>23</v>
      </c>
      <c r="K175" t="e">
        <f>+_xlfn.XLOOKUP(tbl_encuesta[[#This Row],[Mi supervisor o jefe directo me otorga el soporte que necesito para afrontar cualquier problema que afecte mi trabajo]],#REF!,#REF!)</f>
        <v>#REF!</v>
      </c>
      <c r="L175" t="s">
        <v>23</v>
      </c>
      <c r="M175" t="e">
        <f>+_xlfn.XLOOKUP(tbl_encuesta[[#This Row],[Mi supervisor o jefe directo fomenta que nos apoyemos entre todos en el equipo]],#REF!,#REF!)</f>
        <v>#REF!</v>
      </c>
      <c r="N175" t="s">
        <v>23</v>
      </c>
      <c r="O175" t="e">
        <f>+_xlfn.XLOOKUP(tbl_encuesta[[#This Row],[Siento que mi trabajo es reconocido por mi supervisor o jefe directo.]],#REF!,#REF!)</f>
        <v>#REF!</v>
      </c>
      <c r="P175" t="s">
        <v>67</v>
      </c>
      <c r="Q175" t="e">
        <f xml:space="preserve">
_xlfn.XLOOKUP(
tbl_encuesta[[#This Row],[Mi supervisor o jefe directo nos brinda charlas de 5 minutos y comunica las novedades relevantes a mi puesto de trabajo]],#REF!,#REF!
)</f>
        <v>#REF!</v>
      </c>
      <c r="R175" t="s">
        <v>17</v>
      </c>
      <c r="W175" t="s">
        <v>25</v>
      </c>
      <c r="X175" t="s">
        <v>23</v>
      </c>
      <c r="Y175" t="e">
        <f>+_xlfn.XLOOKUP(tbl_encuesta[[#This Row],[Considero a Limtek como un buen lugar para trabajar]],#REF!,#REF!)</f>
        <v>#REF!</v>
      </c>
      <c r="Z175" t="s">
        <v>497</v>
      </c>
      <c r="AA175" t="s">
        <v>498</v>
      </c>
      <c r="AB175" t="s">
        <v>28</v>
      </c>
      <c r="AC175" t="s">
        <v>3598</v>
      </c>
      <c r="AD175" t="s">
        <v>3599</v>
      </c>
      <c r="AE175" t="s">
        <v>34</v>
      </c>
    </row>
    <row r="176" spans="1:31" x14ac:dyDescent="0.25">
      <c r="A176">
        <v>119033456476</v>
      </c>
      <c r="B176">
        <v>462598545</v>
      </c>
      <c r="C176" s="1">
        <v>46030.749583333331</v>
      </c>
      <c r="D176" s="1">
        <v>46030.750972222224</v>
      </c>
      <c r="E176" t="s">
        <v>499</v>
      </c>
      <c r="F176" t="s">
        <v>23</v>
      </c>
      <c r="G176" t="e">
        <f>+_xlfn.XLOOKUP(tbl_encuesta[[#This Row],[Me siento a gusto con el ambiente de trabajo que se genera en mi equipo.]],#REF!,#REF!)</f>
        <v>#REF!</v>
      </c>
      <c r="H176" t="s">
        <v>23</v>
      </c>
      <c r="I176" t="e">
        <f>+_xlfn.XLOOKUP(tbl_encuesta[[#This Row],[Me siento motivado a dar lo mejor de mí y hacer un buen trabajo]],#REF!,#REF!)</f>
        <v>#REF!</v>
      </c>
      <c r="J176" t="s">
        <v>23</v>
      </c>
      <c r="K176" t="e">
        <f>+_xlfn.XLOOKUP(tbl_encuesta[[#This Row],[Mi supervisor o jefe directo me otorga el soporte que necesito para afrontar cualquier problema que afecte mi trabajo]],#REF!,#REF!)</f>
        <v>#REF!</v>
      </c>
      <c r="L176" t="s">
        <v>22</v>
      </c>
      <c r="M176" t="e">
        <f>+_xlfn.XLOOKUP(tbl_encuesta[[#This Row],[Mi supervisor o jefe directo fomenta que nos apoyemos entre todos en el equipo]],#REF!,#REF!)</f>
        <v>#REF!</v>
      </c>
      <c r="N176" t="s">
        <v>22</v>
      </c>
      <c r="O176" t="e">
        <f>+_xlfn.XLOOKUP(tbl_encuesta[[#This Row],[Siento que mi trabajo es reconocido por mi supervisor o jefe directo.]],#REF!,#REF!)</f>
        <v>#REF!</v>
      </c>
      <c r="P176" t="s">
        <v>67</v>
      </c>
      <c r="Q176" t="e">
        <f xml:space="preserve">
_xlfn.XLOOKUP(
tbl_encuesta[[#This Row],[Mi supervisor o jefe directo nos brinda charlas de 5 minutos y comunica las novedades relevantes a mi puesto de trabajo]],#REF!,#REF!
)</f>
        <v>#REF!</v>
      </c>
      <c r="S176" t="s">
        <v>18</v>
      </c>
      <c r="U176" t="s">
        <v>20</v>
      </c>
      <c r="W176" t="s">
        <v>25</v>
      </c>
      <c r="X176" t="s">
        <v>23</v>
      </c>
      <c r="Y176" t="e">
        <f>+_xlfn.XLOOKUP(tbl_encuesta[[#This Row],[Considero a Limtek como un buen lugar para trabajar]],#REF!,#REF!)</f>
        <v>#REF!</v>
      </c>
      <c r="Z176" t="s">
        <v>500</v>
      </c>
      <c r="AA176" t="s">
        <v>114</v>
      </c>
      <c r="AB176" t="s">
        <v>28</v>
      </c>
      <c r="AC176" t="s">
        <v>3598</v>
      </c>
      <c r="AD176" s="3" t="s">
        <v>3602</v>
      </c>
      <c r="AE176" t="s">
        <v>69</v>
      </c>
    </row>
    <row r="177" spans="1:31" x14ac:dyDescent="0.25">
      <c r="A177">
        <v>119033456266</v>
      </c>
      <c r="B177">
        <v>462598545</v>
      </c>
      <c r="C177" s="1">
        <v>46030.748402777775</v>
      </c>
      <c r="D177" s="1">
        <v>46030.75068287037</v>
      </c>
      <c r="E177" t="s">
        <v>501</v>
      </c>
      <c r="F177" t="s">
        <v>22</v>
      </c>
      <c r="G177" t="e">
        <f>+_xlfn.XLOOKUP(tbl_encuesta[[#This Row],[Me siento a gusto con el ambiente de trabajo que se genera en mi equipo.]],#REF!,#REF!)</f>
        <v>#REF!</v>
      </c>
      <c r="H177" t="s">
        <v>22</v>
      </c>
      <c r="I177" t="e">
        <f>+_xlfn.XLOOKUP(tbl_encuesta[[#This Row],[Me siento motivado a dar lo mejor de mí y hacer un buen trabajo]],#REF!,#REF!)</f>
        <v>#REF!</v>
      </c>
      <c r="J177" t="s">
        <v>22</v>
      </c>
      <c r="K177" t="e">
        <f>+_xlfn.XLOOKUP(tbl_encuesta[[#This Row],[Mi supervisor o jefe directo me otorga el soporte que necesito para afrontar cualquier problema que afecte mi trabajo]],#REF!,#REF!)</f>
        <v>#REF!</v>
      </c>
      <c r="L177" t="s">
        <v>22</v>
      </c>
      <c r="M177" t="e">
        <f>+_xlfn.XLOOKUP(tbl_encuesta[[#This Row],[Mi supervisor o jefe directo fomenta que nos apoyemos entre todos en el equipo]],#REF!,#REF!)</f>
        <v>#REF!</v>
      </c>
      <c r="N177" t="s">
        <v>22</v>
      </c>
      <c r="O177" t="e">
        <f>+_xlfn.XLOOKUP(tbl_encuesta[[#This Row],[Siento que mi trabajo es reconocido por mi supervisor o jefe directo.]],#REF!,#REF!)</f>
        <v>#REF!</v>
      </c>
      <c r="P177" t="s">
        <v>67</v>
      </c>
      <c r="Q177" t="e">
        <f xml:space="preserve">
_xlfn.XLOOKUP(
tbl_encuesta[[#This Row],[Mi supervisor o jefe directo nos brinda charlas de 5 minutos y comunica las novedades relevantes a mi puesto de trabajo]],#REF!,#REF!
)</f>
        <v>#REF!</v>
      </c>
      <c r="R177" t="s">
        <v>17</v>
      </c>
      <c r="T177" t="s">
        <v>19</v>
      </c>
      <c r="W177" t="s">
        <v>25</v>
      </c>
      <c r="X177" t="s">
        <v>97</v>
      </c>
      <c r="Y177" t="e">
        <f>+_xlfn.XLOOKUP(tbl_encuesta[[#This Row],[Considero a Limtek como un buen lugar para trabajar]],#REF!,#REF!)</f>
        <v>#REF!</v>
      </c>
      <c r="Z177" t="s">
        <v>351</v>
      </c>
      <c r="AA177" t="s">
        <v>502</v>
      </c>
      <c r="AB177" t="s">
        <v>28</v>
      </c>
      <c r="AC177" t="s">
        <v>3598</v>
      </c>
      <c r="AD177" t="s">
        <v>3598</v>
      </c>
      <c r="AE177" t="s">
        <v>61</v>
      </c>
    </row>
    <row r="178" spans="1:31" x14ac:dyDescent="0.25">
      <c r="A178">
        <v>119033455275</v>
      </c>
      <c r="B178">
        <v>462598545</v>
      </c>
      <c r="C178" s="1">
        <v>46030.748159722221</v>
      </c>
      <c r="D178" s="1">
        <v>46030.749305555553</v>
      </c>
      <c r="E178" t="s">
        <v>503</v>
      </c>
      <c r="F178" t="s">
        <v>23</v>
      </c>
      <c r="G178" t="e">
        <f>+_xlfn.XLOOKUP(tbl_encuesta[[#This Row],[Me siento a gusto con el ambiente de trabajo que se genera en mi equipo.]],#REF!,#REF!)</f>
        <v>#REF!</v>
      </c>
      <c r="H178" t="s">
        <v>23</v>
      </c>
      <c r="I178" t="e">
        <f>+_xlfn.XLOOKUP(tbl_encuesta[[#This Row],[Me siento motivado a dar lo mejor de mí y hacer un buen trabajo]],#REF!,#REF!)</f>
        <v>#REF!</v>
      </c>
      <c r="J178" t="s">
        <v>23</v>
      </c>
      <c r="K178" t="e">
        <f>+_xlfn.XLOOKUP(tbl_encuesta[[#This Row],[Mi supervisor o jefe directo me otorga el soporte que necesito para afrontar cualquier problema que afecte mi trabajo]],#REF!,#REF!)</f>
        <v>#REF!</v>
      </c>
      <c r="L178" t="s">
        <v>23</v>
      </c>
      <c r="M178" t="e">
        <f>+_xlfn.XLOOKUP(tbl_encuesta[[#This Row],[Mi supervisor o jefe directo fomenta que nos apoyemos entre todos en el equipo]],#REF!,#REF!)</f>
        <v>#REF!</v>
      </c>
      <c r="N178" t="s">
        <v>23</v>
      </c>
      <c r="O178" t="e">
        <f>+_xlfn.XLOOKUP(tbl_encuesta[[#This Row],[Siento que mi trabajo es reconocido por mi supervisor o jefe directo.]],#REF!,#REF!)</f>
        <v>#REF!</v>
      </c>
      <c r="P178" t="s">
        <v>31</v>
      </c>
      <c r="Q178" t="e">
        <f xml:space="preserve">
_xlfn.XLOOKUP(
tbl_encuesta[[#This Row],[Mi supervisor o jefe directo nos brinda charlas de 5 minutos y comunica las novedades relevantes a mi puesto de trabajo]],#REF!,#REF!
)</f>
        <v>#REF!</v>
      </c>
      <c r="S178" t="s">
        <v>18</v>
      </c>
      <c r="W178" t="s">
        <v>25</v>
      </c>
      <c r="X178" t="s">
        <v>23</v>
      </c>
      <c r="Y178" t="e">
        <f>+_xlfn.XLOOKUP(tbl_encuesta[[#This Row],[Considero a Limtek como un buen lugar para trabajar]],#REF!,#REF!)</f>
        <v>#REF!</v>
      </c>
      <c r="Z178" t="s">
        <v>504</v>
      </c>
      <c r="AA178" t="s">
        <v>505</v>
      </c>
      <c r="AB178" t="s">
        <v>28</v>
      </c>
      <c r="AC178" t="s">
        <v>3598</v>
      </c>
      <c r="AD178" t="s">
        <v>3598</v>
      </c>
      <c r="AE178" t="s">
        <v>69</v>
      </c>
    </row>
    <row r="179" spans="1:31" x14ac:dyDescent="0.25">
      <c r="A179">
        <v>119033454681</v>
      </c>
      <c r="B179">
        <v>462598545</v>
      </c>
      <c r="C179" s="1">
        <v>46030.74627314815</v>
      </c>
      <c r="D179" s="1">
        <v>46030.748506944445</v>
      </c>
      <c r="E179" t="s">
        <v>506</v>
      </c>
      <c r="F179" t="s">
        <v>22</v>
      </c>
      <c r="G179" t="e">
        <f>+_xlfn.XLOOKUP(tbl_encuesta[[#This Row],[Me siento a gusto con el ambiente de trabajo que se genera en mi equipo.]],#REF!,#REF!)</f>
        <v>#REF!</v>
      </c>
      <c r="H179" t="s">
        <v>23</v>
      </c>
      <c r="I179" t="e">
        <f>+_xlfn.XLOOKUP(tbl_encuesta[[#This Row],[Me siento motivado a dar lo mejor de mí y hacer un buen trabajo]],#REF!,#REF!)</f>
        <v>#REF!</v>
      </c>
      <c r="J179" t="s">
        <v>23</v>
      </c>
      <c r="K179" t="e">
        <f>+_xlfn.XLOOKUP(tbl_encuesta[[#This Row],[Mi supervisor o jefe directo me otorga el soporte que necesito para afrontar cualquier problema que afecte mi trabajo]],#REF!,#REF!)</f>
        <v>#REF!</v>
      </c>
      <c r="L179" t="s">
        <v>23</v>
      </c>
      <c r="M179" t="e">
        <f>+_xlfn.XLOOKUP(tbl_encuesta[[#This Row],[Mi supervisor o jefe directo fomenta que nos apoyemos entre todos en el equipo]],#REF!,#REF!)</f>
        <v>#REF!</v>
      </c>
      <c r="N179" t="s">
        <v>23</v>
      </c>
      <c r="O179" t="e">
        <f>+_xlfn.XLOOKUP(tbl_encuesta[[#This Row],[Siento que mi trabajo es reconocido por mi supervisor o jefe directo.]],#REF!,#REF!)</f>
        <v>#REF!</v>
      </c>
      <c r="P179" t="s">
        <v>31</v>
      </c>
      <c r="Q179" t="e">
        <f xml:space="preserve">
_xlfn.XLOOKUP(
tbl_encuesta[[#This Row],[Mi supervisor o jefe directo nos brinda charlas de 5 minutos y comunica las novedades relevantes a mi puesto de trabajo]],#REF!,#REF!
)</f>
        <v>#REF!</v>
      </c>
      <c r="R179" t="s">
        <v>17</v>
      </c>
      <c r="S179" t="s">
        <v>18</v>
      </c>
      <c r="W179" t="s">
        <v>25</v>
      </c>
      <c r="X179" t="s">
        <v>22</v>
      </c>
      <c r="Y179" t="e">
        <f>+_xlfn.XLOOKUP(tbl_encuesta[[#This Row],[Considero a Limtek como un buen lugar para trabajar]],#REF!,#REF!)</f>
        <v>#REF!</v>
      </c>
      <c r="Z179" t="s">
        <v>507</v>
      </c>
      <c r="AA179" t="s">
        <v>508</v>
      </c>
      <c r="AB179" t="s">
        <v>28</v>
      </c>
      <c r="AC179" s="3" t="s">
        <v>3714</v>
      </c>
      <c r="AD179" s="3" t="s">
        <v>3715</v>
      </c>
      <c r="AE179" t="s">
        <v>61</v>
      </c>
    </row>
    <row r="180" spans="1:31" x14ac:dyDescent="0.25">
      <c r="A180">
        <v>119033452379</v>
      </c>
      <c r="B180">
        <v>462598545</v>
      </c>
      <c r="C180" s="1">
        <v>46030.739953703705</v>
      </c>
      <c r="D180" s="1">
        <v>46030.74554398148</v>
      </c>
      <c r="E180" t="s">
        <v>509</v>
      </c>
      <c r="F180" t="s">
        <v>23</v>
      </c>
      <c r="G180" t="e">
        <f>+_xlfn.XLOOKUP(tbl_encuesta[[#This Row],[Me siento a gusto con el ambiente de trabajo que se genera en mi equipo.]],#REF!,#REF!)</f>
        <v>#REF!</v>
      </c>
      <c r="H180" t="s">
        <v>23</v>
      </c>
      <c r="I180" t="e">
        <f>+_xlfn.XLOOKUP(tbl_encuesta[[#This Row],[Me siento motivado a dar lo mejor de mí y hacer un buen trabajo]],#REF!,#REF!)</f>
        <v>#REF!</v>
      </c>
      <c r="J180" t="s">
        <v>23</v>
      </c>
      <c r="K180" t="e">
        <f>+_xlfn.XLOOKUP(tbl_encuesta[[#This Row],[Mi supervisor o jefe directo me otorga el soporte que necesito para afrontar cualquier problema que afecte mi trabajo]],#REF!,#REF!)</f>
        <v>#REF!</v>
      </c>
      <c r="L180" t="s">
        <v>23</v>
      </c>
      <c r="M180" t="e">
        <f>+_xlfn.XLOOKUP(tbl_encuesta[[#This Row],[Mi supervisor o jefe directo fomenta que nos apoyemos entre todos en el equipo]],#REF!,#REF!)</f>
        <v>#REF!</v>
      </c>
      <c r="N180" t="s">
        <v>23</v>
      </c>
      <c r="O180" t="e">
        <f>+_xlfn.XLOOKUP(tbl_encuesta[[#This Row],[Siento que mi trabajo es reconocido por mi supervisor o jefe directo.]],#REF!,#REF!)</f>
        <v>#REF!</v>
      </c>
      <c r="P180" t="s">
        <v>31</v>
      </c>
      <c r="Q180" t="e">
        <f xml:space="preserve">
_xlfn.XLOOKUP(
tbl_encuesta[[#This Row],[Mi supervisor o jefe directo nos brinda charlas de 5 minutos y comunica las novedades relevantes a mi puesto de trabajo]],#REF!,#REF!
)</f>
        <v>#REF!</v>
      </c>
      <c r="R180" t="s">
        <v>17</v>
      </c>
      <c r="W180" t="s">
        <v>25</v>
      </c>
      <c r="X180" t="s">
        <v>23</v>
      </c>
      <c r="Y180" t="e">
        <f>+_xlfn.XLOOKUP(tbl_encuesta[[#This Row],[Considero a Limtek como un buen lugar para trabajar]],#REF!,#REF!)</f>
        <v>#REF!</v>
      </c>
      <c r="Z180" t="s">
        <v>510</v>
      </c>
      <c r="AA180" t="s">
        <v>511</v>
      </c>
      <c r="AB180" t="s">
        <v>28</v>
      </c>
      <c r="AC180" s="3" t="s">
        <v>3714</v>
      </c>
      <c r="AD180" s="3" t="s">
        <v>3715</v>
      </c>
      <c r="AE180" t="s">
        <v>69</v>
      </c>
    </row>
    <row r="181" spans="1:31" x14ac:dyDescent="0.25">
      <c r="A181">
        <v>119033451506</v>
      </c>
      <c r="B181">
        <v>462598545</v>
      </c>
      <c r="C181" s="1">
        <v>46030.738692129627</v>
      </c>
      <c r="D181" s="1">
        <v>46030.744351851848</v>
      </c>
      <c r="E181" t="s">
        <v>512</v>
      </c>
      <c r="F181" t="s">
        <v>23</v>
      </c>
      <c r="G181" t="e">
        <f>+_xlfn.XLOOKUP(tbl_encuesta[[#This Row],[Me siento a gusto con el ambiente de trabajo que se genera en mi equipo.]],#REF!,#REF!)</f>
        <v>#REF!</v>
      </c>
      <c r="H181" t="s">
        <v>23</v>
      </c>
      <c r="I181" t="e">
        <f>+_xlfn.XLOOKUP(tbl_encuesta[[#This Row],[Me siento motivado a dar lo mejor de mí y hacer un buen trabajo]],#REF!,#REF!)</f>
        <v>#REF!</v>
      </c>
      <c r="J181" t="s">
        <v>23</v>
      </c>
      <c r="K181" t="e">
        <f>+_xlfn.XLOOKUP(tbl_encuesta[[#This Row],[Mi supervisor o jefe directo me otorga el soporte que necesito para afrontar cualquier problema que afecte mi trabajo]],#REF!,#REF!)</f>
        <v>#REF!</v>
      </c>
      <c r="L181" t="s">
        <v>23</v>
      </c>
      <c r="M181" t="e">
        <f>+_xlfn.XLOOKUP(tbl_encuesta[[#This Row],[Mi supervisor o jefe directo fomenta que nos apoyemos entre todos en el equipo]],#REF!,#REF!)</f>
        <v>#REF!</v>
      </c>
      <c r="N181" t="s">
        <v>22</v>
      </c>
      <c r="O181" t="e">
        <f>+_xlfn.XLOOKUP(tbl_encuesta[[#This Row],[Siento que mi trabajo es reconocido por mi supervisor o jefe directo.]],#REF!,#REF!)</f>
        <v>#REF!</v>
      </c>
      <c r="P181" t="s">
        <v>175</v>
      </c>
      <c r="Q181" t="e">
        <f xml:space="preserve">
_xlfn.XLOOKUP(
tbl_encuesta[[#This Row],[Mi supervisor o jefe directo nos brinda charlas de 5 minutos y comunica las novedades relevantes a mi puesto de trabajo]],#REF!,#REF!
)</f>
        <v>#REF!</v>
      </c>
      <c r="R181" t="s">
        <v>17</v>
      </c>
      <c r="S181" t="s">
        <v>18</v>
      </c>
      <c r="W181" t="s">
        <v>25</v>
      </c>
      <c r="X181" t="s">
        <v>23</v>
      </c>
      <c r="Y181" t="e">
        <f>+_xlfn.XLOOKUP(tbl_encuesta[[#This Row],[Considero a Limtek como un buen lugar para trabajar]],#REF!,#REF!)</f>
        <v>#REF!</v>
      </c>
      <c r="Z181" t="s">
        <v>513</v>
      </c>
      <c r="AA181" t="s">
        <v>514</v>
      </c>
      <c r="AB181" t="s">
        <v>28</v>
      </c>
      <c r="AC181" s="3" t="s">
        <v>3736</v>
      </c>
      <c r="AD181" s="3" t="s">
        <v>3738</v>
      </c>
      <c r="AE181" t="s">
        <v>29</v>
      </c>
    </row>
    <row r="182" spans="1:31" x14ac:dyDescent="0.25">
      <c r="A182">
        <v>119033449560</v>
      </c>
      <c r="B182">
        <v>462598545</v>
      </c>
      <c r="C182" s="1">
        <v>46030.739189814813</v>
      </c>
      <c r="D182" s="1">
        <v>46030.741724537038</v>
      </c>
      <c r="E182" t="s">
        <v>515</v>
      </c>
      <c r="F182" t="s">
        <v>23</v>
      </c>
      <c r="G182" t="e">
        <f>+_xlfn.XLOOKUP(tbl_encuesta[[#This Row],[Me siento a gusto con el ambiente de trabajo que se genera en mi equipo.]],#REF!,#REF!)</f>
        <v>#REF!</v>
      </c>
      <c r="H182" t="s">
        <v>23</v>
      </c>
      <c r="I182" t="e">
        <f>+_xlfn.XLOOKUP(tbl_encuesta[[#This Row],[Me siento motivado a dar lo mejor de mí y hacer un buen trabajo]],#REF!,#REF!)</f>
        <v>#REF!</v>
      </c>
      <c r="J182" t="s">
        <v>23</v>
      </c>
      <c r="K182" t="e">
        <f>+_xlfn.XLOOKUP(tbl_encuesta[[#This Row],[Mi supervisor o jefe directo me otorga el soporte que necesito para afrontar cualquier problema que afecte mi trabajo]],#REF!,#REF!)</f>
        <v>#REF!</v>
      </c>
      <c r="L182" t="s">
        <v>23</v>
      </c>
      <c r="M182" t="e">
        <f>+_xlfn.XLOOKUP(tbl_encuesta[[#This Row],[Mi supervisor o jefe directo fomenta que nos apoyemos entre todos en el equipo]],#REF!,#REF!)</f>
        <v>#REF!</v>
      </c>
      <c r="N182" t="s">
        <v>23</v>
      </c>
      <c r="O182" t="e">
        <f>+_xlfn.XLOOKUP(tbl_encuesta[[#This Row],[Siento que mi trabajo es reconocido por mi supervisor o jefe directo.]],#REF!,#REF!)</f>
        <v>#REF!</v>
      </c>
      <c r="P182" t="s">
        <v>31</v>
      </c>
      <c r="Q182" t="e">
        <f xml:space="preserve">
_xlfn.XLOOKUP(
tbl_encuesta[[#This Row],[Mi supervisor o jefe directo nos brinda charlas de 5 minutos y comunica las novedades relevantes a mi puesto de trabajo]],#REF!,#REF!
)</f>
        <v>#REF!</v>
      </c>
      <c r="R182" t="s">
        <v>17</v>
      </c>
      <c r="W182" t="s">
        <v>25</v>
      </c>
      <c r="X182" t="s">
        <v>23</v>
      </c>
      <c r="Y182" t="e">
        <f>+_xlfn.XLOOKUP(tbl_encuesta[[#This Row],[Considero a Limtek como un buen lugar para trabajar]],#REF!,#REF!)</f>
        <v>#REF!</v>
      </c>
      <c r="Z182" t="s">
        <v>516</v>
      </c>
      <c r="AA182" t="s">
        <v>517</v>
      </c>
      <c r="AB182" t="s">
        <v>28</v>
      </c>
      <c r="AC182" s="3" t="s">
        <v>3714</v>
      </c>
      <c r="AD182" s="3" t="s">
        <v>3714</v>
      </c>
      <c r="AE182" t="s">
        <v>61</v>
      </c>
    </row>
    <row r="183" spans="1:31" x14ac:dyDescent="0.25">
      <c r="A183">
        <v>119033445497</v>
      </c>
      <c r="B183">
        <v>462598545</v>
      </c>
      <c r="C183" s="1">
        <v>46030.732314814813</v>
      </c>
      <c r="D183" s="1">
        <v>46030.735729166663</v>
      </c>
      <c r="E183" t="s">
        <v>436</v>
      </c>
      <c r="F183" t="s">
        <v>23</v>
      </c>
      <c r="G183" t="e">
        <f>+_xlfn.XLOOKUP(tbl_encuesta[[#This Row],[Me siento a gusto con el ambiente de trabajo que se genera en mi equipo.]],#REF!,#REF!)</f>
        <v>#REF!</v>
      </c>
      <c r="H183" t="s">
        <v>23</v>
      </c>
      <c r="I183" t="e">
        <f>+_xlfn.XLOOKUP(tbl_encuesta[[#This Row],[Me siento motivado a dar lo mejor de mí y hacer un buen trabajo]],#REF!,#REF!)</f>
        <v>#REF!</v>
      </c>
      <c r="J183" t="s">
        <v>23</v>
      </c>
      <c r="K183" t="e">
        <f>+_xlfn.XLOOKUP(tbl_encuesta[[#This Row],[Mi supervisor o jefe directo me otorga el soporte que necesito para afrontar cualquier problema que afecte mi trabajo]],#REF!,#REF!)</f>
        <v>#REF!</v>
      </c>
      <c r="L183" t="s">
        <v>23</v>
      </c>
      <c r="M183" t="e">
        <f>+_xlfn.XLOOKUP(tbl_encuesta[[#This Row],[Mi supervisor o jefe directo fomenta que nos apoyemos entre todos en el equipo]],#REF!,#REF!)</f>
        <v>#REF!</v>
      </c>
      <c r="N183" t="s">
        <v>23</v>
      </c>
      <c r="O183" t="e">
        <f>+_xlfn.XLOOKUP(tbl_encuesta[[#This Row],[Siento que mi trabajo es reconocido por mi supervisor o jefe directo.]],#REF!,#REF!)</f>
        <v>#REF!</v>
      </c>
      <c r="P183" t="s">
        <v>31</v>
      </c>
      <c r="Q183" t="e">
        <f xml:space="preserve">
_xlfn.XLOOKUP(
tbl_encuesta[[#This Row],[Mi supervisor o jefe directo nos brinda charlas de 5 minutos y comunica las novedades relevantes a mi puesto de trabajo]],#REF!,#REF!
)</f>
        <v>#REF!</v>
      </c>
      <c r="S183" t="s">
        <v>18</v>
      </c>
      <c r="T183" t="s">
        <v>19</v>
      </c>
      <c r="W183" t="s">
        <v>25</v>
      </c>
      <c r="X183" t="s">
        <v>23</v>
      </c>
      <c r="Y183" t="e">
        <f>+_xlfn.XLOOKUP(tbl_encuesta[[#This Row],[Considero a Limtek como un buen lugar para trabajar]],#REF!,#REF!)</f>
        <v>#REF!</v>
      </c>
      <c r="Z183" t="s">
        <v>437</v>
      </c>
      <c r="AA183" t="s">
        <v>438</v>
      </c>
      <c r="AB183" t="s">
        <v>28</v>
      </c>
      <c r="AC183" s="3" t="s">
        <v>3714</v>
      </c>
      <c r="AD183" s="3" t="s">
        <v>3714</v>
      </c>
      <c r="AE183" t="s">
        <v>69</v>
      </c>
    </row>
    <row r="184" spans="1:31" x14ac:dyDescent="0.25">
      <c r="A184">
        <v>119033444725</v>
      </c>
      <c r="B184">
        <v>462598545</v>
      </c>
      <c r="C184" s="1">
        <v>46030.73228009259</v>
      </c>
      <c r="D184" s="1">
        <v>46030.734664351854</v>
      </c>
      <c r="E184" t="s">
        <v>518</v>
      </c>
      <c r="F184" t="s">
        <v>23</v>
      </c>
      <c r="G184" t="e">
        <f>+_xlfn.XLOOKUP(tbl_encuesta[[#This Row],[Me siento a gusto con el ambiente de trabajo que se genera en mi equipo.]],#REF!,#REF!)</f>
        <v>#REF!</v>
      </c>
      <c r="H184" t="s">
        <v>23</v>
      </c>
      <c r="I184" t="e">
        <f>+_xlfn.XLOOKUP(tbl_encuesta[[#This Row],[Me siento motivado a dar lo mejor de mí y hacer un buen trabajo]],#REF!,#REF!)</f>
        <v>#REF!</v>
      </c>
      <c r="J184" t="s">
        <v>23</v>
      </c>
      <c r="K184" t="e">
        <f>+_xlfn.XLOOKUP(tbl_encuesta[[#This Row],[Mi supervisor o jefe directo me otorga el soporte que necesito para afrontar cualquier problema que afecte mi trabajo]],#REF!,#REF!)</f>
        <v>#REF!</v>
      </c>
      <c r="L184" t="s">
        <v>23</v>
      </c>
      <c r="M184" t="e">
        <f>+_xlfn.XLOOKUP(tbl_encuesta[[#This Row],[Mi supervisor o jefe directo fomenta que nos apoyemos entre todos en el equipo]],#REF!,#REF!)</f>
        <v>#REF!</v>
      </c>
      <c r="N184" t="s">
        <v>23</v>
      </c>
      <c r="O184" t="e">
        <f>+_xlfn.XLOOKUP(tbl_encuesta[[#This Row],[Siento que mi trabajo es reconocido por mi supervisor o jefe directo.]],#REF!,#REF!)</f>
        <v>#REF!</v>
      </c>
      <c r="P184" t="s">
        <v>31</v>
      </c>
      <c r="Q184" t="e">
        <f xml:space="preserve">
_xlfn.XLOOKUP(
tbl_encuesta[[#This Row],[Mi supervisor o jefe directo nos brinda charlas de 5 minutos y comunica las novedades relevantes a mi puesto de trabajo]],#REF!,#REF!
)</f>
        <v>#REF!</v>
      </c>
      <c r="S184" t="s">
        <v>18</v>
      </c>
      <c r="T184" t="s">
        <v>19</v>
      </c>
      <c r="W184" t="s">
        <v>25</v>
      </c>
      <c r="X184" t="s">
        <v>23</v>
      </c>
      <c r="Y184" t="e">
        <f>+_xlfn.XLOOKUP(tbl_encuesta[[#This Row],[Considero a Limtek como un buen lugar para trabajar]],#REF!,#REF!)</f>
        <v>#REF!</v>
      </c>
      <c r="Z184" t="s">
        <v>519</v>
      </c>
      <c r="AA184" t="s">
        <v>520</v>
      </c>
      <c r="AB184" t="s">
        <v>28</v>
      </c>
      <c r="AC184" s="3" t="s">
        <v>3714</v>
      </c>
      <c r="AD184" s="3" t="s">
        <v>3715</v>
      </c>
      <c r="AE184" t="s">
        <v>69</v>
      </c>
    </row>
    <row r="185" spans="1:31" x14ac:dyDescent="0.25">
      <c r="A185">
        <v>119033443036</v>
      </c>
      <c r="B185">
        <v>462598545</v>
      </c>
      <c r="C185" s="1">
        <v>46030.730185185188</v>
      </c>
      <c r="D185" s="1">
        <v>46030.732245370367</v>
      </c>
      <c r="E185" t="s">
        <v>521</v>
      </c>
      <c r="F185" t="s">
        <v>22</v>
      </c>
      <c r="G185" t="e">
        <f>+_xlfn.XLOOKUP(tbl_encuesta[[#This Row],[Me siento a gusto con el ambiente de trabajo que se genera en mi equipo.]],#REF!,#REF!)</f>
        <v>#REF!</v>
      </c>
      <c r="H185" t="s">
        <v>22</v>
      </c>
      <c r="I185" t="e">
        <f>+_xlfn.XLOOKUP(tbl_encuesta[[#This Row],[Me siento motivado a dar lo mejor de mí y hacer un buen trabajo]],#REF!,#REF!)</f>
        <v>#REF!</v>
      </c>
      <c r="J185" t="s">
        <v>22</v>
      </c>
      <c r="K185" t="e">
        <f>+_xlfn.XLOOKUP(tbl_encuesta[[#This Row],[Mi supervisor o jefe directo me otorga el soporte que necesito para afrontar cualquier problema que afecte mi trabajo]],#REF!,#REF!)</f>
        <v>#REF!</v>
      </c>
      <c r="L185" t="s">
        <v>22</v>
      </c>
      <c r="M185" t="e">
        <f>+_xlfn.XLOOKUP(tbl_encuesta[[#This Row],[Mi supervisor o jefe directo fomenta que nos apoyemos entre todos en el equipo]],#REF!,#REF!)</f>
        <v>#REF!</v>
      </c>
      <c r="N185" t="s">
        <v>22</v>
      </c>
      <c r="O185" t="e">
        <f>+_xlfn.XLOOKUP(tbl_encuesta[[#This Row],[Siento que mi trabajo es reconocido por mi supervisor o jefe directo.]],#REF!,#REF!)</f>
        <v>#REF!</v>
      </c>
      <c r="P185" t="s">
        <v>31</v>
      </c>
      <c r="Q185" t="e">
        <f xml:space="preserve">
_xlfn.XLOOKUP(
tbl_encuesta[[#This Row],[Mi supervisor o jefe directo nos brinda charlas de 5 minutos y comunica las novedades relevantes a mi puesto de trabajo]],#REF!,#REF!
)</f>
        <v>#REF!</v>
      </c>
      <c r="R185" t="s">
        <v>17</v>
      </c>
      <c r="W185" t="s">
        <v>46</v>
      </c>
      <c r="X185" t="s">
        <v>22</v>
      </c>
      <c r="Y185" t="e">
        <f>+_xlfn.XLOOKUP(tbl_encuesta[[#This Row],[Considero a Limtek como un buen lugar para trabajar]],#REF!,#REF!)</f>
        <v>#REF!</v>
      </c>
      <c r="Z185" t="s">
        <v>522</v>
      </c>
      <c r="AA185" t="s">
        <v>523</v>
      </c>
      <c r="AB185" t="s">
        <v>28</v>
      </c>
      <c r="AC185" s="3" t="s">
        <v>3714</v>
      </c>
      <c r="AD185" s="3" t="s">
        <v>3715</v>
      </c>
      <c r="AE185" t="s">
        <v>29</v>
      </c>
    </row>
    <row r="186" spans="1:31" x14ac:dyDescent="0.25">
      <c r="A186">
        <v>119033442429</v>
      </c>
      <c r="B186">
        <v>462598545</v>
      </c>
      <c r="C186" s="1">
        <v>46030.730162037034</v>
      </c>
      <c r="D186" s="1">
        <v>46030.731377314813</v>
      </c>
      <c r="E186" t="s">
        <v>524</v>
      </c>
      <c r="F186" t="s">
        <v>23</v>
      </c>
      <c r="G186" t="e">
        <f>+_xlfn.XLOOKUP(tbl_encuesta[[#This Row],[Me siento a gusto con el ambiente de trabajo que se genera en mi equipo.]],#REF!,#REF!)</f>
        <v>#REF!</v>
      </c>
      <c r="H186" t="s">
        <v>23</v>
      </c>
      <c r="I186" t="e">
        <f>+_xlfn.XLOOKUP(tbl_encuesta[[#This Row],[Me siento motivado a dar lo mejor de mí y hacer un buen trabajo]],#REF!,#REF!)</f>
        <v>#REF!</v>
      </c>
      <c r="J186" t="s">
        <v>23</v>
      </c>
      <c r="K186" t="e">
        <f>+_xlfn.XLOOKUP(tbl_encuesta[[#This Row],[Mi supervisor o jefe directo me otorga el soporte que necesito para afrontar cualquier problema que afecte mi trabajo]],#REF!,#REF!)</f>
        <v>#REF!</v>
      </c>
      <c r="L186" t="s">
        <v>23</v>
      </c>
      <c r="M186" t="e">
        <f>+_xlfn.XLOOKUP(tbl_encuesta[[#This Row],[Mi supervisor o jefe directo fomenta que nos apoyemos entre todos en el equipo]],#REF!,#REF!)</f>
        <v>#REF!</v>
      </c>
      <c r="N186" t="s">
        <v>23</v>
      </c>
      <c r="O186" t="e">
        <f>+_xlfn.XLOOKUP(tbl_encuesta[[#This Row],[Siento que mi trabajo es reconocido por mi supervisor o jefe directo.]],#REF!,#REF!)</f>
        <v>#REF!</v>
      </c>
      <c r="P186" t="s">
        <v>31</v>
      </c>
      <c r="Q186" t="e">
        <f xml:space="preserve">
_xlfn.XLOOKUP(
tbl_encuesta[[#This Row],[Mi supervisor o jefe directo nos brinda charlas de 5 minutos y comunica las novedades relevantes a mi puesto de trabajo]],#REF!,#REF!
)</f>
        <v>#REF!</v>
      </c>
      <c r="R186" t="s">
        <v>17</v>
      </c>
      <c r="S186" t="s">
        <v>18</v>
      </c>
      <c r="W186" t="s">
        <v>25</v>
      </c>
      <c r="X186" t="s">
        <v>23</v>
      </c>
      <c r="Y186" t="e">
        <f>+_xlfn.XLOOKUP(tbl_encuesta[[#This Row],[Considero a Limtek como un buen lugar para trabajar]],#REF!,#REF!)</f>
        <v>#REF!</v>
      </c>
      <c r="Z186" t="s">
        <v>87</v>
      </c>
      <c r="AA186" t="s">
        <v>525</v>
      </c>
      <c r="AB186" t="s">
        <v>28</v>
      </c>
      <c r="AC186" s="3" t="s">
        <v>3714</v>
      </c>
      <c r="AD186" s="3" t="s">
        <v>3714</v>
      </c>
      <c r="AE186" t="s">
        <v>69</v>
      </c>
    </row>
    <row r="187" spans="1:31" x14ac:dyDescent="0.25">
      <c r="A187">
        <v>119033438472</v>
      </c>
      <c r="B187">
        <v>462598545</v>
      </c>
      <c r="C187" s="1">
        <v>46030.721724537034</v>
      </c>
      <c r="D187" s="1">
        <v>46030.726064814815</v>
      </c>
      <c r="E187" t="s">
        <v>526</v>
      </c>
      <c r="F187" t="s">
        <v>23</v>
      </c>
      <c r="G187" t="e">
        <f>+_xlfn.XLOOKUP(tbl_encuesta[[#This Row],[Me siento a gusto con el ambiente de trabajo que se genera en mi equipo.]],#REF!,#REF!)</f>
        <v>#REF!</v>
      </c>
      <c r="H187" t="s">
        <v>23</v>
      </c>
      <c r="I187" t="e">
        <f>+_xlfn.XLOOKUP(tbl_encuesta[[#This Row],[Me siento motivado a dar lo mejor de mí y hacer un buen trabajo]],#REF!,#REF!)</f>
        <v>#REF!</v>
      </c>
      <c r="J187" t="s">
        <v>22</v>
      </c>
      <c r="K187" t="e">
        <f>+_xlfn.XLOOKUP(tbl_encuesta[[#This Row],[Mi supervisor o jefe directo me otorga el soporte que necesito para afrontar cualquier problema que afecte mi trabajo]],#REF!,#REF!)</f>
        <v>#REF!</v>
      </c>
      <c r="L187" t="s">
        <v>23</v>
      </c>
      <c r="M187" t="e">
        <f>+_xlfn.XLOOKUP(tbl_encuesta[[#This Row],[Mi supervisor o jefe directo fomenta que nos apoyemos entre todos en el equipo]],#REF!,#REF!)</f>
        <v>#REF!</v>
      </c>
      <c r="N187" t="s">
        <v>22</v>
      </c>
      <c r="O187" t="e">
        <f>+_xlfn.XLOOKUP(tbl_encuesta[[#This Row],[Siento que mi trabajo es reconocido por mi supervisor o jefe directo.]],#REF!,#REF!)</f>
        <v>#REF!</v>
      </c>
      <c r="P187" t="s">
        <v>31</v>
      </c>
      <c r="Q187" t="e">
        <f xml:space="preserve">
_xlfn.XLOOKUP(
tbl_encuesta[[#This Row],[Mi supervisor o jefe directo nos brinda charlas de 5 minutos y comunica las novedades relevantes a mi puesto de trabajo]],#REF!,#REF!
)</f>
        <v>#REF!</v>
      </c>
      <c r="R187" t="s">
        <v>17</v>
      </c>
      <c r="W187" t="s">
        <v>25</v>
      </c>
      <c r="X187" t="s">
        <v>23</v>
      </c>
      <c r="Y187" t="e">
        <f>+_xlfn.XLOOKUP(tbl_encuesta[[#This Row],[Considero a Limtek como un buen lugar para trabajar]],#REF!,#REF!)</f>
        <v>#REF!</v>
      </c>
      <c r="Z187" t="s">
        <v>388</v>
      </c>
      <c r="AA187" t="s">
        <v>527</v>
      </c>
      <c r="AB187" t="s">
        <v>28</v>
      </c>
      <c r="AC187" s="3" t="s">
        <v>3736</v>
      </c>
      <c r="AD187" s="3" t="s">
        <v>3738</v>
      </c>
      <c r="AE187" t="s">
        <v>34</v>
      </c>
    </row>
    <row r="188" spans="1:31" x14ac:dyDescent="0.25">
      <c r="A188">
        <v>119033436229</v>
      </c>
      <c r="B188">
        <v>462598545</v>
      </c>
      <c r="C188" s="1">
        <v>46030.72184027778</v>
      </c>
      <c r="D188" s="1">
        <v>46030.723101851851</v>
      </c>
      <c r="E188" t="s">
        <v>528</v>
      </c>
      <c r="F188" t="s">
        <v>23</v>
      </c>
      <c r="G188" t="e">
        <f>+_xlfn.XLOOKUP(tbl_encuesta[[#This Row],[Me siento a gusto con el ambiente de trabajo que se genera en mi equipo.]],#REF!,#REF!)</f>
        <v>#REF!</v>
      </c>
      <c r="H188" t="s">
        <v>23</v>
      </c>
      <c r="I188" t="e">
        <f>+_xlfn.XLOOKUP(tbl_encuesta[[#This Row],[Me siento motivado a dar lo mejor de mí y hacer un buen trabajo]],#REF!,#REF!)</f>
        <v>#REF!</v>
      </c>
      <c r="J188" t="s">
        <v>23</v>
      </c>
      <c r="K188" t="e">
        <f>+_xlfn.XLOOKUP(tbl_encuesta[[#This Row],[Mi supervisor o jefe directo me otorga el soporte que necesito para afrontar cualquier problema que afecte mi trabajo]],#REF!,#REF!)</f>
        <v>#REF!</v>
      </c>
      <c r="L188" t="s">
        <v>23</v>
      </c>
      <c r="M188" t="e">
        <f>+_xlfn.XLOOKUP(tbl_encuesta[[#This Row],[Mi supervisor o jefe directo fomenta que nos apoyemos entre todos en el equipo]],#REF!,#REF!)</f>
        <v>#REF!</v>
      </c>
      <c r="N188" t="s">
        <v>22</v>
      </c>
      <c r="O188" t="e">
        <f>+_xlfn.XLOOKUP(tbl_encuesta[[#This Row],[Siento que mi trabajo es reconocido por mi supervisor o jefe directo.]],#REF!,#REF!)</f>
        <v>#REF!</v>
      </c>
      <c r="P188" t="s">
        <v>67</v>
      </c>
      <c r="Q188" t="e">
        <f xml:space="preserve">
_xlfn.XLOOKUP(
tbl_encuesta[[#This Row],[Mi supervisor o jefe directo nos brinda charlas de 5 minutos y comunica las novedades relevantes a mi puesto de trabajo]],#REF!,#REF!
)</f>
        <v>#REF!</v>
      </c>
      <c r="R188" t="s">
        <v>17</v>
      </c>
      <c r="T188" t="s">
        <v>19</v>
      </c>
      <c r="W188" t="s">
        <v>25</v>
      </c>
      <c r="X188" t="s">
        <v>23</v>
      </c>
      <c r="Y188" t="e">
        <f>+_xlfn.XLOOKUP(tbl_encuesta[[#This Row],[Considero a Limtek como un buen lugar para trabajar]],#REF!,#REF!)</f>
        <v>#REF!</v>
      </c>
      <c r="Z188" t="s">
        <v>529</v>
      </c>
      <c r="AA188" t="s">
        <v>530</v>
      </c>
      <c r="AB188" t="s">
        <v>28</v>
      </c>
      <c r="AC188" s="3" t="s">
        <v>3736</v>
      </c>
      <c r="AD188" s="3" t="s">
        <v>3742</v>
      </c>
      <c r="AE188" t="s">
        <v>61</v>
      </c>
    </row>
    <row r="189" spans="1:31" x14ac:dyDescent="0.25">
      <c r="A189">
        <v>119033434991</v>
      </c>
      <c r="B189">
        <v>462598545</v>
      </c>
      <c r="C189" s="1">
        <v>46030.718206018515</v>
      </c>
      <c r="D189" s="1">
        <v>46030.72148148148</v>
      </c>
      <c r="E189" t="s">
        <v>531</v>
      </c>
      <c r="F189" t="s">
        <v>23</v>
      </c>
      <c r="G189" t="e">
        <f>+_xlfn.XLOOKUP(tbl_encuesta[[#This Row],[Me siento a gusto con el ambiente de trabajo que se genera en mi equipo.]],#REF!,#REF!)</f>
        <v>#REF!</v>
      </c>
      <c r="H189" t="s">
        <v>22</v>
      </c>
      <c r="I189" t="e">
        <f>+_xlfn.XLOOKUP(tbl_encuesta[[#This Row],[Me siento motivado a dar lo mejor de mí y hacer un buen trabajo]],#REF!,#REF!)</f>
        <v>#REF!</v>
      </c>
      <c r="J189" t="s">
        <v>22</v>
      </c>
      <c r="K189" t="e">
        <f>+_xlfn.XLOOKUP(tbl_encuesta[[#This Row],[Mi supervisor o jefe directo me otorga el soporte que necesito para afrontar cualquier problema que afecte mi trabajo]],#REF!,#REF!)</f>
        <v>#REF!</v>
      </c>
      <c r="L189" t="s">
        <v>23</v>
      </c>
      <c r="M189" t="e">
        <f>+_xlfn.XLOOKUP(tbl_encuesta[[#This Row],[Mi supervisor o jefe directo fomenta que nos apoyemos entre todos en el equipo]],#REF!,#REF!)</f>
        <v>#REF!</v>
      </c>
      <c r="N189" t="s">
        <v>22</v>
      </c>
      <c r="O189" t="e">
        <f>+_xlfn.XLOOKUP(tbl_encuesta[[#This Row],[Siento que mi trabajo es reconocido por mi supervisor o jefe directo.]],#REF!,#REF!)</f>
        <v>#REF!</v>
      </c>
      <c r="P189" t="s">
        <v>31</v>
      </c>
      <c r="Q189" t="e">
        <f xml:space="preserve">
_xlfn.XLOOKUP(
tbl_encuesta[[#This Row],[Mi supervisor o jefe directo nos brinda charlas de 5 minutos y comunica las novedades relevantes a mi puesto de trabajo]],#REF!,#REF!
)</f>
        <v>#REF!</v>
      </c>
      <c r="U189" t="s">
        <v>20</v>
      </c>
      <c r="W189" t="s">
        <v>25</v>
      </c>
      <c r="X189" t="s">
        <v>23</v>
      </c>
      <c r="Y189" t="e">
        <f>+_xlfn.XLOOKUP(tbl_encuesta[[#This Row],[Considero a Limtek como un buen lugar para trabajar]],#REF!,#REF!)</f>
        <v>#REF!</v>
      </c>
      <c r="Z189" t="s">
        <v>532</v>
      </c>
      <c r="AA189" t="s">
        <v>533</v>
      </c>
      <c r="AB189" t="s">
        <v>38</v>
      </c>
      <c r="AC189" t="s">
        <v>3744</v>
      </c>
      <c r="AD189" t="s">
        <v>3744</v>
      </c>
      <c r="AE189" t="s">
        <v>34</v>
      </c>
    </row>
    <row r="190" spans="1:31" x14ac:dyDescent="0.25">
      <c r="A190">
        <v>119033434387</v>
      </c>
      <c r="B190">
        <v>462598545</v>
      </c>
      <c r="C190" s="1">
        <v>46030.716921296298</v>
      </c>
      <c r="D190" s="1">
        <v>46030.720706018517</v>
      </c>
      <c r="E190" t="s">
        <v>534</v>
      </c>
      <c r="F190" t="s">
        <v>23</v>
      </c>
      <c r="G190" t="e">
        <f>+_xlfn.XLOOKUP(tbl_encuesta[[#This Row],[Me siento a gusto con el ambiente de trabajo que se genera en mi equipo.]],#REF!,#REF!)</f>
        <v>#REF!</v>
      </c>
      <c r="H190" t="s">
        <v>23</v>
      </c>
      <c r="I190" t="e">
        <f>+_xlfn.XLOOKUP(tbl_encuesta[[#This Row],[Me siento motivado a dar lo mejor de mí y hacer un buen trabajo]],#REF!,#REF!)</f>
        <v>#REF!</v>
      </c>
      <c r="J190" t="s">
        <v>23</v>
      </c>
      <c r="K190" t="e">
        <f>+_xlfn.XLOOKUP(tbl_encuesta[[#This Row],[Mi supervisor o jefe directo me otorga el soporte que necesito para afrontar cualquier problema que afecte mi trabajo]],#REF!,#REF!)</f>
        <v>#REF!</v>
      </c>
      <c r="L190" t="s">
        <v>23</v>
      </c>
      <c r="M190" t="e">
        <f>+_xlfn.XLOOKUP(tbl_encuesta[[#This Row],[Mi supervisor o jefe directo fomenta que nos apoyemos entre todos en el equipo]],#REF!,#REF!)</f>
        <v>#REF!</v>
      </c>
      <c r="N190" t="s">
        <v>23</v>
      </c>
      <c r="O190" t="e">
        <f>+_xlfn.XLOOKUP(tbl_encuesta[[#This Row],[Siento que mi trabajo es reconocido por mi supervisor o jefe directo.]],#REF!,#REF!)</f>
        <v>#REF!</v>
      </c>
      <c r="P190" t="s">
        <v>31</v>
      </c>
      <c r="Q190" t="e">
        <f xml:space="preserve">
_xlfn.XLOOKUP(
tbl_encuesta[[#This Row],[Mi supervisor o jefe directo nos brinda charlas de 5 minutos y comunica las novedades relevantes a mi puesto de trabajo]],#REF!,#REF!
)</f>
        <v>#REF!</v>
      </c>
      <c r="R190" t="s">
        <v>17</v>
      </c>
      <c r="S190" t="s">
        <v>18</v>
      </c>
      <c r="W190" t="s">
        <v>25</v>
      </c>
      <c r="X190" t="s">
        <v>23</v>
      </c>
      <c r="Y190" t="e">
        <f>+_xlfn.XLOOKUP(tbl_encuesta[[#This Row],[Considero a Limtek como un buen lugar para trabajar]],#REF!,#REF!)</f>
        <v>#REF!</v>
      </c>
      <c r="Z190" t="s">
        <v>535</v>
      </c>
      <c r="AA190" t="s">
        <v>242</v>
      </c>
      <c r="AB190" t="s">
        <v>28</v>
      </c>
      <c r="AC190" s="3" t="s">
        <v>3736</v>
      </c>
      <c r="AD190" s="3" t="s">
        <v>3742</v>
      </c>
      <c r="AE190" t="s">
        <v>55</v>
      </c>
    </row>
    <row r="191" spans="1:31" x14ac:dyDescent="0.25">
      <c r="A191">
        <v>119033434287</v>
      </c>
      <c r="B191">
        <v>462598545</v>
      </c>
      <c r="C191" s="1">
        <v>46030.718252314815</v>
      </c>
      <c r="D191" s="1">
        <v>46030.720578703702</v>
      </c>
      <c r="E191" t="s">
        <v>528</v>
      </c>
      <c r="F191" t="s">
        <v>23</v>
      </c>
      <c r="G191" t="e">
        <f>+_xlfn.XLOOKUP(tbl_encuesta[[#This Row],[Me siento a gusto con el ambiente de trabajo que se genera en mi equipo.]],#REF!,#REF!)</f>
        <v>#REF!</v>
      </c>
      <c r="H191" t="s">
        <v>23</v>
      </c>
      <c r="I191" t="e">
        <f>+_xlfn.XLOOKUP(tbl_encuesta[[#This Row],[Me siento motivado a dar lo mejor de mí y hacer un buen trabajo]],#REF!,#REF!)</f>
        <v>#REF!</v>
      </c>
      <c r="J191" t="s">
        <v>23</v>
      </c>
      <c r="K191" t="e">
        <f>+_xlfn.XLOOKUP(tbl_encuesta[[#This Row],[Mi supervisor o jefe directo me otorga el soporte que necesito para afrontar cualquier problema que afecte mi trabajo]],#REF!,#REF!)</f>
        <v>#REF!</v>
      </c>
      <c r="L191" t="s">
        <v>23</v>
      </c>
      <c r="M191" t="e">
        <f>+_xlfn.XLOOKUP(tbl_encuesta[[#This Row],[Mi supervisor o jefe directo fomenta que nos apoyemos entre todos en el equipo]],#REF!,#REF!)</f>
        <v>#REF!</v>
      </c>
      <c r="N191" t="s">
        <v>22</v>
      </c>
      <c r="O191" t="e">
        <f>+_xlfn.XLOOKUP(tbl_encuesta[[#This Row],[Siento que mi trabajo es reconocido por mi supervisor o jefe directo.]],#REF!,#REF!)</f>
        <v>#REF!</v>
      </c>
      <c r="P191" t="s">
        <v>67</v>
      </c>
      <c r="Q191" t="e">
        <f xml:space="preserve">
_xlfn.XLOOKUP(
tbl_encuesta[[#This Row],[Mi supervisor o jefe directo nos brinda charlas de 5 minutos y comunica las novedades relevantes a mi puesto de trabajo]],#REF!,#REF!
)</f>
        <v>#REF!</v>
      </c>
      <c r="R191" t="s">
        <v>17</v>
      </c>
      <c r="T191" t="s">
        <v>19</v>
      </c>
      <c r="W191" t="s">
        <v>25</v>
      </c>
      <c r="X191" t="s">
        <v>23</v>
      </c>
      <c r="Y191" t="e">
        <f>+_xlfn.XLOOKUP(tbl_encuesta[[#This Row],[Considero a Limtek como un buen lugar para trabajar]],#REF!,#REF!)</f>
        <v>#REF!</v>
      </c>
      <c r="Z191" t="s">
        <v>536</v>
      </c>
      <c r="AA191" t="s">
        <v>537</v>
      </c>
      <c r="AB191" t="s">
        <v>28</v>
      </c>
      <c r="AC191" s="3" t="s">
        <v>3736</v>
      </c>
      <c r="AD191" s="3" t="s">
        <v>3742</v>
      </c>
      <c r="AE191" t="s">
        <v>61</v>
      </c>
    </row>
    <row r="192" spans="1:31" x14ac:dyDescent="0.25">
      <c r="A192">
        <v>119033432779</v>
      </c>
      <c r="B192">
        <v>462598545</v>
      </c>
      <c r="C192" s="1">
        <v>46030.716851851852</v>
      </c>
      <c r="D192" s="1">
        <v>46030.718680555554</v>
      </c>
      <c r="E192" t="s">
        <v>538</v>
      </c>
      <c r="F192" t="s">
        <v>23</v>
      </c>
      <c r="G192" t="e">
        <f>+_xlfn.XLOOKUP(tbl_encuesta[[#This Row],[Me siento a gusto con el ambiente de trabajo que se genera en mi equipo.]],#REF!,#REF!)</f>
        <v>#REF!</v>
      </c>
      <c r="H192" t="s">
        <v>23</v>
      </c>
      <c r="I192" t="e">
        <f>+_xlfn.XLOOKUP(tbl_encuesta[[#This Row],[Me siento motivado a dar lo mejor de mí y hacer un buen trabajo]],#REF!,#REF!)</f>
        <v>#REF!</v>
      </c>
      <c r="J192" t="s">
        <v>22</v>
      </c>
      <c r="K192" t="e">
        <f>+_xlfn.XLOOKUP(tbl_encuesta[[#This Row],[Mi supervisor o jefe directo me otorga el soporte que necesito para afrontar cualquier problema que afecte mi trabajo]],#REF!,#REF!)</f>
        <v>#REF!</v>
      </c>
      <c r="L192" t="s">
        <v>23</v>
      </c>
      <c r="M192" t="e">
        <f>+_xlfn.XLOOKUP(tbl_encuesta[[#This Row],[Mi supervisor o jefe directo fomenta que nos apoyemos entre todos en el equipo]],#REF!,#REF!)</f>
        <v>#REF!</v>
      </c>
      <c r="N192" t="s">
        <v>22</v>
      </c>
      <c r="O192" t="e">
        <f>+_xlfn.XLOOKUP(tbl_encuesta[[#This Row],[Siento que mi trabajo es reconocido por mi supervisor o jefe directo.]],#REF!,#REF!)</f>
        <v>#REF!</v>
      </c>
      <c r="P192" t="s">
        <v>31</v>
      </c>
      <c r="Q192" t="e">
        <f xml:space="preserve">
_xlfn.XLOOKUP(
tbl_encuesta[[#This Row],[Mi supervisor o jefe directo nos brinda charlas de 5 minutos y comunica las novedades relevantes a mi puesto de trabajo]],#REF!,#REF!
)</f>
        <v>#REF!</v>
      </c>
      <c r="R192" t="s">
        <v>17</v>
      </c>
      <c r="W192" t="s">
        <v>25</v>
      </c>
      <c r="X192" t="s">
        <v>23</v>
      </c>
      <c r="Y192" t="e">
        <f>+_xlfn.XLOOKUP(tbl_encuesta[[#This Row],[Considero a Limtek como un buen lugar para trabajar]],#REF!,#REF!)</f>
        <v>#REF!</v>
      </c>
      <c r="Z192" t="s">
        <v>193</v>
      </c>
      <c r="AA192" t="s">
        <v>539</v>
      </c>
      <c r="AB192" t="s">
        <v>28</v>
      </c>
      <c r="AC192" s="3" t="s">
        <v>3736</v>
      </c>
      <c r="AD192" s="3" t="s">
        <v>3738</v>
      </c>
      <c r="AE192" t="s">
        <v>55</v>
      </c>
    </row>
    <row r="193" spans="1:31" x14ac:dyDescent="0.25">
      <c r="A193">
        <v>119033372222</v>
      </c>
      <c r="B193">
        <v>462598545</v>
      </c>
      <c r="C193" s="1">
        <v>46030.644976851851</v>
      </c>
      <c r="D193" s="1">
        <v>46030.645879629628</v>
      </c>
      <c r="E193" t="s">
        <v>524</v>
      </c>
      <c r="F193" t="s">
        <v>23</v>
      </c>
      <c r="G193" t="e">
        <f>+_xlfn.XLOOKUP(tbl_encuesta[[#This Row],[Me siento a gusto con el ambiente de trabajo que se genera en mi equipo.]],#REF!,#REF!)</f>
        <v>#REF!</v>
      </c>
      <c r="H193" t="s">
        <v>23</v>
      </c>
      <c r="I193" t="e">
        <f>+_xlfn.XLOOKUP(tbl_encuesta[[#This Row],[Me siento motivado a dar lo mejor de mí y hacer un buen trabajo]],#REF!,#REF!)</f>
        <v>#REF!</v>
      </c>
      <c r="J193" t="s">
        <v>23</v>
      </c>
      <c r="K193" t="e">
        <f>+_xlfn.XLOOKUP(tbl_encuesta[[#This Row],[Mi supervisor o jefe directo me otorga el soporte que necesito para afrontar cualquier problema que afecte mi trabajo]],#REF!,#REF!)</f>
        <v>#REF!</v>
      </c>
      <c r="L193" t="s">
        <v>23</v>
      </c>
      <c r="M193" t="e">
        <f>+_xlfn.XLOOKUP(tbl_encuesta[[#This Row],[Mi supervisor o jefe directo fomenta que nos apoyemos entre todos en el equipo]],#REF!,#REF!)</f>
        <v>#REF!</v>
      </c>
      <c r="N193" t="s">
        <v>23</v>
      </c>
      <c r="O193" t="e">
        <f>+_xlfn.XLOOKUP(tbl_encuesta[[#This Row],[Siento que mi trabajo es reconocido por mi supervisor o jefe directo.]],#REF!,#REF!)</f>
        <v>#REF!</v>
      </c>
      <c r="P193" t="s">
        <v>31</v>
      </c>
      <c r="Q193" t="e">
        <f xml:space="preserve">
_xlfn.XLOOKUP(
tbl_encuesta[[#This Row],[Mi supervisor o jefe directo nos brinda charlas de 5 minutos y comunica las novedades relevantes a mi puesto de trabajo]],#REF!,#REF!
)</f>
        <v>#REF!</v>
      </c>
      <c r="R193" t="s">
        <v>17</v>
      </c>
      <c r="S193" t="s">
        <v>18</v>
      </c>
      <c r="W193" t="s">
        <v>25</v>
      </c>
      <c r="X193" t="s">
        <v>23</v>
      </c>
      <c r="Y193" t="e">
        <f>+_xlfn.XLOOKUP(tbl_encuesta[[#This Row],[Considero a Limtek como un buen lugar para trabajar]],#REF!,#REF!)</f>
        <v>#REF!</v>
      </c>
      <c r="Z193" t="s">
        <v>87</v>
      </c>
      <c r="AA193" t="s">
        <v>525</v>
      </c>
      <c r="AB193" t="s">
        <v>28</v>
      </c>
      <c r="AC193" s="3" t="s">
        <v>3714</v>
      </c>
      <c r="AD193" s="3" t="s">
        <v>3714</v>
      </c>
      <c r="AE193" t="s">
        <v>69</v>
      </c>
    </row>
    <row r="194" spans="1:31" x14ac:dyDescent="0.25">
      <c r="A194">
        <v>119033357291</v>
      </c>
      <c r="B194">
        <v>462598545</v>
      </c>
      <c r="C194" s="1">
        <v>46030.624745370369</v>
      </c>
      <c r="D194" s="1">
        <v>46030.628379629627</v>
      </c>
      <c r="E194" t="s">
        <v>540</v>
      </c>
      <c r="F194" t="s">
        <v>22</v>
      </c>
      <c r="G194" t="e">
        <f>+_xlfn.XLOOKUP(tbl_encuesta[[#This Row],[Me siento a gusto con el ambiente de trabajo que se genera en mi equipo.]],#REF!,#REF!)</f>
        <v>#REF!</v>
      </c>
      <c r="H194" t="s">
        <v>22</v>
      </c>
      <c r="I194" t="e">
        <f>+_xlfn.XLOOKUP(tbl_encuesta[[#This Row],[Me siento motivado a dar lo mejor de mí y hacer un buen trabajo]],#REF!,#REF!)</f>
        <v>#REF!</v>
      </c>
      <c r="J194" t="s">
        <v>22</v>
      </c>
      <c r="K194" t="e">
        <f>+_xlfn.XLOOKUP(tbl_encuesta[[#This Row],[Mi supervisor o jefe directo me otorga el soporte que necesito para afrontar cualquier problema que afecte mi trabajo]],#REF!,#REF!)</f>
        <v>#REF!</v>
      </c>
      <c r="L194" t="s">
        <v>22</v>
      </c>
      <c r="M194" t="e">
        <f>+_xlfn.XLOOKUP(tbl_encuesta[[#This Row],[Mi supervisor o jefe directo fomenta que nos apoyemos entre todos en el equipo]],#REF!,#REF!)</f>
        <v>#REF!</v>
      </c>
      <c r="N194" t="s">
        <v>22</v>
      </c>
      <c r="O194" t="e">
        <f>+_xlfn.XLOOKUP(tbl_encuesta[[#This Row],[Siento que mi trabajo es reconocido por mi supervisor o jefe directo.]],#REF!,#REF!)</f>
        <v>#REF!</v>
      </c>
      <c r="P194" t="s">
        <v>24</v>
      </c>
      <c r="Q194" t="e">
        <f xml:space="preserve">
_xlfn.XLOOKUP(
tbl_encuesta[[#This Row],[Mi supervisor o jefe directo nos brinda charlas de 5 minutos y comunica las novedades relevantes a mi puesto de trabajo]],#REF!,#REF!
)</f>
        <v>#REF!</v>
      </c>
      <c r="S194" t="s">
        <v>18</v>
      </c>
      <c r="T194" t="s">
        <v>19</v>
      </c>
      <c r="W194" t="s">
        <v>25</v>
      </c>
      <c r="X194" t="s">
        <v>23</v>
      </c>
      <c r="Y194" t="e">
        <f>+_xlfn.XLOOKUP(tbl_encuesta[[#This Row],[Considero a Limtek como un buen lugar para trabajar]],#REF!,#REF!)</f>
        <v>#REF!</v>
      </c>
      <c r="Z194" t="s">
        <v>541</v>
      </c>
      <c r="AA194" t="s">
        <v>542</v>
      </c>
      <c r="AB194" t="s">
        <v>28</v>
      </c>
      <c r="AC194" s="3" t="s">
        <v>3714</v>
      </c>
      <c r="AD194" s="3" t="s">
        <v>3715</v>
      </c>
      <c r="AE194" t="s">
        <v>61</v>
      </c>
    </row>
    <row r="195" spans="1:31" x14ac:dyDescent="0.25">
      <c r="A195">
        <v>119033340104</v>
      </c>
      <c r="B195">
        <v>462598545</v>
      </c>
      <c r="C195" s="1">
        <v>46030.603946759256</v>
      </c>
      <c r="D195" s="1">
        <v>46030.609976851854</v>
      </c>
      <c r="E195" t="s">
        <v>543</v>
      </c>
      <c r="F195" t="s">
        <v>23</v>
      </c>
      <c r="G195" t="e">
        <f>+_xlfn.XLOOKUP(tbl_encuesta[[#This Row],[Me siento a gusto con el ambiente de trabajo que se genera en mi equipo.]],#REF!,#REF!)</f>
        <v>#REF!</v>
      </c>
      <c r="H195" t="s">
        <v>23</v>
      </c>
      <c r="I195" t="e">
        <f>+_xlfn.XLOOKUP(tbl_encuesta[[#This Row],[Me siento motivado a dar lo mejor de mí y hacer un buen trabajo]],#REF!,#REF!)</f>
        <v>#REF!</v>
      </c>
      <c r="J195" t="s">
        <v>23</v>
      </c>
      <c r="K195" t="e">
        <f>+_xlfn.XLOOKUP(tbl_encuesta[[#This Row],[Mi supervisor o jefe directo me otorga el soporte que necesito para afrontar cualquier problema que afecte mi trabajo]],#REF!,#REF!)</f>
        <v>#REF!</v>
      </c>
      <c r="L195" t="s">
        <v>23</v>
      </c>
      <c r="M195" t="e">
        <f>+_xlfn.XLOOKUP(tbl_encuesta[[#This Row],[Mi supervisor o jefe directo fomenta que nos apoyemos entre todos en el equipo]],#REF!,#REF!)</f>
        <v>#REF!</v>
      </c>
      <c r="N195" t="s">
        <v>23</v>
      </c>
      <c r="O195" t="e">
        <f>+_xlfn.XLOOKUP(tbl_encuesta[[#This Row],[Siento que mi trabajo es reconocido por mi supervisor o jefe directo.]],#REF!,#REF!)</f>
        <v>#REF!</v>
      </c>
      <c r="P195" t="s">
        <v>31</v>
      </c>
      <c r="Q195" t="e">
        <f xml:space="preserve">
_xlfn.XLOOKUP(
tbl_encuesta[[#This Row],[Mi supervisor o jefe directo nos brinda charlas de 5 minutos y comunica las novedades relevantes a mi puesto de trabajo]],#REF!,#REF!
)</f>
        <v>#REF!</v>
      </c>
      <c r="R195" t="s">
        <v>17</v>
      </c>
      <c r="T195" t="s">
        <v>19</v>
      </c>
      <c r="W195" t="s">
        <v>25</v>
      </c>
      <c r="X195" t="s">
        <v>23</v>
      </c>
      <c r="Y195" t="e">
        <f>+_xlfn.XLOOKUP(tbl_encuesta[[#This Row],[Considero a Limtek como un buen lugar para trabajar]],#REF!,#REF!)</f>
        <v>#REF!</v>
      </c>
      <c r="Z195" t="s">
        <v>132</v>
      </c>
      <c r="AA195" t="s">
        <v>544</v>
      </c>
      <c r="AB195" t="s">
        <v>28</v>
      </c>
      <c r="AC195" s="3" t="s">
        <v>3716</v>
      </c>
      <c r="AD195" s="3" t="s">
        <v>3717</v>
      </c>
      <c r="AE195" t="s">
        <v>29</v>
      </c>
    </row>
    <row r="196" spans="1:31" x14ac:dyDescent="0.25">
      <c r="A196">
        <v>119033339748</v>
      </c>
      <c r="B196">
        <v>462598545</v>
      </c>
      <c r="C196" s="1">
        <v>46030.604108796295</v>
      </c>
      <c r="D196" s="1">
        <v>46030.609606481485</v>
      </c>
      <c r="E196" t="s">
        <v>545</v>
      </c>
      <c r="F196" t="s">
        <v>23</v>
      </c>
      <c r="G196" t="e">
        <f>+_xlfn.XLOOKUP(tbl_encuesta[[#This Row],[Me siento a gusto con el ambiente de trabajo que se genera en mi equipo.]],#REF!,#REF!)</f>
        <v>#REF!</v>
      </c>
      <c r="H196" t="s">
        <v>23</v>
      </c>
      <c r="I196" t="e">
        <f>+_xlfn.XLOOKUP(tbl_encuesta[[#This Row],[Me siento motivado a dar lo mejor de mí y hacer un buen trabajo]],#REF!,#REF!)</f>
        <v>#REF!</v>
      </c>
      <c r="J196" t="s">
        <v>23</v>
      </c>
      <c r="K196" t="e">
        <f>+_xlfn.XLOOKUP(tbl_encuesta[[#This Row],[Mi supervisor o jefe directo me otorga el soporte que necesito para afrontar cualquier problema que afecte mi trabajo]],#REF!,#REF!)</f>
        <v>#REF!</v>
      </c>
      <c r="L196" t="s">
        <v>23</v>
      </c>
      <c r="M196" t="e">
        <f>+_xlfn.XLOOKUP(tbl_encuesta[[#This Row],[Mi supervisor o jefe directo fomenta que nos apoyemos entre todos en el equipo]],#REF!,#REF!)</f>
        <v>#REF!</v>
      </c>
      <c r="N196" t="s">
        <v>23</v>
      </c>
      <c r="O196" t="e">
        <f>+_xlfn.XLOOKUP(tbl_encuesta[[#This Row],[Siento que mi trabajo es reconocido por mi supervisor o jefe directo.]],#REF!,#REF!)</f>
        <v>#REF!</v>
      </c>
      <c r="P196" t="s">
        <v>31</v>
      </c>
      <c r="Q196" t="e">
        <f xml:space="preserve">
_xlfn.XLOOKUP(
tbl_encuesta[[#This Row],[Mi supervisor o jefe directo nos brinda charlas de 5 minutos y comunica las novedades relevantes a mi puesto de trabajo]],#REF!,#REF!
)</f>
        <v>#REF!</v>
      </c>
      <c r="R196" t="s">
        <v>17</v>
      </c>
      <c r="T196" t="s">
        <v>19</v>
      </c>
      <c r="W196" t="s">
        <v>25</v>
      </c>
      <c r="X196" t="s">
        <v>23</v>
      </c>
      <c r="Y196" t="e">
        <f>+_xlfn.XLOOKUP(tbl_encuesta[[#This Row],[Considero a Limtek como un buen lugar para trabajar]],#REF!,#REF!)</f>
        <v>#REF!</v>
      </c>
      <c r="Z196" t="s">
        <v>546</v>
      </c>
      <c r="AA196" t="s">
        <v>547</v>
      </c>
      <c r="AB196" t="s">
        <v>28</v>
      </c>
      <c r="AC196" s="3" t="s">
        <v>3716</v>
      </c>
      <c r="AD196" s="3" t="s">
        <v>3717</v>
      </c>
      <c r="AE196" t="s">
        <v>29</v>
      </c>
    </row>
    <row r="197" spans="1:31" x14ac:dyDescent="0.25">
      <c r="A197">
        <v>119033173358</v>
      </c>
      <c r="B197">
        <v>462598545</v>
      </c>
      <c r="C197" s="1">
        <v>46030.428981481484</v>
      </c>
      <c r="D197" s="1">
        <v>46030.455023148148</v>
      </c>
      <c r="E197" t="s">
        <v>548</v>
      </c>
      <c r="F197" t="s">
        <v>23</v>
      </c>
      <c r="G197" t="e">
        <f>+_xlfn.XLOOKUP(tbl_encuesta[[#This Row],[Me siento a gusto con el ambiente de trabajo que se genera en mi equipo.]],#REF!,#REF!)</f>
        <v>#REF!</v>
      </c>
      <c r="H197" t="s">
        <v>23</v>
      </c>
      <c r="I197" t="e">
        <f>+_xlfn.XLOOKUP(tbl_encuesta[[#This Row],[Me siento motivado a dar lo mejor de mí y hacer un buen trabajo]],#REF!,#REF!)</f>
        <v>#REF!</v>
      </c>
      <c r="J197" t="s">
        <v>23</v>
      </c>
      <c r="K197" t="e">
        <f>+_xlfn.XLOOKUP(tbl_encuesta[[#This Row],[Mi supervisor o jefe directo me otorga el soporte que necesito para afrontar cualquier problema que afecte mi trabajo]],#REF!,#REF!)</f>
        <v>#REF!</v>
      </c>
      <c r="L197" t="s">
        <v>23</v>
      </c>
      <c r="M197" t="e">
        <f>+_xlfn.XLOOKUP(tbl_encuesta[[#This Row],[Mi supervisor o jefe directo fomenta que nos apoyemos entre todos en el equipo]],#REF!,#REF!)</f>
        <v>#REF!</v>
      </c>
      <c r="N197" t="s">
        <v>23</v>
      </c>
      <c r="O197" t="e">
        <f>+_xlfn.XLOOKUP(tbl_encuesta[[#This Row],[Siento que mi trabajo es reconocido por mi supervisor o jefe directo.]],#REF!,#REF!)</f>
        <v>#REF!</v>
      </c>
      <c r="P197" t="s">
        <v>31</v>
      </c>
      <c r="Q197" t="e">
        <f xml:space="preserve">
_xlfn.XLOOKUP(
tbl_encuesta[[#This Row],[Mi supervisor o jefe directo nos brinda charlas de 5 minutos y comunica las novedades relevantes a mi puesto de trabajo]],#REF!,#REF!
)</f>
        <v>#REF!</v>
      </c>
      <c r="R197" t="s">
        <v>17</v>
      </c>
      <c r="T197" t="s">
        <v>19</v>
      </c>
      <c r="W197" t="s">
        <v>25</v>
      </c>
      <c r="X197" t="s">
        <v>23</v>
      </c>
      <c r="Y197" t="e">
        <f>+_xlfn.XLOOKUP(tbl_encuesta[[#This Row],[Considero a Limtek como un buen lugar para trabajar]],#REF!,#REF!)</f>
        <v>#REF!</v>
      </c>
      <c r="Z197" t="s">
        <v>549</v>
      </c>
      <c r="AA197" t="s">
        <v>326</v>
      </c>
      <c r="AB197" t="s">
        <v>38</v>
      </c>
      <c r="AC197" s="3" t="s">
        <v>3610</v>
      </c>
      <c r="AD197" s="3" t="s">
        <v>3625</v>
      </c>
      <c r="AE197" t="s">
        <v>55</v>
      </c>
    </row>
    <row r="198" spans="1:31" x14ac:dyDescent="0.25">
      <c r="A198">
        <v>119033158127</v>
      </c>
      <c r="B198">
        <v>462598545</v>
      </c>
      <c r="C198" s="1">
        <v>46030.436006944445</v>
      </c>
      <c r="D198" s="1">
        <v>46030.441504629627</v>
      </c>
      <c r="E198" t="s">
        <v>550</v>
      </c>
      <c r="F198" t="s">
        <v>23</v>
      </c>
      <c r="G198" t="e">
        <f>+_xlfn.XLOOKUP(tbl_encuesta[[#This Row],[Me siento a gusto con el ambiente de trabajo que se genera en mi equipo.]],#REF!,#REF!)</f>
        <v>#REF!</v>
      </c>
      <c r="H198" t="s">
        <v>23</v>
      </c>
      <c r="I198" t="e">
        <f>+_xlfn.XLOOKUP(tbl_encuesta[[#This Row],[Me siento motivado a dar lo mejor de mí y hacer un buen trabajo]],#REF!,#REF!)</f>
        <v>#REF!</v>
      </c>
      <c r="J198" t="s">
        <v>23</v>
      </c>
      <c r="K198" t="e">
        <f>+_xlfn.XLOOKUP(tbl_encuesta[[#This Row],[Mi supervisor o jefe directo me otorga el soporte que necesito para afrontar cualquier problema que afecte mi trabajo]],#REF!,#REF!)</f>
        <v>#REF!</v>
      </c>
      <c r="L198" t="s">
        <v>23</v>
      </c>
      <c r="M198" t="e">
        <f>+_xlfn.XLOOKUP(tbl_encuesta[[#This Row],[Mi supervisor o jefe directo fomenta que nos apoyemos entre todos en el equipo]],#REF!,#REF!)</f>
        <v>#REF!</v>
      </c>
      <c r="N198" t="s">
        <v>23</v>
      </c>
      <c r="O198" t="e">
        <f>+_xlfn.XLOOKUP(tbl_encuesta[[#This Row],[Siento que mi trabajo es reconocido por mi supervisor o jefe directo.]],#REF!,#REF!)</f>
        <v>#REF!</v>
      </c>
      <c r="P198" t="s">
        <v>24</v>
      </c>
      <c r="Q198" t="e">
        <f xml:space="preserve">
_xlfn.XLOOKUP(
tbl_encuesta[[#This Row],[Mi supervisor o jefe directo nos brinda charlas de 5 minutos y comunica las novedades relevantes a mi puesto de trabajo]],#REF!,#REF!
)</f>
        <v>#REF!</v>
      </c>
      <c r="T198" t="s">
        <v>19</v>
      </c>
      <c r="W198" t="s">
        <v>25</v>
      </c>
      <c r="X198" t="s">
        <v>23</v>
      </c>
      <c r="Y198" t="e">
        <f>+_xlfn.XLOOKUP(tbl_encuesta[[#This Row],[Considero a Limtek como un buen lugar para trabajar]],#REF!,#REF!)</f>
        <v>#REF!</v>
      </c>
      <c r="Z198" t="s">
        <v>551</v>
      </c>
      <c r="AA198" t="s">
        <v>552</v>
      </c>
      <c r="AB198" t="s">
        <v>553</v>
      </c>
      <c r="AC198" t="s">
        <v>3744</v>
      </c>
      <c r="AD198" t="s">
        <v>3744</v>
      </c>
      <c r="AE198" t="s">
        <v>34</v>
      </c>
    </row>
    <row r="199" spans="1:31" x14ac:dyDescent="0.25">
      <c r="A199">
        <v>119033096402</v>
      </c>
      <c r="B199">
        <v>462598545</v>
      </c>
      <c r="C199" s="1">
        <v>46030.379560185182</v>
      </c>
      <c r="D199" s="1">
        <v>46030.382800925923</v>
      </c>
      <c r="E199" t="s">
        <v>554</v>
      </c>
      <c r="F199" t="s">
        <v>23</v>
      </c>
      <c r="G199" t="e">
        <f>+_xlfn.XLOOKUP(tbl_encuesta[[#This Row],[Me siento a gusto con el ambiente de trabajo que se genera en mi equipo.]],#REF!,#REF!)</f>
        <v>#REF!</v>
      </c>
      <c r="H199" t="s">
        <v>23</v>
      </c>
      <c r="I199" t="e">
        <f>+_xlfn.XLOOKUP(tbl_encuesta[[#This Row],[Me siento motivado a dar lo mejor de mí y hacer un buen trabajo]],#REF!,#REF!)</f>
        <v>#REF!</v>
      </c>
      <c r="J199" t="s">
        <v>23</v>
      </c>
      <c r="K199" t="e">
        <f>+_xlfn.XLOOKUP(tbl_encuesta[[#This Row],[Mi supervisor o jefe directo me otorga el soporte que necesito para afrontar cualquier problema que afecte mi trabajo]],#REF!,#REF!)</f>
        <v>#REF!</v>
      </c>
      <c r="L199" t="s">
        <v>23</v>
      </c>
      <c r="M199" t="e">
        <f>+_xlfn.XLOOKUP(tbl_encuesta[[#This Row],[Mi supervisor o jefe directo fomenta que nos apoyemos entre todos en el equipo]],#REF!,#REF!)</f>
        <v>#REF!</v>
      </c>
      <c r="N199" t="s">
        <v>23</v>
      </c>
      <c r="O199" t="e">
        <f>+_xlfn.XLOOKUP(tbl_encuesta[[#This Row],[Siento que mi trabajo es reconocido por mi supervisor o jefe directo.]],#REF!,#REF!)</f>
        <v>#REF!</v>
      </c>
      <c r="P199" t="s">
        <v>31</v>
      </c>
      <c r="Q199" t="e">
        <f xml:space="preserve">
_xlfn.XLOOKUP(
tbl_encuesta[[#This Row],[Mi supervisor o jefe directo nos brinda charlas de 5 minutos y comunica las novedades relevantes a mi puesto de trabajo]],#REF!,#REF!
)</f>
        <v>#REF!</v>
      </c>
      <c r="R199" t="s">
        <v>17</v>
      </c>
      <c r="U199" t="s">
        <v>20</v>
      </c>
      <c r="W199" t="s">
        <v>25</v>
      </c>
      <c r="X199" t="s">
        <v>23</v>
      </c>
      <c r="Y199" t="e">
        <f>+_xlfn.XLOOKUP(tbl_encuesta[[#This Row],[Considero a Limtek como un buen lugar para trabajar]],#REF!,#REF!)</f>
        <v>#REF!</v>
      </c>
      <c r="Z199" t="s">
        <v>555</v>
      </c>
      <c r="AA199" t="s">
        <v>556</v>
      </c>
      <c r="AB199" t="s">
        <v>553</v>
      </c>
      <c r="AC199" s="3" t="s">
        <v>3769</v>
      </c>
      <c r="AD199" s="3" t="s">
        <v>553</v>
      </c>
      <c r="AE199" t="s">
        <v>61</v>
      </c>
    </row>
    <row r="200" spans="1:31" x14ac:dyDescent="0.25">
      <c r="A200">
        <v>119033060951</v>
      </c>
      <c r="B200">
        <v>462598545</v>
      </c>
      <c r="C200" s="1">
        <v>46030.344594907408</v>
      </c>
      <c r="D200" s="1">
        <v>46030.34715277778</v>
      </c>
      <c r="E200" t="s">
        <v>557</v>
      </c>
      <c r="F200" t="s">
        <v>43</v>
      </c>
      <c r="G200" t="e">
        <f>+_xlfn.XLOOKUP(tbl_encuesta[[#This Row],[Me siento a gusto con el ambiente de trabajo que se genera en mi equipo.]],#REF!,#REF!)</f>
        <v>#REF!</v>
      </c>
      <c r="H200" t="s">
        <v>43</v>
      </c>
      <c r="I200" t="e">
        <f>+_xlfn.XLOOKUP(tbl_encuesta[[#This Row],[Me siento motivado a dar lo mejor de mí y hacer un buen trabajo]],#REF!,#REF!)</f>
        <v>#REF!</v>
      </c>
      <c r="J200" t="s">
        <v>43</v>
      </c>
      <c r="K200" t="e">
        <f>+_xlfn.XLOOKUP(tbl_encuesta[[#This Row],[Mi supervisor o jefe directo me otorga el soporte que necesito para afrontar cualquier problema que afecte mi trabajo]],#REF!,#REF!)</f>
        <v>#REF!</v>
      </c>
      <c r="L200" t="s">
        <v>43</v>
      </c>
      <c r="M200" t="e">
        <f>+_xlfn.XLOOKUP(tbl_encuesta[[#This Row],[Mi supervisor o jefe directo fomenta que nos apoyemos entre todos en el equipo]],#REF!,#REF!)</f>
        <v>#REF!</v>
      </c>
      <c r="N200" t="s">
        <v>43</v>
      </c>
      <c r="O200" t="e">
        <f>+_xlfn.XLOOKUP(tbl_encuesta[[#This Row],[Siento que mi trabajo es reconocido por mi supervisor o jefe directo.]],#REF!,#REF!)</f>
        <v>#REF!</v>
      </c>
      <c r="P200" t="s">
        <v>31</v>
      </c>
      <c r="Q200" t="e">
        <f xml:space="preserve">
_xlfn.XLOOKUP(
tbl_encuesta[[#This Row],[Mi supervisor o jefe directo nos brinda charlas de 5 minutos y comunica las novedades relevantes a mi puesto de trabajo]],#REF!,#REF!
)</f>
        <v>#REF!</v>
      </c>
      <c r="S200" t="s">
        <v>18</v>
      </c>
      <c r="T200" t="s">
        <v>19</v>
      </c>
      <c r="W200" t="s">
        <v>25</v>
      </c>
      <c r="X200" t="s">
        <v>22</v>
      </c>
      <c r="Y200" t="e">
        <f>+_xlfn.XLOOKUP(tbl_encuesta[[#This Row],[Considero a Limtek como un buen lugar para trabajar]],#REF!,#REF!)</f>
        <v>#REF!</v>
      </c>
      <c r="Z200" t="s">
        <v>576</v>
      </c>
      <c r="AA200" t="s">
        <v>558</v>
      </c>
      <c r="AB200" t="s">
        <v>559</v>
      </c>
      <c r="AC200" s="3" t="s">
        <v>3794</v>
      </c>
      <c r="AD200" s="3" t="s">
        <v>3794</v>
      </c>
      <c r="AE200" t="s">
        <v>69</v>
      </c>
    </row>
    <row r="201" spans="1:31" x14ac:dyDescent="0.25">
      <c r="A201">
        <v>119032837118</v>
      </c>
      <c r="B201">
        <v>462598545</v>
      </c>
      <c r="C201" s="1">
        <v>46029.966747685183</v>
      </c>
      <c r="D201" s="1">
        <v>46029.969178240739</v>
      </c>
      <c r="E201" t="s">
        <v>560</v>
      </c>
      <c r="F201" t="s">
        <v>22</v>
      </c>
      <c r="G201" t="e">
        <f>+_xlfn.XLOOKUP(tbl_encuesta[[#This Row],[Me siento a gusto con el ambiente de trabajo que se genera en mi equipo.]],#REF!,#REF!)</f>
        <v>#REF!</v>
      </c>
      <c r="H201" t="s">
        <v>23</v>
      </c>
      <c r="I201" t="e">
        <f>+_xlfn.XLOOKUP(tbl_encuesta[[#This Row],[Me siento motivado a dar lo mejor de mí y hacer un buen trabajo]],#REF!,#REF!)</f>
        <v>#REF!</v>
      </c>
      <c r="J201" t="s">
        <v>23</v>
      </c>
      <c r="K201" t="e">
        <f>+_xlfn.XLOOKUP(tbl_encuesta[[#This Row],[Mi supervisor o jefe directo me otorga el soporte que necesito para afrontar cualquier problema que afecte mi trabajo]],#REF!,#REF!)</f>
        <v>#REF!</v>
      </c>
      <c r="L201" t="s">
        <v>23</v>
      </c>
      <c r="M201" t="e">
        <f>+_xlfn.XLOOKUP(tbl_encuesta[[#This Row],[Mi supervisor o jefe directo fomenta que nos apoyemos entre todos en el equipo]],#REF!,#REF!)</f>
        <v>#REF!</v>
      </c>
      <c r="N201" t="s">
        <v>23</v>
      </c>
      <c r="O201" t="e">
        <f>+_xlfn.XLOOKUP(tbl_encuesta[[#This Row],[Siento que mi trabajo es reconocido por mi supervisor o jefe directo.]],#REF!,#REF!)</f>
        <v>#REF!</v>
      </c>
      <c r="P201" t="s">
        <v>31</v>
      </c>
      <c r="Q201" t="e">
        <f xml:space="preserve">
_xlfn.XLOOKUP(
tbl_encuesta[[#This Row],[Mi supervisor o jefe directo nos brinda charlas de 5 minutos y comunica las novedades relevantes a mi puesto de trabajo]],#REF!,#REF!
)</f>
        <v>#REF!</v>
      </c>
      <c r="R201" t="s">
        <v>17</v>
      </c>
      <c r="S201" t="s">
        <v>18</v>
      </c>
      <c r="W201" t="s">
        <v>25</v>
      </c>
      <c r="X201" t="s">
        <v>23</v>
      </c>
      <c r="Y201" t="e">
        <f>+_xlfn.XLOOKUP(tbl_encuesta[[#This Row],[Considero a Limtek como un buen lugar para trabajar]],#REF!,#REF!)</f>
        <v>#REF!</v>
      </c>
      <c r="Z201" t="s">
        <v>561</v>
      </c>
      <c r="AA201" t="s">
        <v>562</v>
      </c>
      <c r="AB201" t="s">
        <v>563</v>
      </c>
      <c r="AC201" s="3" t="s">
        <v>3716</v>
      </c>
      <c r="AD201" s="3" t="s">
        <v>1595</v>
      </c>
      <c r="AE201" t="s">
        <v>69</v>
      </c>
    </row>
    <row r="202" spans="1:31" x14ac:dyDescent="0.25">
      <c r="A202">
        <v>119032783537</v>
      </c>
      <c r="B202">
        <v>462598545</v>
      </c>
      <c r="C202" s="1">
        <v>46029.855266203704</v>
      </c>
      <c r="D202" s="1">
        <v>46029.867928240739</v>
      </c>
      <c r="E202" t="s">
        <v>564</v>
      </c>
      <c r="F202" t="s">
        <v>23</v>
      </c>
      <c r="G202" t="e">
        <f>+_xlfn.XLOOKUP(tbl_encuesta[[#This Row],[Me siento a gusto con el ambiente de trabajo que se genera en mi equipo.]],#REF!,#REF!)</f>
        <v>#REF!</v>
      </c>
      <c r="H202" t="s">
        <v>23</v>
      </c>
      <c r="I202" t="e">
        <f>+_xlfn.XLOOKUP(tbl_encuesta[[#This Row],[Me siento motivado a dar lo mejor de mí y hacer un buen trabajo]],#REF!,#REF!)</f>
        <v>#REF!</v>
      </c>
      <c r="J202" t="s">
        <v>23</v>
      </c>
      <c r="K202" t="e">
        <f>+_xlfn.XLOOKUP(tbl_encuesta[[#This Row],[Mi supervisor o jefe directo me otorga el soporte que necesito para afrontar cualquier problema que afecte mi trabajo]],#REF!,#REF!)</f>
        <v>#REF!</v>
      </c>
      <c r="L202" t="s">
        <v>23</v>
      </c>
      <c r="M202" t="e">
        <f>+_xlfn.XLOOKUP(tbl_encuesta[[#This Row],[Mi supervisor o jefe directo fomenta que nos apoyemos entre todos en el equipo]],#REF!,#REF!)</f>
        <v>#REF!</v>
      </c>
      <c r="N202" t="s">
        <v>23</v>
      </c>
      <c r="O202" t="e">
        <f>+_xlfn.XLOOKUP(tbl_encuesta[[#This Row],[Siento que mi trabajo es reconocido por mi supervisor o jefe directo.]],#REF!,#REF!)</f>
        <v>#REF!</v>
      </c>
      <c r="P202" t="s">
        <v>31</v>
      </c>
      <c r="Q202" t="e">
        <f xml:space="preserve">
_xlfn.XLOOKUP(
tbl_encuesta[[#This Row],[Mi supervisor o jefe directo nos brinda charlas de 5 minutos y comunica las novedades relevantes a mi puesto de trabajo]],#REF!,#REF!
)</f>
        <v>#REF!</v>
      </c>
      <c r="R202" t="s">
        <v>17</v>
      </c>
      <c r="W202" t="s">
        <v>25</v>
      </c>
      <c r="X202" t="s">
        <v>23</v>
      </c>
      <c r="Y202" t="e">
        <f>+_xlfn.XLOOKUP(tbl_encuesta[[#This Row],[Considero a Limtek como un buen lugar para trabajar]],#REF!,#REF!)</f>
        <v>#REF!</v>
      </c>
      <c r="Z202" t="s">
        <v>565</v>
      </c>
      <c r="AA202" t="s">
        <v>566</v>
      </c>
      <c r="AB202" t="s">
        <v>567</v>
      </c>
      <c r="AC202" s="3" t="s">
        <v>3705</v>
      </c>
      <c r="AD202" s="3" t="s">
        <v>3705</v>
      </c>
      <c r="AE202" t="s">
        <v>69</v>
      </c>
    </row>
    <row r="203" spans="1:31" x14ac:dyDescent="0.25">
      <c r="A203">
        <v>119032766258</v>
      </c>
      <c r="B203">
        <v>462598545</v>
      </c>
      <c r="C203" s="1">
        <v>46029.826249999998</v>
      </c>
      <c r="D203" s="1">
        <v>46029.835659722223</v>
      </c>
      <c r="E203" t="s">
        <v>568</v>
      </c>
      <c r="F203" t="s">
        <v>23</v>
      </c>
      <c r="G203" t="e">
        <f>+_xlfn.XLOOKUP(tbl_encuesta[[#This Row],[Me siento a gusto con el ambiente de trabajo que se genera en mi equipo.]],#REF!,#REF!)</f>
        <v>#REF!</v>
      </c>
      <c r="H203" t="s">
        <v>23</v>
      </c>
      <c r="I203" t="e">
        <f>+_xlfn.XLOOKUP(tbl_encuesta[[#This Row],[Me siento motivado a dar lo mejor de mí y hacer un buen trabajo]],#REF!,#REF!)</f>
        <v>#REF!</v>
      </c>
      <c r="J203" t="s">
        <v>22</v>
      </c>
      <c r="K203" t="e">
        <f>+_xlfn.XLOOKUP(tbl_encuesta[[#This Row],[Mi supervisor o jefe directo me otorga el soporte que necesito para afrontar cualquier problema que afecte mi trabajo]],#REF!,#REF!)</f>
        <v>#REF!</v>
      </c>
      <c r="L203" t="s">
        <v>23</v>
      </c>
      <c r="M203" t="e">
        <f>+_xlfn.XLOOKUP(tbl_encuesta[[#This Row],[Mi supervisor o jefe directo fomenta que nos apoyemos entre todos en el equipo]],#REF!,#REF!)</f>
        <v>#REF!</v>
      </c>
      <c r="N203" t="s">
        <v>23</v>
      </c>
      <c r="O203" t="e">
        <f>+_xlfn.XLOOKUP(tbl_encuesta[[#This Row],[Siento que mi trabajo es reconocido por mi supervisor o jefe directo.]],#REF!,#REF!)</f>
        <v>#REF!</v>
      </c>
      <c r="P203" t="s">
        <v>31</v>
      </c>
      <c r="Q203" t="e">
        <f xml:space="preserve">
_xlfn.XLOOKUP(
tbl_encuesta[[#This Row],[Mi supervisor o jefe directo nos brinda charlas de 5 minutos y comunica las novedades relevantes a mi puesto de trabajo]],#REF!,#REF!
)</f>
        <v>#REF!</v>
      </c>
      <c r="R203" t="s">
        <v>17</v>
      </c>
      <c r="T203" t="s">
        <v>19</v>
      </c>
      <c r="W203" t="s">
        <v>25</v>
      </c>
      <c r="X203" t="s">
        <v>23</v>
      </c>
      <c r="Y203" t="e">
        <f>+_xlfn.XLOOKUP(tbl_encuesta[[#This Row],[Considero a Limtek como un buen lugar para trabajar]],#REF!,#REF!)</f>
        <v>#REF!</v>
      </c>
      <c r="Z203" t="s">
        <v>576</v>
      </c>
      <c r="AA203" t="s">
        <v>527</v>
      </c>
      <c r="AB203" t="s">
        <v>563</v>
      </c>
      <c r="AC203" s="3" t="s">
        <v>3716</v>
      </c>
      <c r="AD203" s="3" t="s">
        <v>1595</v>
      </c>
      <c r="AE203" t="s">
        <v>29</v>
      </c>
    </row>
    <row r="204" spans="1:31" x14ac:dyDescent="0.25">
      <c r="A204">
        <v>119032764293</v>
      </c>
      <c r="B204">
        <v>462598545</v>
      </c>
      <c r="C204" s="1">
        <v>46029.829479166663</v>
      </c>
      <c r="D204" s="1">
        <v>46029.832442129627</v>
      </c>
      <c r="E204" t="s">
        <v>568</v>
      </c>
      <c r="F204" t="s">
        <v>22</v>
      </c>
      <c r="G204" t="e">
        <f>+_xlfn.XLOOKUP(tbl_encuesta[[#This Row],[Me siento a gusto con el ambiente de trabajo que se genera en mi equipo.]],#REF!,#REF!)</f>
        <v>#REF!</v>
      </c>
      <c r="H204" t="s">
        <v>23</v>
      </c>
      <c r="I204" t="e">
        <f>+_xlfn.XLOOKUP(tbl_encuesta[[#This Row],[Me siento motivado a dar lo mejor de mí y hacer un buen trabajo]],#REF!,#REF!)</f>
        <v>#REF!</v>
      </c>
      <c r="J204" t="s">
        <v>23</v>
      </c>
      <c r="K204" t="e">
        <f>+_xlfn.XLOOKUP(tbl_encuesta[[#This Row],[Mi supervisor o jefe directo me otorga el soporte que necesito para afrontar cualquier problema que afecte mi trabajo]],#REF!,#REF!)</f>
        <v>#REF!</v>
      </c>
      <c r="L204" t="s">
        <v>23</v>
      </c>
      <c r="M204" t="e">
        <f>+_xlfn.XLOOKUP(tbl_encuesta[[#This Row],[Mi supervisor o jefe directo fomenta que nos apoyemos entre todos en el equipo]],#REF!,#REF!)</f>
        <v>#REF!</v>
      </c>
      <c r="N204" t="s">
        <v>23</v>
      </c>
      <c r="O204" t="e">
        <f>+_xlfn.XLOOKUP(tbl_encuesta[[#This Row],[Siento que mi trabajo es reconocido por mi supervisor o jefe directo.]],#REF!,#REF!)</f>
        <v>#REF!</v>
      </c>
      <c r="P204" t="s">
        <v>31</v>
      </c>
      <c r="Q204" t="e">
        <f xml:space="preserve">
_xlfn.XLOOKUP(
tbl_encuesta[[#This Row],[Mi supervisor o jefe directo nos brinda charlas de 5 minutos y comunica las novedades relevantes a mi puesto de trabajo]],#REF!,#REF!
)</f>
        <v>#REF!</v>
      </c>
      <c r="R204" t="s">
        <v>17</v>
      </c>
      <c r="T204" t="s">
        <v>19</v>
      </c>
      <c r="W204" t="s">
        <v>25</v>
      </c>
      <c r="X204" t="s">
        <v>23</v>
      </c>
      <c r="Y204" t="e">
        <f>+_xlfn.XLOOKUP(tbl_encuesta[[#This Row],[Considero a Limtek como un buen lugar para trabajar]],#REF!,#REF!)</f>
        <v>#REF!</v>
      </c>
      <c r="Z204" t="s">
        <v>569</v>
      </c>
      <c r="AA204" t="s">
        <v>570</v>
      </c>
      <c r="AB204" t="s">
        <v>563</v>
      </c>
      <c r="AC204" s="3" t="s">
        <v>3716</v>
      </c>
      <c r="AD204" s="3" t="s">
        <v>1595</v>
      </c>
      <c r="AE204" t="s">
        <v>69</v>
      </c>
    </row>
    <row r="205" spans="1:31" x14ac:dyDescent="0.25">
      <c r="A205">
        <v>119032761616</v>
      </c>
      <c r="B205">
        <v>462598545</v>
      </c>
      <c r="C205" s="1">
        <v>46029.824583333335</v>
      </c>
      <c r="D205" s="1">
        <v>46029.827905092592</v>
      </c>
      <c r="E205" t="s">
        <v>568</v>
      </c>
      <c r="F205" t="s">
        <v>22</v>
      </c>
      <c r="G205" t="e">
        <f>+_xlfn.XLOOKUP(tbl_encuesta[[#This Row],[Me siento a gusto con el ambiente de trabajo que se genera en mi equipo.]],#REF!,#REF!)</f>
        <v>#REF!</v>
      </c>
      <c r="H205" t="s">
        <v>23</v>
      </c>
      <c r="I205" t="e">
        <f>+_xlfn.XLOOKUP(tbl_encuesta[[#This Row],[Me siento motivado a dar lo mejor de mí y hacer un buen trabajo]],#REF!,#REF!)</f>
        <v>#REF!</v>
      </c>
      <c r="J205" t="s">
        <v>23</v>
      </c>
      <c r="K205" t="e">
        <f>+_xlfn.XLOOKUP(tbl_encuesta[[#This Row],[Mi supervisor o jefe directo me otorga el soporte que necesito para afrontar cualquier problema que afecte mi trabajo]],#REF!,#REF!)</f>
        <v>#REF!</v>
      </c>
      <c r="L205" t="s">
        <v>23</v>
      </c>
      <c r="M205" t="e">
        <f>+_xlfn.XLOOKUP(tbl_encuesta[[#This Row],[Mi supervisor o jefe directo fomenta que nos apoyemos entre todos en el equipo]],#REF!,#REF!)</f>
        <v>#REF!</v>
      </c>
      <c r="N205" t="s">
        <v>23</v>
      </c>
      <c r="O205" t="e">
        <f>+_xlfn.XLOOKUP(tbl_encuesta[[#This Row],[Siento que mi trabajo es reconocido por mi supervisor o jefe directo.]],#REF!,#REF!)</f>
        <v>#REF!</v>
      </c>
      <c r="P205" t="s">
        <v>31</v>
      </c>
      <c r="Q205" t="e">
        <f xml:space="preserve">
_xlfn.XLOOKUP(
tbl_encuesta[[#This Row],[Mi supervisor o jefe directo nos brinda charlas de 5 minutos y comunica las novedades relevantes a mi puesto de trabajo]],#REF!,#REF!
)</f>
        <v>#REF!</v>
      </c>
      <c r="R205" t="s">
        <v>17</v>
      </c>
      <c r="T205" t="s">
        <v>19</v>
      </c>
      <c r="W205" t="s">
        <v>25</v>
      </c>
      <c r="X205" t="s">
        <v>23</v>
      </c>
      <c r="Y205" t="e">
        <f>+_xlfn.XLOOKUP(tbl_encuesta[[#This Row],[Considero a Limtek como un buen lugar para trabajar]],#REF!,#REF!)</f>
        <v>#REF!</v>
      </c>
      <c r="Z205" t="s">
        <v>571</v>
      </c>
      <c r="AA205" t="s">
        <v>572</v>
      </c>
      <c r="AB205" t="s">
        <v>563</v>
      </c>
      <c r="AC205" s="3" t="s">
        <v>3716</v>
      </c>
      <c r="AD205" s="3" t="s">
        <v>1595</v>
      </c>
      <c r="AE205" t="s">
        <v>69</v>
      </c>
    </row>
    <row r="206" spans="1:31" x14ac:dyDescent="0.25">
      <c r="A206">
        <v>119032758948</v>
      </c>
      <c r="B206">
        <v>462598545</v>
      </c>
      <c r="C206" s="1">
        <v>46029.81453703704</v>
      </c>
      <c r="D206" s="1">
        <v>46029.823506944442</v>
      </c>
      <c r="E206" t="s">
        <v>568</v>
      </c>
      <c r="F206" t="s">
        <v>22</v>
      </c>
      <c r="G206" t="e">
        <f>+_xlfn.XLOOKUP(tbl_encuesta[[#This Row],[Me siento a gusto con el ambiente de trabajo que se genera en mi equipo.]],#REF!,#REF!)</f>
        <v>#REF!</v>
      </c>
      <c r="H206" t="s">
        <v>23</v>
      </c>
      <c r="I206" t="e">
        <f>+_xlfn.XLOOKUP(tbl_encuesta[[#This Row],[Me siento motivado a dar lo mejor de mí y hacer un buen trabajo]],#REF!,#REF!)</f>
        <v>#REF!</v>
      </c>
      <c r="J206" t="s">
        <v>23</v>
      </c>
      <c r="K206" t="e">
        <f>+_xlfn.XLOOKUP(tbl_encuesta[[#This Row],[Mi supervisor o jefe directo me otorga el soporte que necesito para afrontar cualquier problema que afecte mi trabajo]],#REF!,#REF!)</f>
        <v>#REF!</v>
      </c>
      <c r="L206" t="s">
        <v>23</v>
      </c>
      <c r="M206" t="e">
        <f>+_xlfn.XLOOKUP(tbl_encuesta[[#This Row],[Mi supervisor o jefe directo fomenta que nos apoyemos entre todos en el equipo]],#REF!,#REF!)</f>
        <v>#REF!</v>
      </c>
      <c r="N206" t="s">
        <v>23</v>
      </c>
      <c r="O206" t="e">
        <f>+_xlfn.XLOOKUP(tbl_encuesta[[#This Row],[Siento que mi trabajo es reconocido por mi supervisor o jefe directo.]],#REF!,#REF!)</f>
        <v>#REF!</v>
      </c>
      <c r="P206" t="s">
        <v>31</v>
      </c>
      <c r="Q206" t="e">
        <f xml:space="preserve">
_xlfn.XLOOKUP(
tbl_encuesta[[#This Row],[Mi supervisor o jefe directo nos brinda charlas de 5 minutos y comunica las novedades relevantes a mi puesto de trabajo]],#REF!,#REF!
)</f>
        <v>#REF!</v>
      </c>
      <c r="R206" t="s">
        <v>17</v>
      </c>
      <c r="T206" t="s">
        <v>19</v>
      </c>
      <c r="W206" t="s">
        <v>25</v>
      </c>
      <c r="X206" t="s">
        <v>23</v>
      </c>
      <c r="Y206" t="e">
        <f>+_xlfn.XLOOKUP(tbl_encuesta[[#This Row],[Considero a Limtek como un buen lugar para trabajar]],#REF!,#REF!)</f>
        <v>#REF!</v>
      </c>
      <c r="Z206" t="s">
        <v>573</v>
      </c>
      <c r="AA206" t="s">
        <v>572</v>
      </c>
      <c r="AB206" t="s">
        <v>563</v>
      </c>
      <c r="AC206" s="3" t="s">
        <v>3716</v>
      </c>
      <c r="AD206" s="3" t="s">
        <v>1595</v>
      </c>
      <c r="AE206" t="s">
        <v>69</v>
      </c>
    </row>
    <row r="207" spans="1:31" x14ac:dyDescent="0.25">
      <c r="A207">
        <v>119032758935</v>
      </c>
      <c r="B207">
        <v>462598545</v>
      </c>
      <c r="C207" s="1">
        <v>46029.822488425925</v>
      </c>
      <c r="D207" s="1">
        <v>46029.823495370372</v>
      </c>
      <c r="E207" t="s">
        <v>568</v>
      </c>
      <c r="F207" t="s">
        <v>22</v>
      </c>
      <c r="G207" t="e">
        <f>+_xlfn.XLOOKUP(tbl_encuesta[[#This Row],[Me siento a gusto con el ambiente de trabajo que se genera en mi equipo.]],#REF!,#REF!)</f>
        <v>#REF!</v>
      </c>
      <c r="H207" t="s">
        <v>22</v>
      </c>
      <c r="I207" t="e">
        <f>+_xlfn.XLOOKUP(tbl_encuesta[[#This Row],[Me siento motivado a dar lo mejor de mí y hacer un buen trabajo]],#REF!,#REF!)</f>
        <v>#REF!</v>
      </c>
      <c r="J207" t="s">
        <v>23</v>
      </c>
      <c r="K207" t="e">
        <f>+_xlfn.XLOOKUP(tbl_encuesta[[#This Row],[Mi supervisor o jefe directo me otorga el soporte que necesito para afrontar cualquier problema que afecte mi trabajo]],#REF!,#REF!)</f>
        <v>#REF!</v>
      </c>
      <c r="L207" t="s">
        <v>22</v>
      </c>
      <c r="M207" t="e">
        <f>+_xlfn.XLOOKUP(tbl_encuesta[[#This Row],[Mi supervisor o jefe directo fomenta que nos apoyemos entre todos en el equipo]],#REF!,#REF!)</f>
        <v>#REF!</v>
      </c>
      <c r="N207" t="s">
        <v>23</v>
      </c>
      <c r="O207" t="e">
        <f>+_xlfn.XLOOKUP(tbl_encuesta[[#This Row],[Siento que mi trabajo es reconocido por mi supervisor o jefe directo.]],#REF!,#REF!)</f>
        <v>#REF!</v>
      </c>
      <c r="P207" t="s">
        <v>67</v>
      </c>
      <c r="Q207" t="e">
        <f xml:space="preserve">
_xlfn.XLOOKUP(
tbl_encuesta[[#This Row],[Mi supervisor o jefe directo nos brinda charlas de 5 minutos y comunica las novedades relevantes a mi puesto de trabajo]],#REF!,#REF!
)</f>
        <v>#REF!</v>
      </c>
      <c r="S207" t="s">
        <v>18</v>
      </c>
      <c r="W207" t="s">
        <v>25</v>
      </c>
      <c r="X207" t="s">
        <v>23</v>
      </c>
      <c r="Y207" t="e">
        <f>+_xlfn.XLOOKUP(tbl_encuesta[[#This Row],[Considero a Limtek como un buen lugar para trabajar]],#REF!,#REF!)</f>
        <v>#REF!</v>
      </c>
      <c r="Z207" t="s">
        <v>574</v>
      </c>
      <c r="AA207" t="s">
        <v>527</v>
      </c>
      <c r="AB207" t="s">
        <v>563</v>
      </c>
      <c r="AC207" s="3" t="s">
        <v>3716</v>
      </c>
      <c r="AD207" s="3" t="s">
        <v>1595</v>
      </c>
      <c r="AE207" t="s">
        <v>29</v>
      </c>
    </row>
    <row r="208" spans="1:31" x14ac:dyDescent="0.25">
      <c r="A208">
        <v>119032619772</v>
      </c>
      <c r="B208">
        <v>462598545</v>
      </c>
      <c r="C208" s="1">
        <v>46029.638865740744</v>
      </c>
      <c r="D208" s="1">
        <v>46029.641817129632</v>
      </c>
      <c r="E208" t="s">
        <v>575</v>
      </c>
      <c r="F208" t="s">
        <v>43</v>
      </c>
      <c r="G208" t="e">
        <f>+_xlfn.XLOOKUP(tbl_encuesta[[#This Row],[Me siento a gusto con el ambiente de trabajo que se genera en mi equipo.]],#REF!,#REF!)</f>
        <v>#REF!</v>
      </c>
      <c r="H208" t="s">
        <v>23</v>
      </c>
      <c r="I208" t="e">
        <f>+_xlfn.XLOOKUP(tbl_encuesta[[#This Row],[Me siento motivado a dar lo mejor de mí y hacer un buen trabajo]],#REF!,#REF!)</f>
        <v>#REF!</v>
      </c>
      <c r="J208" t="s">
        <v>23</v>
      </c>
      <c r="K208" t="e">
        <f>+_xlfn.XLOOKUP(tbl_encuesta[[#This Row],[Mi supervisor o jefe directo me otorga el soporte que necesito para afrontar cualquier problema que afecte mi trabajo]],#REF!,#REF!)</f>
        <v>#REF!</v>
      </c>
      <c r="L208" t="s">
        <v>43</v>
      </c>
      <c r="M208" t="e">
        <f>+_xlfn.XLOOKUP(tbl_encuesta[[#This Row],[Mi supervisor o jefe directo fomenta que nos apoyemos entre todos en el equipo]],#REF!,#REF!)</f>
        <v>#REF!</v>
      </c>
      <c r="N208" t="s">
        <v>23</v>
      </c>
      <c r="O208" t="e">
        <f>+_xlfn.XLOOKUP(tbl_encuesta[[#This Row],[Siento que mi trabajo es reconocido por mi supervisor o jefe directo.]],#REF!,#REF!)</f>
        <v>#REF!</v>
      </c>
      <c r="P208" t="s">
        <v>175</v>
      </c>
      <c r="Q208" t="e">
        <f xml:space="preserve">
_xlfn.XLOOKUP(
tbl_encuesta[[#This Row],[Mi supervisor o jefe directo nos brinda charlas de 5 minutos y comunica las novedades relevantes a mi puesto de trabajo]],#REF!,#REF!
)</f>
        <v>#REF!</v>
      </c>
      <c r="R208" t="s">
        <v>17</v>
      </c>
      <c r="W208" t="s">
        <v>25</v>
      </c>
      <c r="X208" t="s">
        <v>23</v>
      </c>
      <c r="Y208" t="e">
        <f>+_xlfn.XLOOKUP(tbl_encuesta[[#This Row],[Considero a Limtek como un buen lugar para trabajar]],#REF!,#REF!)</f>
        <v>#REF!</v>
      </c>
      <c r="Z208" t="s">
        <v>576</v>
      </c>
      <c r="AA208" t="s">
        <v>577</v>
      </c>
      <c r="AB208" t="s">
        <v>553</v>
      </c>
      <c r="AC208" t="s">
        <v>3744</v>
      </c>
      <c r="AD208" t="s">
        <v>3744</v>
      </c>
      <c r="AE208" t="s">
        <v>69</v>
      </c>
    </row>
    <row r="209" spans="1:31" x14ac:dyDescent="0.25">
      <c r="A209">
        <v>119032570807</v>
      </c>
      <c r="B209">
        <v>462598545</v>
      </c>
      <c r="C209" s="1">
        <v>46029.583460648151</v>
      </c>
      <c r="D209" s="1">
        <v>46029.590092592596</v>
      </c>
      <c r="E209" t="s">
        <v>578</v>
      </c>
      <c r="F209" t="s">
        <v>23</v>
      </c>
      <c r="G209" t="e">
        <f>+_xlfn.XLOOKUP(tbl_encuesta[[#This Row],[Me siento a gusto con el ambiente de trabajo que se genera en mi equipo.]],#REF!,#REF!)</f>
        <v>#REF!</v>
      </c>
      <c r="H209" t="s">
        <v>23</v>
      </c>
      <c r="I209" t="e">
        <f>+_xlfn.XLOOKUP(tbl_encuesta[[#This Row],[Me siento motivado a dar lo mejor de mí y hacer un buen trabajo]],#REF!,#REF!)</f>
        <v>#REF!</v>
      </c>
      <c r="J209" t="s">
        <v>23</v>
      </c>
      <c r="K209" t="e">
        <f>+_xlfn.XLOOKUP(tbl_encuesta[[#This Row],[Mi supervisor o jefe directo me otorga el soporte que necesito para afrontar cualquier problema que afecte mi trabajo]],#REF!,#REF!)</f>
        <v>#REF!</v>
      </c>
      <c r="L209" t="s">
        <v>23</v>
      </c>
      <c r="M209" t="e">
        <f>+_xlfn.XLOOKUP(tbl_encuesta[[#This Row],[Mi supervisor o jefe directo fomenta que nos apoyemos entre todos en el equipo]],#REF!,#REF!)</f>
        <v>#REF!</v>
      </c>
      <c r="N209" t="s">
        <v>23</v>
      </c>
      <c r="O209" t="e">
        <f>+_xlfn.XLOOKUP(tbl_encuesta[[#This Row],[Siento que mi trabajo es reconocido por mi supervisor o jefe directo.]],#REF!,#REF!)</f>
        <v>#REF!</v>
      </c>
      <c r="P209" t="s">
        <v>31</v>
      </c>
      <c r="Q209" t="e">
        <f xml:space="preserve">
_xlfn.XLOOKUP(
tbl_encuesta[[#This Row],[Mi supervisor o jefe directo nos brinda charlas de 5 minutos y comunica las novedades relevantes a mi puesto de trabajo]],#REF!,#REF!
)</f>
        <v>#REF!</v>
      </c>
      <c r="R209" t="s">
        <v>17</v>
      </c>
      <c r="V209" t="s">
        <v>579</v>
      </c>
      <c r="W209" t="s">
        <v>25</v>
      </c>
      <c r="X209" t="s">
        <v>23</v>
      </c>
      <c r="Y209" t="e">
        <f>+_xlfn.XLOOKUP(tbl_encuesta[[#This Row],[Considero a Limtek como un buen lugar para trabajar]],#REF!,#REF!)</f>
        <v>#REF!</v>
      </c>
      <c r="Z209" t="s">
        <v>580</v>
      </c>
      <c r="AA209" t="s">
        <v>242</v>
      </c>
      <c r="AB209" t="s">
        <v>581</v>
      </c>
      <c r="AC209" s="3" t="s">
        <v>3611</v>
      </c>
      <c r="AD209" s="3" t="s">
        <v>814</v>
      </c>
      <c r="AE209" t="s">
        <v>29</v>
      </c>
    </row>
    <row r="210" spans="1:31" x14ac:dyDescent="0.25">
      <c r="A210">
        <v>119032566279</v>
      </c>
      <c r="B210">
        <v>462598545</v>
      </c>
      <c r="C210" s="1">
        <v>46029.55431712963</v>
      </c>
      <c r="D210" s="1">
        <v>46029.585694444446</v>
      </c>
      <c r="E210" t="s">
        <v>582</v>
      </c>
      <c r="F210" t="s">
        <v>23</v>
      </c>
      <c r="G210" t="e">
        <f>+_xlfn.XLOOKUP(tbl_encuesta[[#This Row],[Me siento a gusto con el ambiente de trabajo que se genera en mi equipo.]],#REF!,#REF!)</f>
        <v>#REF!</v>
      </c>
      <c r="H210" t="s">
        <v>23</v>
      </c>
      <c r="I210" t="e">
        <f>+_xlfn.XLOOKUP(tbl_encuesta[[#This Row],[Me siento motivado a dar lo mejor de mí y hacer un buen trabajo]],#REF!,#REF!)</f>
        <v>#REF!</v>
      </c>
      <c r="J210" t="s">
        <v>23</v>
      </c>
      <c r="K210" t="e">
        <f>+_xlfn.XLOOKUP(tbl_encuesta[[#This Row],[Mi supervisor o jefe directo me otorga el soporte que necesito para afrontar cualquier problema que afecte mi trabajo]],#REF!,#REF!)</f>
        <v>#REF!</v>
      </c>
      <c r="L210" t="s">
        <v>23</v>
      </c>
      <c r="M210" t="e">
        <f>+_xlfn.XLOOKUP(tbl_encuesta[[#This Row],[Mi supervisor o jefe directo fomenta que nos apoyemos entre todos en el equipo]],#REF!,#REF!)</f>
        <v>#REF!</v>
      </c>
      <c r="N210" t="s">
        <v>23</v>
      </c>
      <c r="O210" t="e">
        <f>+_xlfn.XLOOKUP(tbl_encuesta[[#This Row],[Siento que mi trabajo es reconocido por mi supervisor o jefe directo.]],#REF!,#REF!)</f>
        <v>#REF!</v>
      </c>
      <c r="P210" t="s">
        <v>31</v>
      </c>
      <c r="Q210" t="e">
        <f xml:space="preserve">
_xlfn.XLOOKUP(
tbl_encuesta[[#This Row],[Mi supervisor o jefe directo nos brinda charlas de 5 minutos y comunica las novedades relevantes a mi puesto de trabajo]],#REF!,#REF!
)</f>
        <v>#REF!</v>
      </c>
      <c r="R210" t="s">
        <v>17</v>
      </c>
      <c r="W210" t="s">
        <v>25</v>
      </c>
      <c r="X210" t="s">
        <v>23</v>
      </c>
      <c r="Y210" t="e">
        <f>+_xlfn.XLOOKUP(tbl_encuesta[[#This Row],[Considero a Limtek como un buen lugar para trabajar]],#REF!,#REF!)</f>
        <v>#REF!</v>
      </c>
      <c r="Z210" t="s">
        <v>583</v>
      </c>
      <c r="AA210" t="s">
        <v>584</v>
      </c>
      <c r="AB210" t="s">
        <v>581</v>
      </c>
      <c r="AC210" s="3" t="s">
        <v>3791</v>
      </c>
      <c r="AD210" s="3" t="s">
        <v>3791</v>
      </c>
      <c r="AE210" t="s">
        <v>29</v>
      </c>
    </row>
    <row r="211" spans="1:31" x14ac:dyDescent="0.25">
      <c r="A211">
        <v>119032563852</v>
      </c>
      <c r="B211">
        <v>462598545</v>
      </c>
      <c r="C211" s="1">
        <v>46029.580763888887</v>
      </c>
      <c r="D211" s="1">
        <v>46029.583414351851</v>
      </c>
      <c r="E211" t="s">
        <v>585</v>
      </c>
      <c r="F211" t="s">
        <v>23</v>
      </c>
      <c r="G211" t="e">
        <f>+_xlfn.XLOOKUP(tbl_encuesta[[#This Row],[Me siento a gusto con el ambiente de trabajo que se genera en mi equipo.]],#REF!,#REF!)</f>
        <v>#REF!</v>
      </c>
      <c r="H211" t="s">
        <v>23</v>
      </c>
      <c r="I211" t="e">
        <f>+_xlfn.XLOOKUP(tbl_encuesta[[#This Row],[Me siento motivado a dar lo mejor de mí y hacer un buen trabajo]],#REF!,#REF!)</f>
        <v>#REF!</v>
      </c>
      <c r="J211" t="s">
        <v>23</v>
      </c>
      <c r="K211" t="e">
        <f>+_xlfn.XLOOKUP(tbl_encuesta[[#This Row],[Mi supervisor o jefe directo me otorga el soporte que necesito para afrontar cualquier problema que afecte mi trabajo]],#REF!,#REF!)</f>
        <v>#REF!</v>
      </c>
      <c r="L211" t="s">
        <v>23</v>
      </c>
      <c r="M211" t="e">
        <f>+_xlfn.XLOOKUP(tbl_encuesta[[#This Row],[Mi supervisor o jefe directo fomenta que nos apoyemos entre todos en el equipo]],#REF!,#REF!)</f>
        <v>#REF!</v>
      </c>
      <c r="N211" t="s">
        <v>23</v>
      </c>
      <c r="O211" t="e">
        <f>+_xlfn.XLOOKUP(tbl_encuesta[[#This Row],[Siento que mi trabajo es reconocido por mi supervisor o jefe directo.]],#REF!,#REF!)</f>
        <v>#REF!</v>
      </c>
      <c r="P211" t="s">
        <v>31</v>
      </c>
      <c r="Q211" t="e">
        <f xml:space="preserve">
_xlfn.XLOOKUP(
tbl_encuesta[[#This Row],[Mi supervisor o jefe directo nos brinda charlas de 5 minutos y comunica las novedades relevantes a mi puesto de trabajo]],#REF!,#REF!
)</f>
        <v>#REF!</v>
      </c>
      <c r="R211" t="s">
        <v>17</v>
      </c>
      <c r="W211" t="s">
        <v>25</v>
      </c>
      <c r="X211" t="s">
        <v>23</v>
      </c>
      <c r="Y211" t="e">
        <f>+_xlfn.XLOOKUP(tbl_encuesta[[#This Row],[Considero a Limtek como un buen lugar para trabajar]],#REF!,#REF!)</f>
        <v>#REF!</v>
      </c>
      <c r="Z211" t="s">
        <v>586</v>
      </c>
      <c r="AA211" t="s">
        <v>587</v>
      </c>
      <c r="AB211" t="s">
        <v>581</v>
      </c>
      <c r="AC211" s="3" t="s">
        <v>3791</v>
      </c>
      <c r="AD211" s="3" t="s">
        <v>3791</v>
      </c>
      <c r="AE211" t="s">
        <v>34</v>
      </c>
    </row>
    <row r="212" spans="1:31" x14ac:dyDescent="0.25">
      <c r="A212">
        <v>119032558891</v>
      </c>
      <c r="B212">
        <v>462598545</v>
      </c>
      <c r="C212" s="1">
        <v>46029.577141203707</v>
      </c>
      <c r="D212" s="1">
        <v>46029.578576388885</v>
      </c>
      <c r="E212" t="s">
        <v>588</v>
      </c>
      <c r="F212" t="s">
        <v>22</v>
      </c>
      <c r="G212" t="e">
        <f>+_xlfn.XLOOKUP(tbl_encuesta[[#This Row],[Me siento a gusto con el ambiente de trabajo que se genera en mi equipo.]],#REF!,#REF!)</f>
        <v>#REF!</v>
      </c>
      <c r="H212" t="s">
        <v>22</v>
      </c>
      <c r="I212" t="e">
        <f>+_xlfn.XLOOKUP(tbl_encuesta[[#This Row],[Me siento motivado a dar lo mejor de mí y hacer un buen trabajo]],#REF!,#REF!)</f>
        <v>#REF!</v>
      </c>
      <c r="J212" t="s">
        <v>23</v>
      </c>
      <c r="K212" t="e">
        <f>+_xlfn.XLOOKUP(tbl_encuesta[[#This Row],[Mi supervisor o jefe directo me otorga el soporte que necesito para afrontar cualquier problema que afecte mi trabajo]],#REF!,#REF!)</f>
        <v>#REF!</v>
      </c>
      <c r="L212" t="s">
        <v>23</v>
      </c>
      <c r="M212" t="e">
        <f>+_xlfn.XLOOKUP(tbl_encuesta[[#This Row],[Mi supervisor o jefe directo fomenta que nos apoyemos entre todos en el equipo]],#REF!,#REF!)</f>
        <v>#REF!</v>
      </c>
      <c r="N212" t="s">
        <v>23</v>
      </c>
      <c r="O212" t="e">
        <f>+_xlfn.XLOOKUP(tbl_encuesta[[#This Row],[Siento que mi trabajo es reconocido por mi supervisor o jefe directo.]],#REF!,#REF!)</f>
        <v>#REF!</v>
      </c>
      <c r="P212" t="s">
        <v>31</v>
      </c>
      <c r="Q212" t="e">
        <f xml:space="preserve">
_xlfn.XLOOKUP(
tbl_encuesta[[#This Row],[Mi supervisor o jefe directo nos brinda charlas de 5 minutos y comunica las novedades relevantes a mi puesto de trabajo]],#REF!,#REF!
)</f>
        <v>#REF!</v>
      </c>
      <c r="R212" t="s">
        <v>17</v>
      </c>
      <c r="T212" t="s">
        <v>19</v>
      </c>
      <c r="W212" t="s">
        <v>25</v>
      </c>
      <c r="X212" t="s">
        <v>23</v>
      </c>
      <c r="Y212" t="e">
        <f>+_xlfn.XLOOKUP(tbl_encuesta[[#This Row],[Considero a Limtek como un buen lugar para trabajar]],#REF!,#REF!)</f>
        <v>#REF!</v>
      </c>
      <c r="Z212" t="s">
        <v>589</v>
      </c>
      <c r="AA212" t="s">
        <v>527</v>
      </c>
      <c r="AB212" t="s">
        <v>581</v>
      </c>
      <c r="AC212" t="s">
        <v>3744</v>
      </c>
      <c r="AD212" t="s">
        <v>3744</v>
      </c>
      <c r="AE212" t="s">
        <v>29</v>
      </c>
    </row>
    <row r="213" spans="1:31" x14ac:dyDescent="0.25">
      <c r="A213">
        <v>119032556120</v>
      </c>
      <c r="B213">
        <v>462598545</v>
      </c>
      <c r="C213" s="1">
        <v>46029.567453703705</v>
      </c>
      <c r="D213" s="1">
        <v>46029.575787037036</v>
      </c>
      <c r="E213" t="s">
        <v>585</v>
      </c>
      <c r="F213" t="s">
        <v>23</v>
      </c>
      <c r="G213" t="e">
        <f>+_xlfn.XLOOKUP(tbl_encuesta[[#This Row],[Me siento a gusto con el ambiente de trabajo que se genera en mi equipo.]],#REF!,#REF!)</f>
        <v>#REF!</v>
      </c>
      <c r="H213" t="s">
        <v>23</v>
      </c>
      <c r="I213" t="e">
        <f>+_xlfn.XLOOKUP(tbl_encuesta[[#This Row],[Me siento motivado a dar lo mejor de mí y hacer un buen trabajo]],#REF!,#REF!)</f>
        <v>#REF!</v>
      </c>
      <c r="J213" t="s">
        <v>23</v>
      </c>
      <c r="K213" t="e">
        <f>+_xlfn.XLOOKUP(tbl_encuesta[[#This Row],[Mi supervisor o jefe directo me otorga el soporte que necesito para afrontar cualquier problema que afecte mi trabajo]],#REF!,#REF!)</f>
        <v>#REF!</v>
      </c>
      <c r="L213" t="s">
        <v>23</v>
      </c>
      <c r="M213" t="e">
        <f>+_xlfn.XLOOKUP(tbl_encuesta[[#This Row],[Mi supervisor o jefe directo fomenta que nos apoyemos entre todos en el equipo]],#REF!,#REF!)</f>
        <v>#REF!</v>
      </c>
      <c r="N213" t="s">
        <v>23</v>
      </c>
      <c r="O213" t="e">
        <f>+_xlfn.XLOOKUP(tbl_encuesta[[#This Row],[Siento que mi trabajo es reconocido por mi supervisor o jefe directo.]],#REF!,#REF!)</f>
        <v>#REF!</v>
      </c>
      <c r="P213" t="s">
        <v>31</v>
      </c>
      <c r="Q213" t="e">
        <f xml:space="preserve">
_xlfn.XLOOKUP(
tbl_encuesta[[#This Row],[Mi supervisor o jefe directo nos brinda charlas de 5 minutos y comunica las novedades relevantes a mi puesto de trabajo]],#REF!,#REF!
)</f>
        <v>#REF!</v>
      </c>
      <c r="R213" t="s">
        <v>17</v>
      </c>
      <c r="W213" t="s">
        <v>25</v>
      </c>
      <c r="X213" t="s">
        <v>23</v>
      </c>
      <c r="Y213" t="e">
        <f>+_xlfn.XLOOKUP(tbl_encuesta[[#This Row],[Considero a Limtek como un buen lugar para trabajar]],#REF!,#REF!)</f>
        <v>#REF!</v>
      </c>
      <c r="Z213" t="s">
        <v>591</v>
      </c>
      <c r="AA213" t="s">
        <v>587</v>
      </c>
      <c r="AB213" t="s">
        <v>581</v>
      </c>
      <c r="AC213" s="3" t="s">
        <v>3791</v>
      </c>
      <c r="AD213" s="3" t="s">
        <v>3791</v>
      </c>
      <c r="AE213" t="s">
        <v>34</v>
      </c>
    </row>
    <row r="214" spans="1:31" x14ac:dyDescent="0.25">
      <c r="A214">
        <v>119032509322</v>
      </c>
      <c r="B214">
        <v>462598545</v>
      </c>
      <c r="C214" s="1">
        <v>46029.518553240741</v>
      </c>
      <c r="D214" s="1">
        <v>46029.530150462961</v>
      </c>
      <c r="E214" t="s">
        <v>592</v>
      </c>
      <c r="F214" t="s">
        <v>23</v>
      </c>
      <c r="G214" t="e">
        <f>+_xlfn.XLOOKUP(tbl_encuesta[[#This Row],[Me siento a gusto con el ambiente de trabajo que se genera en mi equipo.]],#REF!,#REF!)</f>
        <v>#REF!</v>
      </c>
      <c r="H214" t="s">
        <v>23</v>
      </c>
      <c r="I214" t="e">
        <f>+_xlfn.XLOOKUP(tbl_encuesta[[#This Row],[Me siento motivado a dar lo mejor de mí y hacer un buen trabajo]],#REF!,#REF!)</f>
        <v>#REF!</v>
      </c>
      <c r="J214" t="s">
        <v>23</v>
      </c>
      <c r="K214" t="e">
        <f>+_xlfn.XLOOKUP(tbl_encuesta[[#This Row],[Mi supervisor o jefe directo me otorga el soporte que necesito para afrontar cualquier problema que afecte mi trabajo]],#REF!,#REF!)</f>
        <v>#REF!</v>
      </c>
      <c r="L214" t="s">
        <v>23</v>
      </c>
      <c r="M214" t="e">
        <f>+_xlfn.XLOOKUP(tbl_encuesta[[#This Row],[Mi supervisor o jefe directo fomenta que nos apoyemos entre todos en el equipo]],#REF!,#REF!)</f>
        <v>#REF!</v>
      </c>
      <c r="N214" t="s">
        <v>23</v>
      </c>
      <c r="O214" t="e">
        <f>+_xlfn.XLOOKUP(tbl_encuesta[[#This Row],[Siento que mi trabajo es reconocido por mi supervisor o jefe directo.]],#REF!,#REF!)</f>
        <v>#REF!</v>
      </c>
      <c r="P214" t="s">
        <v>31</v>
      </c>
      <c r="Q214" t="e">
        <f xml:space="preserve">
_xlfn.XLOOKUP(
tbl_encuesta[[#This Row],[Mi supervisor o jefe directo nos brinda charlas de 5 minutos y comunica las novedades relevantes a mi puesto de trabajo]],#REF!,#REF!
)</f>
        <v>#REF!</v>
      </c>
      <c r="S214" t="s">
        <v>18</v>
      </c>
      <c r="U214" t="s">
        <v>20</v>
      </c>
      <c r="W214" t="s">
        <v>25</v>
      </c>
      <c r="X214" t="s">
        <v>23</v>
      </c>
      <c r="Y214" t="e">
        <f>+_xlfn.XLOOKUP(tbl_encuesta[[#This Row],[Considero a Limtek como un buen lugar para trabajar]],#REF!,#REF!)</f>
        <v>#REF!</v>
      </c>
      <c r="Z214" t="s">
        <v>593</v>
      </c>
      <c r="AA214" t="s">
        <v>594</v>
      </c>
      <c r="AB214" t="s">
        <v>563</v>
      </c>
      <c r="AC214" s="3" t="s">
        <v>3716</v>
      </c>
      <c r="AD214" s="3" t="s">
        <v>1595</v>
      </c>
      <c r="AE214" t="s">
        <v>29</v>
      </c>
    </row>
    <row r="215" spans="1:31" x14ac:dyDescent="0.25">
      <c r="A215">
        <v>119032450805</v>
      </c>
      <c r="B215">
        <v>462598545</v>
      </c>
      <c r="C215" s="1">
        <v>46029.388171296298</v>
      </c>
      <c r="D215" s="1">
        <v>46029.478576388887</v>
      </c>
      <c r="E215" t="s">
        <v>595</v>
      </c>
      <c r="F215" t="s">
        <v>97</v>
      </c>
      <c r="G215" t="e">
        <f>+_xlfn.XLOOKUP(tbl_encuesta[[#This Row],[Me siento a gusto con el ambiente de trabajo que se genera en mi equipo.]],#REF!,#REF!)</f>
        <v>#REF!</v>
      </c>
      <c r="H215" t="s">
        <v>23</v>
      </c>
      <c r="I215" t="e">
        <f>+_xlfn.XLOOKUP(tbl_encuesta[[#This Row],[Me siento motivado a dar lo mejor de mí y hacer un buen trabajo]],#REF!,#REF!)</f>
        <v>#REF!</v>
      </c>
      <c r="J215" t="s">
        <v>22</v>
      </c>
      <c r="K215" t="e">
        <f>+_xlfn.XLOOKUP(tbl_encuesta[[#This Row],[Mi supervisor o jefe directo me otorga el soporte que necesito para afrontar cualquier problema que afecte mi trabajo]],#REF!,#REF!)</f>
        <v>#REF!</v>
      </c>
      <c r="L215" t="s">
        <v>22</v>
      </c>
      <c r="M215" t="e">
        <f>+_xlfn.XLOOKUP(tbl_encuesta[[#This Row],[Mi supervisor o jefe directo fomenta que nos apoyemos entre todos en el equipo]],#REF!,#REF!)</f>
        <v>#REF!</v>
      </c>
      <c r="N215" t="s">
        <v>97</v>
      </c>
      <c r="O215" t="e">
        <f>+_xlfn.XLOOKUP(tbl_encuesta[[#This Row],[Siento que mi trabajo es reconocido por mi supervisor o jefe directo.]],#REF!,#REF!)</f>
        <v>#REF!</v>
      </c>
      <c r="P215" t="s">
        <v>31</v>
      </c>
      <c r="Q215" t="e">
        <f xml:space="preserve">
_xlfn.XLOOKUP(
tbl_encuesta[[#This Row],[Mi supervisor o jefe directo nos brinda charlas de 5 minutos y comunica las novedades relevantes a mi puesto de trabajo]],#REF!,#REF!
)</f>
        <v>#REF!</v>
      </c>
      <c r="R215" t="s">
        <v>17</v>
      </c>
      <c r="W215" t="s">
        <v>25</v>
      </c>
      <c r="X215" t="s">
        <v>23</v>
      </c>
      <c r="Y215" t="e">
        <f>+_xlfn.XLOOKUP(tbl_encuesta[[#This Row],[Considero a Limtek como un buen lugar para trabajar]],#REF!,#REF!)</f>
        <v>#REF!</v>
      </c>
      <c r="Z215" t="s">
        <v>596</v>
      </c>
      <c r="AA215" t="s">
        <v>597</v>
      </c>
      <c r="AB215" t="s">
        <v>581</v>
      </c>
      <c r="AC215" s="3" t="s">
        <v>3769</v>
      </c>
      <c r="AD215" s="3" t="s">
        <v>814</v>
      </c>
      <c r="AE215" t="s">
        <v>34</v>
      </c>
    </row>
    <row r="216" spans="1:31" x14ac:dyDescent="0.25">
      <c r="A216">
        <v>119032412233</v>
      </c>
      <c r="B216">
        <v>462598545</v>
      </c>
      <c r="C216" s="1">
        <v>46029.436053240737</v>
      </c>
      <c r="D216" s="1">
        <v>46029.444224537037</v>
      </c>
      <c r="E216" t="s">
        <v>598</v>
      </c>
      <c r="F216" t="s">
        <v>23</v>
      </c>
      <c r="G216" t="e">
        <f>+_xlfn.XLOOKUP(tbl_encuesta[[#This Row],[Me siento a gusto con el ambiente de trabajo que se genera en mi equipo.]],#REF!,#REF!)</f>
        <v>#REF!</v>
      </c>
      <c r="H216" t="s">
        <v>23</v>
      </c>
      <c r="I216" t="e">
        <f>+_xlfn.XLOOKUP(tbl_encuesta[[#This Row],[Me siento motivado a dar lo mejor de mí y hacer un buen trabajo]],#REF!,#REF!)</f>
        <v>#REF!</v>
      </c>
      <c r="J216" t="s">
        <v>23</v>
      </c>
      <c r="K216" t="e">
        <f>+_xlfn.XLOOKUP(tbl_encuesta[[#This Row],[Mi supervisor o jefe directo me otorga el soporte que necesito para afrontar cualquier problema que afecte mi trabajo]],#REF!,#REF!)</f>
        <v>#REF!</v>
      </c>
      <c r="L216" t="s">
        <v>23</v>
      </c>
      <c r="M216" t="e">
        <f>+_xlfn.XLOOKUP(tbl_encuesta[[#This Row],[Mi supervisor o jefe directo fomenta que nos apoyemos entre todos en el equipo]],#REF!,#REF!)</f>
        <v>#REF!</v>
      </c>
      <c r="N216" t="s">
        <v>23</v>
      </c>
      <c r="O216" t="e">
        <f>+_xlfn.XLOOKUP(tbl_encuesta[[#This Row],[Siento que mi trabajo es reconocido por mi supervisor o jefe directo.]],#REF!,#REF!)</f>
        <v>#REF!</v>
      </c>
      <c r="P216" t="s">
        <v>67</v>
      </c>
      <c r="Q216" t="e">
        <f xml:space="preserve">
_xlfn.XLOOKUP(
tbl_encuesta[[#This Row],[Mi supervisor o jefe directo nos brinda charlas de 5 minutos y comunica las novedades relevantes a mi puesto de trabajo]],#REF!,#REF!
)</f>
        <v>#REF!</v>
      </c>
      <c r="R216" t="s">
        <v>17</v>
      </c>
      <c r="W216" t="s">
        <v>25</v>
      </c>
      <c r="X216" t="s">
        <v>23</v>
      </c>
      <c r="Y216" t="e">
        <f>+_xlfn.XLOOKUP(tbl_encuesta[[#This Row],[Considero a Limtek como un buen lugar para trabajar]],#REF!,#REF!)</f>
        <v>#REF!</v>
      </c>
      <c r="Z216" t="s">
        <v>599</v>
      </c>
      <c r="AA216" t="s">
        <v>600</v>
      </c>
      <c r="AB216" t="s">
        <v>567</v>
      </c>
      <c r="AC216" t="s">
        <v>3744</v>
      </c>
      <c r="AD216" t="s">
        <v>3744</v>
      </c>
      <c r="AE216" t="s">
        <v>61</v>
      </c>
    </row>
    <row r="217" spans="1:31" x14ac:dyDescent="0.25">
      <c r="A217">
        <v>119032378194</v>
      </c>
      <c r="B217">
        <v>462598545</v>
      </c>
      <c r="C217" s="1">
        <v>46029.411863425928</v>
      </c>
      <c r="D217" s="1">
        <v>46029.413645833331</v>
      </c>
      <c r="E217" t="s">
        <v>601</v>
      </c>
      <c r="F217" t="s">
        <v>23</v>
      </c>
      <c r="G217" t="e">
        <f>+_xlfn.XLOOKUP(tbl_encuesta[[#This Row],[Me siento a gusto con el ambiente de trabajo que se genera en mi equipo.]],#REF!,#REF!)</f>
        <v>#REF!</v>
      </c>
      <c r="H217" t="s">
        <v>23</v>
      </c>
      <c r="I217" t="e">
        <f>+_xlfn.XLOOKUP(tbl_encuesta[[#This Row],[Me siento motivado a dar lo mejor de mí y hacer un buen trabajo]],#REF!,#REF!)</f>
        <v>#REF!</v>
      </c>
      <c r="J217" t="s">
        <v>23</v>
      </c>
      <c r="K217" t="e">
        <f>+_xlfn.XLOOKUP(tbl_encuesta[[#This Row],[Mi supervisor o jefe directo me otorga el soporte que necesito para afrontar cualquier problema que afecte mi trabajo]],#REF!,#REF!)</f>
        <v>#REF!</v>
      </c>
      <c r="L217" t="s">
        <v>23</v>
      </c>
      <c r="M217" t="e">
        <f>+_xlfn.XLOOKUP(tbl_encuesta[[#This Row],[Mi supervisor o jefe directo fomenta que nos apoyemos entre todos en el equipo]],#REF!,#REF!)</f>
        <v>#REF!</v>
      </c>
      <c r="N217" t="s">
        <v>22</v>
      </c>
      <c r="O217" t="e">
        <f>+_xlfn.XLOOKUP(tbl_encuesta[[#This Row],[Siento que mi trabajo es reconocido por mi supervisor o jefe directo.]],#REF!,#REF!)</f>
        <v>#REF!</v>
      </c>
      <c r="P217" t="s">
        <v>31</v>
      </c>
      <c r="Q217" t="e">
        <f xml:space="preserve">
_xlfn.XLOOKUP(
tbl_encuesta[[#This Row],[Mi supervisor o jefe directo nos brinda charlas de 5 minutos y comunica las novedades relevantes a mi puesto de trabajo]],#REF!,#REF!
)</f>
        <v>#REF!</v>
      </c>
      <c r="R217" t="s">
        <v>17</v>
      </c>
      <c r="U217" t="s">
        <v>20</v>
      </c>
      <c r="W217" t="s">
        <v>25</v>
      </c>
      <c r="X217" t="s">
        <v>22</v>
      </c>
      <c r="Y217" t="e">
        <f>+_xlfn.XLOOKUP(tbl_encuesta[[#This Row],[Considero a Limtek como un buen lugar para trabajar]],#REF!,#REF!)</f>
        <v>#REF!</v>
      </c>
      <c r="Z217" t="s">
        <v>599</v>
      </c>
      <c r="AA217" t="s">
        <v>602</v>
      </c>
      <c r="AB217" t="s">
        <v>28</v>
      </c>
      <c r="AC217" s="3" t="s">
        <v>1867</v>
      </c>
      <c r="AD217" s="3" t="s">
        <v>3757</v>
      </c>
      <c r="AE217" t="s">
        <v>29</v>
      </c>
    </row>
    <row r="218" spans="1:31" x14ac:dyDescent="0.25">
      <c r="A218">
        <v>119032367522</v>
      </c>
      <c r="B218">
        <v>462598545</v>
      </c>
      <c r="C218" s="1">
        <v>46029.400914351849</v>
      </c>
      <c r="D218" s="1">
        <v>46029.403993055559</v>
      </c>
      <c r="E218" t="s">
        <v>603</v>
      </c>
      <c r="F218" t="s">
        <v>23</v>
      </c>
      <c r="G218" t="e">
        <f>+_xlfn.XLOOKUP(tbl_encuesta[[#This Row],[Me siento a gusto con el ambiente de trabajo que se genera en mi equipo.]],#REF!,#REF!)</f>
        <v>#REF!</v>
      </c>
      <c r="H218" t="s">
        <v>23</v>
      </c>
      <c r="I218" t="e">
        <f>+_xlfn.XLOOKUP(tbl_encuesta[[#This Row],[Me siento motivado a dar lo mejor de mí y hacer un buen trabajo]],#REF!,#REF!)</f>
        <v>#REF!</v>
      </c>
      <c r="J218" t="s">
        <v>23</v>
      </c>
      <c r="K218" t="e">
        <f>+_xlfn.XLOOKUP(tbl_encuesta[[#This Row],[Mi supervisor o jefe directo me otorga el soporte que necesito para afrontar cualquier problema que afecte mi trabajo]],#REF!,#REF!)</f>
        <v>#REF!</v>
      </c>
      <c r="L218" t="s">
        <v>23</v>
      </c>
      <c r="M218" t="e">
        <f>+_xlfn.XLOOKUP(tbl_encuesta[[#This Row],[Mi supervisor o jefe directo fomenta que nos apoyemos entre todos en el equipo]],#REF!,#REF!)</f>
        <v>#REF!</v>
      </c>
      <c r="N218" t="s">
        <v>22</v>
      </c>
      <c r="O218" t="e">
        <f>+_xlfn.XLOOKUP(tbl_encuesta[[#This Row],[Siento que mi trabajo es reconocido por mi supervisor o jefe directo.]],#REF!,#REF!)</f>
        <v>#REF!</v>
      </c>
      <c r="P218" t="s">
        <v>31</v>
      </c>
      <c r="Q218" t="e">
        <f xml:space="preserve">
_xlfn.XLOOKUP(
tbl_encuesta[[#This Row],[Mi supervisor o jefe directo nos brinda charlas de 5 minutos y comunica las novedades relevantes a mi puesto de trabajo]],#REF!,#REF!
)</f>
        <v>#REF!</v>
      </c>
      <c r="S218" t="s">
        <v>18</v>
      </c>
      <c r="V218" t="s">
        <v>604</v>
      </c>
      <c r="W218" t="s">
        <v>46</v>
      </c>
      <c r="X218" t="s">
        <v>23</v>
      </c>
      <c r="Y218" t="e">
        <f>+_xlfn.XLOOKUP(tbl_encuesta[[#This Row],[Considero a Limtek como un buen lugar para trabajar]],#REF!,#REF!)</f>
        <v>#REF!</v>
      </c>
      <c r="Z218" t="s">
        <v>605</v>
      </c>
      <c r="AA218" t="s">
        <v>122</v>
      </c>
      <c r="AB218" t="s">
        <v>581</v>
      </c>
      <c r="AC218" s="3" t="s">
        <v>3769</v>
      </c>
      <c r="AD218" s="3" t="s">
        <v>3769</v>
      </c>
      <c r="AE218" t="s">
        <v>29</v>
      </c>
    </row>
    <row r="219" spans="1:31" x14ac:dyDescent="0.25">
      <c r="A219">
        <v>119032355203</v>
      </c>
      <c r="B219">
        <v>462598545</v>
      </c>
      <c r="C219" s="1">
        <v>46029.39261574074</v>
      </c>
      <c r="D219" s="1">
        <v>46029.393692129626</v>
      </c>
      <c r="E219" t="s">
        <v>606</v>
      </c>
      <c r="F219" t="s">
        <v>23</v>
      </c>
      <c r="G219" t="e">
        <f>+_xlfn.XLOOKUP(tbl_encuesta[[#This Row],[Me siento a gusto con el ambiente de trabajo que se genera en mi equipo.]],#REF!,#REF!)</f>
        <v>#REF!</v>
      </c>
      <c r="H219" t="s">
        <v>23</v>
      </c>
      <c r="I219" t="e">
        <f>+_xlfn.XLOOKUP(tbl_encuesta[[#This Row],[Me siento motivado a dar lo mejor de mí y hacer un buen trabajo]],#REF!,#REF!)</f>
        <v>#REF!</v>
      </c>
      <c r="J219" t="s">
        <v>23</v>
      </c>
      <c r="K219" t="e">
        <f>+_xlfn.XLOOKUP(tbl_encuesta[[#This Row],[Mi supervisor o jefe directo me otorga el soporte que necesito para afrontar cualquier problema que afecte mi trabajo]],#REF!,#REF!)</f>
        <v>#REF!</v>
      </c>
      <c r="L219" t="s">
        <v>23</v>
      </c>
      <c r="M219" t="e">
        <f>+_xlfn.XLOOKUP(tbl_encuesta[[#This Row],[Mi supervisor o jefe directo fomenta que nos apoyemos entre todos en el equipo]],#REF!,#REF!)</f>
        <v>#REF!</v>
      </c>
      <c r="N219" t="s">
        <v>23</v>
      </c>
      <c r="O219" t="e">
        <f>+_xlfn.XLOOKUP(tbl_encuesta[[#This Row],[Siento que mi trabajo es reconocido por mi supervisor o jefe directo.]],#REF!,#REF!)</f>
        <v>#REF!</v>
      </c>
      <c r="P219" t="s">
        <v>31</v>
      </c>
      <c r="Q219" t="e">
        <f xml:space="preserve">
_xlfn.XLOOKUP(
tbl_encuesta[[#This Row],[Mi supervisor o jefe directo nos brinda charlas de 5 minutos y comunica las novedades relevantes a mi puesto de trabajo]],#REF!,#REF!
)</f>
        <v>#REF!</v>
      </c>
      <c r="R219" t="s">
        <v>17</v>
      </c>
      <c r="W219" t="s">
        <v>25</v>
      </c>
      <c r="X219" t="s">
        <v>23</v>
      </c>
      <c r="Y219" t="e">
        <f>+_xlfn.XLOOKUP(tbl_encuesta[[#This Row],[Considero a Limtek como un buen lugar para trabajar]],#REF!,#REF!)</f>
        <v>#REF!</v>
      </c>
      <c r="Z219" t="s">
        <v>607</v>
      </c>
      <c r="AA219" t="s">
        <v>608</v>
      </c>
      <c r="AB219" t="s">
        <v>581</v>
      </c>
      <c r="AC219" s="3" t="s">
        <v>3779</v>
      </c>
      <c r="AD219" s="3" t="s">
        <v>814</v>
      </c>
      <c r="AE219" t="s">
        <v>55</v>
      </c>
    </row>
    <row r="220" spans="1:31" x14ac:dyDescent="0.25">
      <c r="A220">
        <v>119032342650</v>
      </c>
      <c r="B220">
        <v>462598545</v>
      </c>
      <c r="C220" s="1">
        <v>46029.378472222219</v>
      </c>
      <c r="D220" s="1">
        <v>46029.383240740739</v>
      </c>
      <c r="E220" t="s">
        <v>554</v>
      </c>
      <c r="F220" t="s">
        <v>23</v>
      </c>
      <c r="G220" t="e">
        <f>+_xlfn.XLOOKUP(tbl_encuesta[[#This Row],[Me siento a gusto con el ambiente de trabajo que se genera en mi equipo.]],#REF!,#REF!)</f>
        <v>#REF!</v>
      </c>
      <c r="H220" t="s">
        <v>23</v>
      </c>
      <c r="I220" t="e">
        <f>+_xlfn.XLOOKUP(tbl_encuesta[[#This Row],[Me siento motivado a dar lo mejor de mí y hacer un buen trabajo]],#REF!,#REF!)</f>
        <v>#REF!</v>
      </c>
      <c r="J220" t="s">
        <v>23</v>
      </c>
      <c r="K220" t="e">
        <f>+_xlfn.XLOOKUP(tbl_encuesta[[#This Row],[Mi supervisor o jefe directo me otorga el soporte que necesito para afrontar cualquier problema que afecte mi trabajo]],#REF!,#REF!)</f>
        <v>#REF!</v>
      </c>
      <c r="L220" t="s">
        <v>23</v>
      </c>
      <c r="M220" t="e">
        <f>+_xlfn.XLOOKUP(tbl_encuesta[[#This Row],[Mi supervisor o jefe directo fomenta que nos apoyemos entre todos en el equipo]],#REF!,#REF!)</f>
        <v>#REF!</v>
      </c>
      <c r="N220" t="s">
        <v>23</v>
      </c>
      <c r="O220" t="e">
        <f>+_xlfn.XLOOKUP(tbl_encuesta[[#This Row],[Siento que mi trabajo es reconocido por mi supervisor o jefe directo.]],#REF!,#REF!)</f>
        <v>#REF!</v>
      </c>
      <c r="P220" t="s">
        <v>31</v>
      </c>
      <c r="Q220" t="e">
        <f xml:space="preserve">
_xlfn.XLOOKUP(
tbl_encuesta[[#This Row],[Mi supervisor o jefe directo nos brinda charlas de 5 minutos y comunica las novedades relevantes a mi puesto de trabajo]],#REF!,#REF!
)</f>
        <v>#REF!</v>
      </c>
      <c r="U220" t="s">
        <v>20</v>
      </c>
      <c r="W220" t="s">
        <v>25</v>
      </c>
      <c r="X220" t="s">
        <v>23</v>
      </c>
      <c r="Y220" t="e">
        <f>+_xlfn.XLOOKUP(tbl_encuesta[[#This Row],[Considero a Limtek como un buen lugar para trabajar]],#REF!,#REF!)</f>
        <v>#REF!</v>
      </c>
      <c r="Z220" t="s">
        <v>555</v>
      </c>
      <c r="AA220" t="s">
        <v>609</v>
      </c>
      <c r="AB220" t="s">
        <v>553</v>
      </c>
      <c r="AC220" s="3" t="s">
        <v>3769</v>
      </c>
      <c r="AD220" s="3" t="s">
        <v>553</v>
      </c>
      <c r="AE220" t="s">
        <v>29</v>
      </c>
    </row>
    <row r="221" spans="1:31" x14ac:dyDescent="0.25">
      <c r="A221">
        <v>119032336572</v>
      </c>
      <c r="B221">
        <v>462598545</v>
      </c>
      <c r="C221" s="1">
        <v>46029.371979166666</v>
      </c>
      <c r="D221" s="1">
        <v>46029.378252314818</v>
      </c>
      <c r="E221" t="s">
        <v>610</v>
      </c>
      <c r="F221" t="s">
        <v>23</v>
      </c>
      <c r="G221" t="e">
        <f>+_xlfn.XLOOKUP(tbl_encuesta[[#This Row],[Me siento a gusto con el ambiente de trabajo que se genera en mi equipo.]],#REF!,#REF!)</f>
        <v>#REF!</v>
      </c>
      <c r="H221" t="s">
        <v>23</v>
      </c>
      <c r="I221" t="e">
        <f>+_xlfn.XLOOKUP(tbl_encuesta[[#This Row],[Me siento motivado a dar lo mejor de mí y hacer un buen trabajo]],#REF!,#REF!)</f>
        <v>#REF!</v>
      </c>
      <c r="J221" t="s">
        <v>23</v>
      </c>
      <c r="K221" t="e">
        <f>+_xlfn.XLOOKUP(tbl_encuesta[[#This Row],[Mi supervisor o jefe directo me otorga el soporte que necesito para afrontar cualquier problema que afecte mi trabajo]],#REF!,#REF!)</f>
        <v>#REF!</v>
      </c>
      <c r="L221" t="s">
        <v>23</v>
      </c>
      <c r="M221" t="e">
        <f>+_xlfn.XLOOKUP(tbl_encuesta[[#This Row],[Mi supervisor o jefe directo fomenta que nos apoyemos entre todos en el equipo]],#REF!,#REF!)</f>
        <v>#REF!</v>
      </c>
      <c r="N221" t="s">
        <v>23</v>
      </c>
      <c r="O221" t="e">
        <f>+_xlfn.XLOOKUP(tbl_encuesta[[#This Row],[Siento que mi trabajo es reconocido por mi supervisor o jefe directo.]],#REF!,#REF!)</f>
        <v>#REF!</v>
      </c>
      <c r="P221" t="s">
        <v>31</v>
      </c>
      <c r="Q221" t="e">
        <f xml:space="preserve">
_xlfn.XLOOKUP(
tbl_encuesta[[#This Row],[Mi supervisor o jefe directo nos brinda charlas de 5 minutos y comunica las novedades relevantes a mi puesto de trabajo]],#REF!,#REF!
)</f>
        <v>#REF!</v>
      </c>
      <c r="S221" t="s">
        <v>18</v>
      </c>
      <c r="W221" t="s">
        <v>25</v>
      </c>
      <c r="X221" t="s">
        <v>23</v>
      </c>
      <c r="Y221" t="e">
        <f>+_xlfn.XLOOKUP(tbl_encuesta[[#This Row],[Considero a Limtek como un buen lugar para trabajar]],#REF!,#REF!)</f>
        <v>#REF!</v>
      </c>
      <c r="Z221" t="s">
        <v>611</v>
      </c>
      <c r="AA221" t="s">
        <v>612</v>
      </c>
      <c r="AB221" t="s">
        <v>581</v>
      </c>
      <c r="AC221" s="3" t="s">
        <v>3769</v>
      </c>
      <c r="AD221" s="3" t="s">
        <v>3769</v>
      </c>
      <c r="AE221" t="s">
        <v>55</v>
      </c>
    </row>
    <row r="222" spans="1:31" x14ac:dyDescent="0.25">
      <c r="A222">
        <v>119032325332</v>
      </c>
      <c r="B222">
        <v>462598545</v>
      </c>
      <c r="C222" s="1">
        <v>46029.366875</v>
      </c>
      <c r="D222" s="1">
        <v>46029.368414351855</v>
      </c>
      <c r="E222" t="s">
        <v>613</v>
      </c>
      <c r="F222" t="s">
        <v>23</v>
      </c>
      <c r="G222" t="e">
        <f>+_xlfn.XLOOKUP(tbl_encuesta[[#This Row],[Me siento a gusto con el ambiente de trabajo que se genera en mi equipo.]],#REF!,#REF!)</f>
        <v>#REF!</v>
      </c>
      <c r="H222" t="s">
        <v>23</v>
      </c>
      <c r="I222" t="e">
        <f>+_xlfn.XLOOKUP(tbl_encuesta[[#This Row],[Me siento motivado a dar lo mejor de mí y hacer un buen trabajo]],#REF!,#REF!)</f>
        <v>#REF!</v>
      </c>
      <c r="J222" t="s">
        <v>22</v>
      </c>
      <c r="K222" t="e">
        <f>+_xlfn.XLOOKUP(tbl_encuesta[[#This Row],[Mi supervisor o jefe directo me otorga el soporte que necesito para afrontar cualquier problema que afecte mi trabajo]],#REF!,#REF!)</f>
        <v>#REF!</v>
      </c>
      <c r="L222" t="s">
        <v>23</v>
      </c>
      <c r="M222" t="e">
        <f>+_xlfn.XLOOKUP(tbl_encuesta[[#This Row],[Mi supervisor o jefe directo fomenta que nos apoyemos entre todos en el equipo]],#REF!,#REF!)</f>
        <v>#REF!</v>
      </c>
      <c r="N222" t="s">
        <v>23</v>
      </c>
      <c r="O222" t="e">
        <f>+_xlfn.XLOOKUP(tbl_encuesta[[#This Row],[Siento que mi trabajo es reconocido por mi supervisor o jefe directo.]],#REF!,#REF!)</f>
        <v>#REF!</v>
      </c>
      <c r="P222" t="s">
        <v>31</v>
      </c>
      <c r="Q222" t="e">
        <f xml:space="preserve">
_xlfn.XLOOKUP(
tbl_encuesta[[#This Row],[Mi supervisor o jefe directo nos brinda charlas de 5 minutos y comunica las novedades relevantes a mi puesto de trabajo]],#REF!,#REF!
)</f>
        <v>#REF!</v>
      </c>
      <c r="R222" t="s">
        <v>17</v>
      </c>
      <c r="W222" t="s">
        <v>25</v>
      </c>
      <c r="X222" t="s">
        <v>23</v>
      </c>
      <c r="Y222" t="e">
        <f>+_xlfn.XLOOKUP(tbl_encuesta[[#This Row],[Considero a Limtek como un buen lugar para trabajar]],#REF!,#REF!)</f>
        <v>#REF!</v>
      </c>
      <c r="Z222" t="s">
        <v>614</v>
      </c>
      <c r="AA222" t="s">
        <v>615</v>
      </c>
      <c r="AB222" t="s">
        <v>581</v>
      </c>
      <c r="AC222" s="3" t="s">
        <v>3769</v>
      </c>
      <c r="AD222" s="3" t="s">
        <v>3769</v>
      </c>
      <c r="AE222" t="s">
        <v>61</v>
      </c>
    </row>
    <row r="223" spans="1:31" x14ac:dyDescent="0.25">
      <c r="A223">
        <v>119032108549</v>
      </c>
      <c r="B223">
        <v>462598545</v>
      </c>
      <c r="C223" s="1">
        <v>46028.927337962959</v>
      </c>
      <c r="D223" s="1">
        <v>46028.934606481482</v>
      </c>
      <c r="E223" t="s">
        <v>616</v>
      </c>
      <c r="F223" t="s">
        <v>23</v>
      </c>
      <c r="G223" t="e">
        <f>+_xlfn.XLOOKUP(tbl_encuesta[[#This Row],[Me siento a gusto con el ambiente de trabajo que se genera en mi equipo.]],#REF!,#REF!)</f>
        <v>#REF!</v>
      </c>
      <c r="H223" t="s">
        <v>23</v>
      </c>
      <c r="I223" t="e">
        <f>+_xlfn.XLOOKUP(tbl_encuesta[[#This Row],[Me siento motivado a dar lo mejor de mí y hacer un buen trabajo]],#REF!,#REF!)</f>
        <v>#REF!</v>
      </c>
      <c r="J223" t="s">
        <v>22</v>
      </c>
      <c r="K223" t="e">
        <f>+_xlfn.XLOOKUP(tbl_encuesta[[#This Row],[Mi supervisor o jefe directo me otorga el soporte que necesito para afrontar cualquier problema que afecte mi trabajo]],#REF!,#REF!)</f>
        <v>#REF!</v>
      </c>
      <c r="L223" t="s">
        <v>23</v>
      </c>
      <c r="M223" t="e">
        <f>+_xlfn.XLOOKUP(tbl_encuesta[[#This Row],[Mi supervisor o jefe directo fomenta que nos apoyemos entre todos en el equipo]],#REF!,#REF!)</f>
        <v>#REF!</v>
      </c>
      <c r="N223" t="s">
        <v>23</v>
      </c>
      <c r="O223" t="e">
        <f>+_xlfn.XLOOKUP(tbl_encuesta[[#This Row],[Siento que mi trabajo es reconocido por mi supervisor o jefe directo.]],#REF!,#REF!)</f>
        <v>#REF!</v>
      </c>
      <c r="P223" t="s">
        <v>31</v>
      </c>
      <c r="Q223" t="e">
        <f xml:space="preserve">
_xlfn.XLOOKUP(
tbl_encuesta[[#This Row],[Mi supervisor o jefe directo nos brinda charlas de 5 minutos y comunica las novedades relevantes a mi puesto de trabajo]],#REF!,#REF!
)</f>
        <v>#REF!</v>
      </c>
      <c r="R223" t="s">
        <v>17</v>
      </c>
      <c r="S223" t="s">
        <v>18</v>
      </c>
      <c r="W223" t="s">
        <v>25</v>
      </c>
      <c r="X223" t="s">
        <v>23</v>
      </c>
      <c r="Y223" t="e">
        <f>+_xlfn.XLOOKUP(tbl_encuesta[[#This Row],[Considero a Limtek como un buen lugar para trabajar]],#REF!,#REF!)</f>
        <v>#REF!</v>
      </c>
      <c r="Z223" t="s">
        <v>617</v>
      </c>
      <c r="AA223" t="s">
        <v>618</v>
      </c>
      <c r="AB223" t="s">
        <v>619</v>
      </c>
      <c r="AC223" s="3" t="s">
        <v>3748</v>
      </c>
      <c r="AD223" s="3" t="s">
        <v>3748</v>
      </c>
      <c r="AE223" t="s">
        <v>29</v>
      </c>
    </row>
    <row r="224" spans="1:31" x14ac:dyDescent="0.25">
      <c r="A224">
        <v>119032100482</v>
      </c>
      <c r="B224">
        <v>462598545</v>
      </c>
      <c r="C224" s="1">
        <v>46028.915567129632</v>
      </c>
      <c r="D224" s="1">
        <v>46028.919988425929</v>
      </c>
      <c r="E224" t="s">
        <v>620</v>
      </c>
      <c r="F224" t="s">
        <v>23</v>
      </c>
      <c r="G224" t="e">
        <f>+_xlfn.XLOOKUP(tbl_encuesta[[#This Row],[Me siento a gusto con el ambiente de trabajo que se genera en mi equipo.]],#REF!,#REF!)</f>
        <v>#REF!</v>
      </c>
      <c r="H224" t="s">
        <v>23</v>
      </c>
      <c r="I224" t="e">
        <f>+_xlfn.XLOOKUP(tbl_encuesta[[#This Row],[Me siento motivado a dar lo mejor de mí y hacer un buen trabajo]],#REF!,#REF!)</f>
        <v>#REF!</v>
      </c>
      <c r="J224" t="s">
        <v>23</v>
      </c>
      <c r="K224" t="e">
        <f>+_xlfn.XLOOKUP(tbl_encuesta[[#This Row],[Mi supervisor o jefe directo me otorga el soporte que necesito para afrontar cualquier problema que afecte mi trabajo]],#REF!,#REF!)</f>
        <v>#REF!</v>
      </c>
      <c r="L224" t="s">
        <v>22</v>
      </c>
      <c r="M224" t="e">
        <f>+_xlfn.XLOOKUP(tbl_encuesta[[#This Row],[Mi supervisor o jefe directo fomenta que nos apoyemos entre todos en el equipo]],#REF!,#REF!)</f>
        <v>#REF!</v>
      </c>
      <c r="N224" t="s">
        <v>23</v>
      </c>
      <c r="O224" t="e">
        <f>+_xlfn.XLOOKUP(tbl_encuesta[[#This Row],[Siento que mi trabajo es reconocido por mi supervisor o jefe directo.]],#REF!,#REF!)</f>
        <v>#REF!</v>
      </c>
      <c r="P224" t="s">
        <v>67</v>
      </c>
      <c r="Q224" t="e">
        <f xml:space="preserve">
_xlfn.XLOOKUP(
tbl_encuesta[[#This Row],[Mi supervisor o jefe directo nos brinda charlas de 5 minutos y comunica las novedades relevantes a mi puesto de trabajo]],#REF!,#REF!
)</f>
        <v>#REF!</v>
      </c>
      <c r="R224" t="s">
        <v>17</v>
      </c>
      <c r="S224" t="s">
        <v>18</v>
      </c>
      <c r="W224" t="s">
        <v>25</v>
      </c>
      <c r="X224" t="s">
        <v>22</v>
      </c>
      <c r="Y224" t="e">
        <f>+_xlfn.XLOOKUP(tbl_encuesta[[#This Row],[Considero a Limtek como un buen lugar para trabajar]],#REF!,#REF!)</f>
        <v>#REF!</v>
      </c>
      <c r="Z224" t="s">
        <v>621</v>
      </c>
      <c r="AA224" t="s">
        <v>622</v>
      </c>
      <c r="AB224" t="s">
        <v>619</v>
      </c>
      <c r="AC224" s="3" t="s">
        <v>3748</v>
      </c>
      <c r="AD224" s="3" t="s">
        <v>3748</v>
      </c>
      <c r="AE224" t="s">
        <v>61</v>
      </c>
    </row>
    <row r="225" spans="1:31" x14ac:dyDescent="0.25">
      <c r="A225">
        <v>119032087766</v>
      </c>
      <c r="B225">
        <v>462598545</v>
      </c>
      <c r="C225" s="1">
        <v>46028.890347222223</v>
      </c>
      <c r="D225" s="1">
        <v>46028.899826388886</v>
      </c>
      <c r="E225" t="s">
        <v>624</v>
      </c>
      <c r="F225" t="s">
        <v>23</v>
      </c>
      <c r="G225" t="e">
        <f>+_xlfn.XLOOKUP(tbl_encuesta[[#This Row],[Me siento a gusto con el ambiente de trabajo que se genera en mi equipo.]],#REF!,#REF!)</f>
        <v>#REF!</v>
      </c>
      <c r="H225" t="s">
        <v>23</v>
      </c>
      <c r="I225" t="e">
        <f>+_xlfn.XLOOKUP(tbl_encuesta[[#This Row],[Me siento motivado a dar lo mejor de mí y hacer un buen trabajo]],#REF!,#REF!)</f>
        <v>#REF!</v>
      </c>
      <c r="J225" t="s">
        <v>23</v>
      </c>
      <c r="K225" t="e">
        <f>+_xlfn.XLOOKUP(tbl_encuesta[[#This Row],[Mi supervisor o jefe directo me otorga el soporte que necesito para afrontar cualquier problema que afecte mi trabajo]],#REF!,#REF!)</f>
        <v>#REF!</v>
      </c>
      <c r="L225" t="s">
        <v>23</v>
      </c>
      <c r="M225" t="e">
        <f>+_xlfn.XLOOKUP(tbl_encuesta[[#This Row],[Mi supervisor o jefe directo fomenta que nos apoyemos entre todos en el equipo]],#REF!,#REF!)</f>
        <v>#REF!</v>
      </c>
      <c r="N225" t="s">
        <v>23</v>
      </c>
      <c r="O225" t="e">
        <f>+_xlfn.XLOOKUP(tbl_encuesta[[#This Row],[Siento que mi trabajo es reconocido por mi supervisor o jefe directo.]],#REF!,#REF!)</f>
        <v>#REF!</v>
      </c>
      <c r="P225" t="s">
        <v>31</v>
      </c>
      <c r="Q225" t="e">
        <f xml:space="preserve">
_xlfn.XLOOKUP(
tbl_encuesta[[#This Row],[Mi supervisor o jefe directo nos brinda charlas de 5 minutos y comunica las novedades relevantes a mi puesto de trabajo]],#REF!,#REF!
)</f>
        <v>#REF!</v>
      </c>
      <c r="R225" t="s">
        <v>17</v>
      </c>
      <c r="W225" t="s">
        <v>25</v>
      </c>
      <c r="X225" t="s">
        <v>23</v>
      </c>
      <c r="Y225" t="e">
        <f>+_xlfn.XLOOKUP(tbl_encuesta[[#This Row],[Considero a Limtek como un buen lugar para trabajar]],#REF!,#REF!)</f>
        <v>#REF!</v>
      </c>
      <c r="Z225" t="s">
        <v>625</v>
      </c>
      <c r="AA225" t="s">
        <v>626</v>
      </c>
      <c r="AB225" t="s">
        <v>619</v>
      </c>
      <c r="AC225" t="s">
        <v>3592</v>
      </c>
      <c r="AD225" t="s">
        <v>3593</v>
      </c>
      <c r="AE225" t="s">
        <v>69</v>
      </c>
    </row>
    <row r="226" spans="1:31" x14ac:dyDescent="0.25">
      <c r="A226">
        <v>119032084753</v>
      </c>
      <c r="B226">
        <v>462598545</v>
      </c>
      <c r="C226" s="1">
        <v>46028.891689814816</v>
      </c>
      <c r="D226" s="1">
        <v>46028.895520833335</v>
      </c>
      <c r="E226" t="s">
        <v>627</v>
      </c>
      <c r="F226" t="s">
        <v>23</v>
      </c>
      <c r="G226" t="e">
        <f>+_xlfn.XLOOKUP(tbl_encuesta[[#This Row],[Me siento a gusto con el ambiente de trabajo que se genera en mi equipo.]],#REF!,#REF!)</f>
        <v>#REF!</v>
      </c>
      <c r="H226" t="s">
        <v>23</v>
      </c>
      <c r="I226" t="e">
        <f>+_xlfn.XLOOKUP(tbl_encuesta[[#This Row],[Me siento motivado a dar lo mejor de mí y hacer un buen trabajo]],#REF!,#REF!)</f>
        <v>#REF!</v>
      </c>
      <c r="J226" t="s">
        <v>23</v>
      </c>
      <c r="K226" t="e">
        <f>+_xlfn.XLOOKUP(tbl_encuesta[[#This Row],[Mi supervisor o jefe directo me otorga el soporte que necesito para afrontar cualquier problema que afecte mi trabajo]],#REF!,#REF!)</f>
        <v>#REF!</v>
      </c>
      <c r="L226" t="s">
        <v>23</v>
      </c>
      <c r="M226" t="e">
        <f>+_xlfn.XLOOKUP(tbl_encuesta[[#This Row],[Mi supervisor o jefe directo fomenta que nos apoyemos entre todos en el equipo]],#REF!,#REF!)</f>
        <v>#REF!</v>
      </c>
      <c r="N226" t="s">
        <v>23</v>
      </c>
      <c r="O226" t="e">
        <f>+_xlfn.XLOOKUP(tbl_encuesta[[#This Row],[Siento que mi trabajo es reconocido por mi supervisor o jefe directo.]],#REF!,#REF!)</f>
        <v>#REF!</v>
      </c>
      <c r="P226" t="s">
        <v>31</v>
      </c>
      <c r="Q226" t="e">
        <f xml:space="preserve">
_xlfn.XLOOKUP(
tbl_encuesta[[#This Row],[Mi supervisor o jefe directo nos brinda charlas de 5 minutos y comunica las novedades relevantes a mi puesto de trabajo]],#REF!,#REF!
)</f>
        <v>#REF!</v>
      </c>
      <c r="R226" t="s">
        <v>17</v>
      </c>
      <c r="T226" t="s">
        <v>19</v>
      </c>
      <c r="W226" t="s">
        <v>25</v>
      </c>
      <c r="X226" t="s">
        <v>23</v>
      </c>
      <c r="Y226" t="e">
        <f>+_xlfn.XLOOKUP(tbl_encuesta[[#This Row],[Considero a Limtek como un buen lugar para trabajar]],#REF!,#REF!)</f>
        <v>#REF!</v>
      </c>
      <c r="Z226" t="s">
        <v>193</v>
      </c>
      <c r="AA226" t="s">
        <v>628</v>
      </c>
      <c r="AB226" t="s">
        <v>567</v>
      </c>
      <c r="AC226" s="3" t="s">
        <v>3845</v>
      </c>
      <c r="AD226" s="3" t="s">
        <v>3846</v>
      </c>
      <c r="AE226" t="s">
        <v>29</v>
      </c>
    </row>
    <row r="227" spans="1:31" x14ac:dyDescent="0.25">
      <c r="A227">
        <v>119032082699</v>
      </c>
      <c r="B227">
        <v>462598545</v>
      </c>
      <c r="C227" s="1">
        <v>46028.890868055554</v>
      </c>
      <c r="D227" s="1">
        <v>46028.892523148148</v>
      </c>
      <c r="E227" t="s">
        <v>627</v>
      </c>
      <c r="F227" t="s">
        <v>23</v>
      </c>
      <c r="G227" t="e">
        <f>+_xlfn.XLOOKUP(tbl_encuesta[[#This Row],[Me siento a gusto con el ambiente de trabajo que se genera en mi equipo.]],#REF!,#REF!)</f>
        <v>#REF!</v>
      </c>
      <c r="H227" t="s">
        <v>23</v>
      </c>
      <c r="I227" t="e">
        <f>+_xlfn.XLOOKUP(tbl_encuesta[[#This Row],[Me siento motivado a dar lo mejor de mí y hacer un buen trabajo]],#REF!,#REF!)</f>
        <v>#REF!</v>
      </c>
      <c r="J227" t="s">
        <v>23</v>
      </c>
      <c r="K227" t="e">
        <f>+_xlfn.XLOOKUP(tbl_encuesta[[#This Row],[Mi supervisor o jefe directo me otorga el soporte que necesito para afrontar cualquier problema que afecte mi trabajo]],#REF!,#REF!)</f>
        <v>#REF!</v>
      </c>
      <c r="L227" t="s">
        <v>23</v>
      </c>
      <c r="M227" t="e">
        <f>+_xlfn.XLOOKUP(tbl_encuesta[[#This Row],[Mi supervisor o jefe directo fomenta que nos apoyemos entre todos en el equipo]],#REF!,#REF!)</f>
        <v>#REF!</v>
      </c>
      <c r="N227" t="s">
        <v>23</v>
      </c>
      <c r="O227" t="e">
        <f>+_xlfn.XLOOKUP(tbl_encuesta[[#This Row],[Siento que mi trabajo es reconocido por mi supervisor o jefe directo.]],#REF!,#REF!)</f>
        <v>#REF!</v>
      </c>
      <c r="P227" t="s">
        <v>31</v>
      </c>
      <c r="Q227" t="e">
        <f xml:space="preserve">
_xlfn.XLOOKUP(
tbl_encuesta[[#This Row],[Mi supervisor o jefe directo nos brinda charlas de 5 minutos y comunica las novedades relevantes a mi puesto de trabajo]],#REF!,#REF!
)</f>
        <v>#REF!</v>
      </c>
      <c r="R227" t="s">
        <v>17</v>
      </c>
      <c r="T227" t="s">
        <v>19</v>
      </c>
      <c r="W227" t="s">
        <v>25</v>
      </c>
      <c r="X227" t="s">
        <v>23</v>
      </c>
      <c r="Y227" t="e">
        <f>+_xlfn.XLOOKUP(tbl_encuesta[[#This Row],[Considero a Limtek como un buen lugar para trabajar]],#REF!,#REF!)</f>
        <v>#REF!</v>
      </c>
      <c r="Z227" t="s">
        <v>193</v>
      </c>
      <c r="AA227" t="s">
        <v>630</v>
      </c>
      <c r="AB227" t="s">
        <v>567</v>
      </c>
      <c r="AC227" s="3" t="s">
        <v>3845</v>
      </c>
      <c r="AD227" s="3" t="s">
        <v>3846</v>
      </c>
      <c r="AE227" t="s">
        <v>29</v>
      </c>
    </row>
    <row r="228" spans="1:31" x14ac:dyDescent="0.25">
      <c r="A228">
        <v>119032076736</v>
      </c>
      <c r="B228">
        <v>462598545</v>
      </c>
      <c r="C228" s="1">
        <v>46028.883194444446</v>
      </c>
      <c r="D228" s="1">
        <v>46028.884201388886</v>
      </c>
      <c r="E228" t="s">
        <v>631</v>
      </c>
      <c r="F228" t="s">
        <v>23</v>
      </c>
      <c r="G228" t="e">
        <f>+_xlfn.XLOOKUP(tbl_encuesta[[#This Row],[Me siento a gusto con el ambiente de trabajo que se genera en mi equipo.]],#REF!,#REF!)</f>
        <v>#REF!</v>
      </c>
      <c r="H228" t="s">
        <v>23</v>
      </c>
      <c r="I228" t="e">
        <f>+_xlfn.XLOOKUP(tbl_encuesta[[#This Row],[Me siento motivado a dar lo mejor de mí y hacer un buen trabajo]],#REF!,#REF!)</f>
        <v>#REF!</v>
      </c>
      <c r="J228" t="s">
        <v>23</v>
      </c>
      <c r="K228" t="e">
        <f>+_xlfn.XLOOKUP(tbl_encuesta[[#This Row],[Mi supervisor o jefe directo me otorga el soporte que necesito para afrontar cualquier problema que afecte mi trabajo]],#REF!,#REF!)</f>
        <v>#REF!</v>
      </c>
      <c r="L228" t="s">
        <v>23</v>
      </c>
      <c r="M228" t="e">
        <f>+_xlfn.XLOOKUP(tbl_encuesta[[#This Row],[Mi supervisor o jefe directo fomenta que nos apoyemos entre todos en el equipo]],#REF!,#REF!)</f>
        <v>#REF!</v>
      </c>
      <c r="N228" t="s">
        <v>22</v>
      </c>
      <c r="O228" t="e">
        <f>+_xlfn.XLOOKUP(tbl_encuesta[[#This Row],[Siento que mi trabajo es reconocido por mi supervisor o jefe directo.]],#REF!,#REF!)</f>
        <v>#REF!</v>
      </c>
      <c r="P228" t="s">
        <v>31</v>
      </c>
      <c r="Q228" t="e">
        <f xml:space="preserve">
_xlfn.XLOOKUP(
tbl_encuesta[[#This Row],[Mi supervisor o jefe directo nos brinda charlas de 5 minutos y comunica las novedades relevantes a mi puesto de trabajo]],#REF!,#REF!
)</f>
        <v>#REF!</v>
      </c>
      <c r="R228" t="s">
        <v>17</v>
      </c>
      <c r="S228" t="s">
        <v>18</v>
      </c>
      <c r="W228" t="s">
        <v>25</v>
      </c>
      <c r="X228" t="s">
        <v>23</v>
      </c>
      <c r="Y228" t="e">
        <f>+_xlfn.XLOOKUP(tbl_encuesta[[#This Row],[Considero a Limtek como un buen lugar para trabajar]],#REF!,#REF!)</f>
        <v>#REF!</v>
      </c>
      <c r="Z228" t="s">
        <v>632</v>
      </c>
      <c r="AA228" t="s">
        <v>633</v>
      </c>
      <c r="AB228" t="s">
        <v>567</v>
      </c>
      <c r="AC228" s="3" t="s">
        <v>3845</v>
      </c>
      <c r="AD228" s="3" t="s">
        <v>3846</v>
      </c>
      <c r="AE228" t="s">
        <v>55</v>
      </c>
    </row>
    <row r="229" spans="1:31" x14ac:dyDescent="0.25">
      <c r="A229">
        <v>119032075673</v>
      </c>
      <c r="B229">
        <v>462598545</v>
      </c>
      <c r="C229" s="1">
        <v>46028.880509259259</v>
      </c>
      <c r="D229" s="1">
        <v>46028.882685185185</v>
      </c>
      <c r="E229" t="s">
        <v>631</v>
      </c>
      <c r="F229" t="s">
        <v>23</v>
      </c>
      <c r="G229" t="e">
        <f>+_xlfn.XLOOKUP(tbl_encuesta[[#This Row],[Me siento a gusto con el ambiente de trabajo que se genera en mi equipo.]],#REF!,#REF!)</f>
        <v>#REF!</v>
      </c>
      <c r="H229" t="s">
        <v>23</v>
      </c>
      <c r="I229" t="e">
        <f>+_xlfn.XLOOKUP(tbl_encuesta[[#This Row],[Me siento motivado a dar lo mejor de mí y hacer un buen trabajo]],#REF!,#REF!)</f>
        <v>#REF!</v>
      </c>
      <c r="J229" t="s">
        <v>23</v>
      </c>
      <c r="K229" t="e">
        <f>+_xlfn.XLOOKUP(tbl_encuesta[[#This Row],[Mi supervisor o jefe directo me otorga el soporte que necesito para afrontar cualquier problema que afecte mi trabajo]],#REF!,#REF!)</f>
        <v>#REF!</v>
      </c>
      <c r="L229" t="s">
        <v>23</v>
      </c>
      <c r="M229" t="e">
        <f>+_xlfn.XLOOKUP(tbl_encuesta[[#This Row],[Mi supervisor o jefe directo fomenta que nos apoyemos entre todos en el equipo]],#REF!,#REF!)</f>
        <v>#REF!</v>
      </c>
      <c r="N229" t="s">
        <v>23</v>
      </c>
      <c r="O229" t="e">
        <f>+_xlfn.XLOOKUP(tbl_encuesta[[#This Row],[Siento que mi trabajo es reconocido por mi supervisor o jefe directo.]],#REF!,#REF!)</f>
        <v>#REF!</v>
      </c>
      <c r="P229" t="s">
        <v>31</v>
      </c>
      <c r="Q229" t="e">
        <f xml:space="preserve">
_xlfn.XLOOKUP(
tbl_encuesta[[#This Row],[Mi supervisor o jefe directo nos brinda charlas de 5 minutos y comunica las novedades relevantes a mi puesto de trabajo]],#REF!,#REF!
)</f>
        <v>#REF!</v>
      </c>
      <c r="R229" t="s">
        <v>17</v>
      </c>
      <c r="S229" t="s">
        <v>18</v>
      </c>
      <c r="W229" t="s">
        <v>25</v>
      </c>
      <c r="X229" t="s">
        <v>23</v>
      </c>
      <c r="Y229" t="e">
        <f>+_xlfn.XLOOKUP(tbl_encuesta[[#This Row],[Considero a Limtek como un buen lugar para trabajar]],#REF!,#REF!)</f>
        <v>#REF!</v>
      </c>
      <c r="Z229" t="s">
        <v>632</v>
      </c>
      <c r="AA229" t="s">
        <v>633</v>
      </c>
      <c r="AB229" t="s">
        <v>567</v>
      </c>
      <c r="AC229" s="3" t="s">
        <v>3845</v>
      </c>
      <c r="AD229" s="3" t="s">
        <v>3846</v>
      </c>
      <c r="AE229" t="s">
        <v>55</v>
      </c>
    </row>
    <row r="230" spans="1:31" x14ac:dyDescent="0.25">
      <c r="A230">
        <v>119032065135</v>
      </c>
      <c r="B230">
        <v>462598545</v>
      </c>
      <c r="C230" s="1">
        <v>46028.860763888886</v>
      </c>
      <c r="D230" s="1">
        <v>46028.866331018522</v>
      </c>
      <c r="E230" t="s">
        <v>634</v>
      </c>
      <c r="F230" t="s">
        <v>23</v>
      </c>
      <c r="G230" t="e">
        <f>+_xlfn.XLOOKUP(tbl_encuesta[[#This Row],[Me siento a gusto con el ambiente de trabajo que se genera en mi equipo.]],#REF!,#REF!)</f>
        <v>#REF!</v>
      </c>
      <c r="H230" t="s">
        <v>22</v>
      </c>
      <c r="I230" t="e">
        <f>+_xlfn.XLOOKUP(tbl_encuesta[[#This Row],[Me siento motivado a dar lo mejor de mí y hacer un buen trabajo]],#REF!,#REF!)</f>
        <v>#REF!</v>
      </c>
      <c r="J230" t="s">
        <v>22</v>
      </c>
      <c r="K230" t="e">
        <f>+_xlfn.XLOOKUP(tbl_encuesta[[#This Row],[Mi supervisor o jefe directo me otorga el soporte que necesito para afrontar cualquier problema que afecte mi trabajo]],#REF!,#REF!)</f>
        <v>#REF!</v>
      </c>
      <c r="L230" t="s">
        <v>22</v>
      </c>
      <c r="M230" t="e">
        <f>+_xlfn.XLOOKUP(tbl_encuesta[[#This Row],[Mi supervisor o jefe directo fomenta que nos apoyemos entre todos en el equipo]],#REF!,#REF!)</f>
        <v>#REF!</v>
      </c>
      <c r="N230" t="s">
        <v>22</v>
      </c>
      <c r="O230" t="e">
        <f>+_xlfn.XLOOKUP(tbl_encuesta[[#This Row],[Siento que mi trabajo es reconocido por mi supervisor o jefe directo.]],#REF!,#REF!)</f>
        <v>#REF!</v>
      </c>
      <c r="P230" t="s">
        <v>67</v>
      </c>
      <c r="Q230" t="e">
        <f xml:space="preserve">
_xlfn.XLOOKUP(
tbl_encuesta[[#This Row],[Mi supervisor o jefe directo nos brinda charlas de 5 minutos y comunica las novedades relevantes a mi puesto de trabajo]],#REF!,#REF!
)</f>
        <v>#REF!</v>
      </c>
      <c r="U230" t="s">
        <v>20</v>
      </c>
      <c r="W230" t="s">
        <v>25</v>
      </c>
      <c r="X230" t="s">
        <v>22</v>
      </c>
      <c r="Y230" t="e">
        <f>+_xlfn.XLOOKUP(tbl_encuesta[[#This Row],[Considero a Limtek como un buen lugar para trabajar]],#REF!,#REF!)</f>
        <v>#REF!</v>
      </c>
      <c r="Z230" t="s">
        <v>635</v>
      </c>
      <c r="AA230" t="s">
        <v>636</v>
      </c>
      <c r="AB230" t="s">
        <v>567</v>
      </c>
      <c r="AC230" s="3" t="s">
        <v>3845</v>
      </c>
      <c r="AD230" s="3" t="s">
        <v>3846</v>
      </c>
      <c r="AE230" t="s">
        <v>61</v>
      </c>
    </row>
    <row r="231" spans="1:31" x14ac:dyDescent="0.25">
      <c r="A231">
        <v>119032051490</v>
      </c>
      <c r="B231">
        <v>462598545</v>
      </c>
      <c r="C231" s="1">
        <v>46028.838182870371</v>
      </c>
      <c r="D231" s="1">
        <v>46028.845000000001</v>
      </c>
      <c r="E231" t="s">
        <v>637</v>
      </c>
      <c r="F231" t="s">
        <v>23</v>
      </c>
      <c r="G231" t="e">
        <f>+_xlfn.XLOOKUP(tbl_encuesta[[#This Row],[Me siento a gusto con el ambiente de trabajo que se genera en mi equipo.]],#REF!,#REF!)</f>
        <v>#REF!</v>
      </c>
      <c r="H231" t="s">
        <v>23</v>
      </c>
      <c r="I231" t="e">
        <f>+_xlfn.XLOOKUP(tbl_encuesta[[#This Row],[Me siento motivado a dar lo mejor de mí y hacer un buen trabajo]],#REF!,#REF!)</f>
        <v>#REF!</v>
      </c>
      <c r="J231" t="s">
        <v>23</v>
      </c>
      <c r="K231" t="e">
        <f>+_xlfn.XLOOKUP(tbl_encuesta[[#This Row],[Mi supervisor o jefe directo me otorga el soporte que necesito para afrontar cualquier problema que afecte mi trabajo]],#REF!,#REF!)</f>
        <v>#REF!</v>
      </c>
      <c r="L231" t="s">
        <v>23</v>
      </c>
      <c r="M231" t="e">
        <f>+_xlfn.XLOOKUP(tbl_encuesta[[#This Row],[Mi supervisor o jefe directo fomenta que nos apoyemos entre todos en el equipo]],#REF!,#REF!)</f>
        <v>#REF!</v>
      </c>
      <c r="N231" t="s">
        <v>23</v>
      </c>
      <c r="O231" t="e">
        <f>+_xlfn.XLOOKUP(tbl_encuesta[[#This Row],[Siento que mi trabajo es reconocido por mi supervisor o jefe directo.]],#REF!,#REF!)</f>
        <v>#REF!</v>
      </c>
      <c r="P231" t="s">
        <v>31</v>
      </c>
      <c r="Q231" t="e">
        <f xml:space="preserve">
_xlfn.XLOOKUP(
tbl_encuesta[[#This Row],[Mi supervisor o jefe directo nos brinda charlas de 5 minutos y comunica las novedades relevantes a mi puesto de trabajo]],#REF!,#REF!
)</f>
        <v>#REF!</v>
      </c>
      <c r="S231" t="s">
        <v>18</v>
      </c>
      <c r="T231" t="s">
        <v>19</v>
      </c>
      <c r="W231" t="s">
        <v>25</v>
      </c>
      <c r="X231" t="s">
        <v>23</v>
      </c>
      <c r="Y231" t="e">
        <f>+_xlfn.XLOOKUP(tbl_encuesta[[#This Row],[Considero a Limtek como un buen lugar para trabajar]],#REF!,#REF!)</f>
        <v>#REF!</v>
      </c>
      <c r="Z231" t="s">
        <v>638</v>
      </c>
      <c r="AA231" t="s">
        <v>639</v>
      </c>
      <c r="AB231" t="s">
        <v>619</v>
      </c>
      <c r="AC231" t="s">
        <v>3744</v>
      </c>
      <c r="AD231" t="s">
        <v>3744</v>
      </c>
      <c r="AE231" t="s">
        <v>69</v>
      </c>
    </row>
    <row r="232" spans="1:31" x14ac:dyDescent="0.25">
      <c r="A232">
        <v>119032034833</v>
      </c>
      <c r="B232">
        <v>462598545</v>
      </c>
      <c r="C232" s="1">
        <v>46028.819374999999</v>
      </c>
      <c r="D232" s="1">
        <v>46028.821076388886</v>
      </c>
      <c r="E232" t="s">
        <v>640</v>
      </c>
      <c r="F232" t="s">
        <v>22</v>
      </c>
      <c r="G232" t="e">
        <f>+_xlfn.XLOOKUP(tbl_encuesta[[#This Row],[Me siento a gusto con el ambiente de trabajo que se genera en mi equipo.]],#REF!,#REF!)</f>
        <v>#REF!</v>
      </c>
      <c r="H232" t="s">
        <v>22</v>
      </c>
      <c r="I232" t="e">
        <f>+_xlfn.XLOOKUP(tbl_encuesta[[#This Row],[Me siento motivado a dar lo mejor de mí y hacer un buen trabajo]],#REF!,#REF!)</f>
        <v>#REF!</v>
      </c>
      <c r="J232" t="s">
        <v>23</v>
      </c>
      <c r="K232" t="e">
        <f>+_xlfn.XLOOKUP(tbl_encuesta[[#This Row],[Mi supervisor o jefe directo me otorga el soporte que necesito para afrontar cualquier problema que afecte mi trabajo]],#REF!,#REF!)</f>
        <v>#REF!</v>
      </c>
      <c r="L232" t="s">
        <v>23</v>
      </c>
      <c r="M232" t="e">
        <f>+_xlfn.XLOOKUP(tbl_encuesta[[#This Row],[Mi supervisor o jefe directo fomenta que nos apoyemos entre todos en el equipo]],#REF!,#REF!)</f>
        <v>#REF!</v>
      </c>
      <c r="N232" t="s">
        <v>22</v>
      </c>
      <c r="O232" t="e">
        <f>+_xlfn.XLOOKUP(tbl_encuesta[[#This Row],[Siento que mi trabajo es reconocido por mi supervisor o jefe directo.]],#REF!,#REF!)</f>
        <v>#REF!</v>
      </c>
      <c r="P232" t="s">
        <v>31</v>
      </c>
      <c r="Q232" t="e">
        <f xml:space="preserve">
_xlfn.XLOOKUP(
tbl_encuesta[[#This Row],[Mi supervisor o jefe directo nos brinda charlas de 5 minutos y comunica las novedades relevantes a mi puesto de trabajo]],#REF!,#REF!
)</f>
        <v>#REF!</v>
      </c>
      <c r="S232" t="s">
        <v>18</v>
      </c>
      <c r="W232" t="s">
        <v>25</v>
      </c>
      <c r="X232" t="s">
        <v>22</v>
      </c>
      <c r="Y232" t="e">
        <f>+_xlfn.XLOOKUP(tbl_encuesta[[#This Row],[Considero a Limtek como un buen lugar para trabajar]],#REF!,#REF!)</f>
        <v>#REF!</v>
      </c>
      <c r="Z232" t="s">
        <v>641</v>
      </c>
      <c r="AA232" t="s">
        <v>122</v>
      </c>
      <c r="AB232" t="s">
        <v>567</v>
      </c>
      <c r="AC232" s="3" t="s">
        <v>3811</v>
      </c>
      <c r="AD232" s="3" t="s">
        <v>3812</v>
      </c>
      <c r="AE232" t="s">
        <v>69</v>
      </c>
    </row>
    <row r="233" spans="1:31" x14ac:dyDescent="0.25">
      <c r="A233">
        <v>119032027388</v>
      </c>
      <c r="B233">
        <v>462598545</v>
      </c>
      <c r="C233" s="1">
        <v>46028.807268518518</v>
      </c>
      <c r="D233" s="1">
        <v>46028.810706018521</v>
      </c>
      <c r="E233" t="s">
        <v>642</v>
      </c>
      <c r="F233" t="s">
        <v>23</v>
      </c>
      <c r="G233" t="e">
        <f>+_xlfn.XLOOKUP(tbl_encuesta[[#This Row],[Me siento a gusto con el ambiente de trabajo que se genera en mi equipo.]],#REF!,#REF!)</f>
        <v>#REF!</v>
      </c>
      <c r="H233" t="s">
        <v>23</v>
      </c>
      <c r="I233" t="e">
        <f>+_xlfn.XLOOKUP(tbl_encuesta[[#This Row],[Me siento motivado a dar lo mejor de mí y hacer un buen trabajo]],#REF!,#REF!)</f>
        <v>#REF!</v>
      </c>
      <c r="J233" t="s">
        <v>23</v>
      </c>
      <c r="K233" t="e">
        <f>+_xlfn.XLOOKUP(tbl_encuesta[[#This Row],[Mi supervisor o jefe directo me otorga el soporte que necesito para afrontar cualquier problema que afecte mi trabajo]],#REF!,#REF!)</f>
        <v>#REF!</v>
      </c>
      <c r="L233" t="s">
        <v>23</v>
      </c>
      <c r="M233" t="e">
        <f>+_xlfn.XLOOKUP(tbl_encuesta[[#This Row],[Mi supervisor o jefe directo fomenta que nos apoyemos entre todos en el equipo]],#REF!,#REF!)</f>
        <v>#REF!</v>
      </c>
      <c r="N233" t="s">
        <v>22</v>
      </c>
      <c r="O233" t="e">
        <f>+_xlfn.XLOOKUP(tbl_encuesta[[#This Row],[Siento que mi trabajo es reconocido por mi supervisor o jefe directo.]],#REF!,#REF!)</f>
        <v>#REF!</v>
      </c>
      <c r="P233" t="s">
        <v>67</v>
      </c>
      <c r="Q233" t="e">
        <f xml:space="preserve">
_xlfn.XLOOKUP(
tbl_encuesta[[#This Row],[Mi supervisor o jefe directo nos brinda charlas de 5 minutos y comunica las novedades relevantes a mi puesto de trabajo]],#REF!,#REF!
)</f>
        <v>#REF!</v>
      </c>
      <c r="R233" t="s">
        <v>17</v>
      </c>
      <c r="S233" t="s">
        <v>18</v>
      </c>
      <c r="W233" t="s">
        <v>25</v>
      </c>
      <c r="X233" t="s">
        <v>23</v>
      </c>
      <c r="Y233" t="e">
        <f>+_xlfn.XLOOKUP(tbl_encuesta[[#This Row],[Considero a Limtek como un buen lugar para trabajar]],#REF!,#REF!)</f>
        <v>#REF!</v>
      </c>
      <c r="Z233" t="s">
        <v>643</v>
      </c>
      <c r="AA233" t="s">
        <v>644</v>
      </c>
      <c r="AB233" t="s">
        <v>567</v>
      </c>
      <c r="AC233" s="3" t="s">
        <v>3845</v>
      </c>
      <c r="AD233" s="3" t="s">
        <v>3846</v>
      </c>
      <c r="AE233" t="s">
        <v>34</v>
      </c>
    </row>
    <row r="234" spans="1:31" x14ac:dyDescent="0.25">
      <c r="A234">
        <v>119032023322</v>
      </c>
      <c r="B234">
        <v>462598545</v>
      </c>
      <c r="C234" s="1">
        <v>46028.804328703707</v>
      </c>
      <c r="D234" s="1">
        <v>46028.805428240739</v>
      </c>
      <c r="E234" t="s">
        <v>645</v>
      </c>
      <c r="F234" t="s">
        <v>22</v>
      </c>
      <c r="G234" t="e">
        <f>+_xlfn.XLOOKUP(tbl_encuesta[[#This Row],[Me siento a gusto con el ambiente de trabajo que se genera en mi equipo.]],#REF!,#REF!)</f>
        <v>#REF!</v>
      </c>
      <c r="H234" t="s">
        <v>23</v>
      </c>
      <c r="I234" t="e">
        <f>+_xlfn.XLOOKUP(tbl_encuesta[[#This Row],[Me siento motivado a dar lo mejor de mí y hacer un buen trabajo]],#REF!,#REF!)</f>
        <v>#REF!</v>
      </c>
      <c r="J234" t="s">
        <v>22</v>
      </c>
      <c r="K234" t="e">
        <f>+_xlfn.XLOOKUP(tbl_encuesta[[#This Row],[Mi supervisor o jefe directo me otorga el soporte que necesito para afrontar cualquier problema que afecte mi trabajo]],#REF!,#REF!)</f>
        <v>#REF!</v>
      </c>
      <c r="L234" t="s">
        <v>22</v>
      </c>
      <c r="M234" t="e">
        <f>+_xlfn.XLOOKUP(tbl_encuesta[[#This Row],[Mi supervisor o jefe directo fomenta que nos apoyemos entre todos en el equipo]],#REF!,#REF!)</f>
        <v>#REF!</v>
      </c>
      <c r="N234" t="s">
        <v>22</v>
      </c>
      <c r="O234" t="e">
        <f>+_xlfn.XLOOKUP(tbl_encuesta[[#This Row],[Siento que mi trabajo es reconocido por mi supervisor o jefe directo.]],#REF!,#REF!)</f>
        <v>#REF!</v>
      </c>
      <c r="P234" t="s">
        <v>67</v>
      </c>
      <c r="Q234" t="e">
        <f xml:space="preserve">
_xlfn.XLOOKUP(
tbl_encuesta[[#This Row],[Mi supervisor o jefe directo nos brinda charlas de 5 minutos y comunica las novedades relevantes a mi puesto de trabajo]],#REF!,#REF!
)</f>
        <v>#REF!</v>
      </c>
      <c r="R234" t="s">
        <v>17</v>
      </c>
      <c r="S234" t="s">
        <v>18</v>
      </c>
      <c r="W234" t="s">
        <v>25</v>
      </c>
      <c r="X234" t="s">
        <v>23</v>
      </c>
      <c r="Y234" t="e">
        <f>+_xlfn.XLOOKUP(tbl_encuesta[[#This Row],[Considero a Limtek como un buen lugar para trabajar]],#REF!,#REF!)</f>
        <v>#REF!</v>
      </c>
      <c r="Z234" t="s">
        <v>646</v>
      </c>
      <c r="AA234" t="s">
        <v>647</v>
      </c>
      <c r="AB234" t="s">
        <v>567</v>
      </c>
      <c r="AC234" s="3" t="s">
        <v>3845</v>
      </c>
      <c r="AD234" s="3" t="s">
        <v>3846</v>
      </c>
      <c r="AE234" t="s">
        <v>69</v>
      </c>
    </row>
    <row r="235" spans="1:31" x14ac:dyDescent="0.25">
      <c r="A235">
        <v>119032002654</v>
      </c>
      <c r="B235">
        <v>462598545</v>
      </c>
      <c r="C235" s="1">
        <v>46028.773738425924</v>
      </c>
      <c r="D235" s="1">
        <v>46028.777673611112</v>
      </c>
      <c r="E235" t="s">
        <v>648</v>
      </c>
      <c r="F235" t="s">
        <v>23</v>
      </c>
      <c r="G235" t="e">
        <f>+_xlfn.XLOOKUP(tbl_encuesta[[#This Row],[Me siento a gusto con el ambiente de trabajo que se genera en mi equipo.]],#REF!,#REF!)</f>
        <v>#REF!</v>
      </c>
      <c r="H235" t="s">
        <v>23</v>
      </c>
      <c r="I235" t="e">
        <f>+_xlfn.XLOOKUP(tbl_encuesta[[#This Row],[Me siento motivado a dar lo mejor de mí y hacer un buen trabajo]],#REF!,#REF!)</f>
        <v>#REF!</v>
      </c>
      <c r="J235" t="s">
        <v>23</v>
      </c>
      <c r="K235" t="e">
        <f>+_xlfn.XLOOKUP(tbl_encuesta[[#This Row],[Mi supervisor o jefe directo me otorga el soporte que necesito para afrontar cualquier problema que afecte mi trabajo]],#REF!,#REF!)</f>
        <v>#REF!</v>
      </c>
      <c r="L235" t="s">
        <v>23</v>
      </c>
      <c r="M235" t="e">
        <f>+_xlfn.XLOOKUP(tbl_encuesta[[#This Row],[Mi supervisor o jefe directo fomenta que nos apoyemos entre todos en el equipo]],#REF!,#REF!)</f>
        <v>#REF!</v>
      </c>
      <c r="N235" t="s">
        <v>23</v>
      </c>
      <c r="O235" t="e">
        <f>+_xlfn.XLOOKUP(tbl_encuesta[[#This Row],[Siento que mi trabajo es reconocido por mi supervisor o jefe directo.]],#REF!,#REF!)</f>
        <v>#REF!</v>
      </c>
      <c r="P235" t="s">
        <v>31</v>
      </c>
      <c r="Q235" t="e">
        <f xml:space="preserve">
_xlfn.XLOOKUP(
tbl_encuesta[[#This Row],[Mi supervisor o jefe directo nos brinda charlas de 5 minutos y comunica las novedades relevantes a mi puesto de trabajo]],#REF!,#REF!
)</f>
        <v>#REF!</v>
      </c>
      <c r="R235" t="s">
        <v>17</v>
      </c>
      <c r="U235" t="s">
        <v>20</v>
      </c>
      <c r="W235" t="s">
        <v>25</v>
      </c>
      <c r="X235" t="s">
        <v>23</v>
      </c>
      <c r="Y235" t="e">
        <f>+_xlfn.XLOOKUP(tbl_encuesta[[#This Row],[Considero a Limtek como un buen lugar para trabajar]],#REF!,#REF!)</f>
        <v>#REF!</v>
      </c>
      <c r="Z235" t="s">
        <v>649</v>
      </c>
      <c r="AA235" t="s">
        <v>650</v>
      </c>
      <c r="AB235" t="s">
        <v>567</v>
      </c>
      <c r="AC235" s="3" t="s">
        <v>3845</v>
      </c>
      <c r="AD235" s="3" t="s">
        <v>3846</v>
      </c>
      <c r="AE235" t="s">
        <v>61</v>
      </c>
    </row>
    <row r="236" spans="1:31" x14ac:dyDescent="0.25">
      <c r="A236">
        <v>119031996827</v>
      </c>
      <c r="B236">
        <v>462598545</v>
      </c>
      <c r="C236" s="1">
        <v>46028.7653125</v>
      </c>
      <c r="D236" s="1">
        <v>46028.767835648148</v>
      </c>
      <c r="E236" t="s">
        <v>651</v>
      </c>
      <c r="F236" t="s">
        <v>23</v>
      </c>
      <c r="G236" t="e">
        <f>+_xlfn.XLOOKUP(tbl_encuesta[[#This Row],[Me siento a gusto con el ambiente de trabajo que se genera en mi equipo.]],#REF!,#REF!)</f>
        <v>#REF!</v>
      </c>
      <c r="H236" t="s">
        <v>23</v>
      </c>
      <c r="I236" t="e">
        <f>+_xlfn.XLOOKUP(tbl_encuesta[[#This Row],[Me siento motivado a dar lo mejor de mí y hacer un buen trabajo]],#REF!,#REF!)</f>
        <v>#REF!</v>
      </c>
      <c r="J236" t="s">
        <v>23</v>
      </c>
      <c r="K236" t="e">
        <f>+_xlfn.XLOOKUP(tbl_encuesta[[#This Row],[Mi supervisor o jefe directo me otorga el soporte que necesito para afrontar cualquier problema que afecte mi trabajo]],#REF!,#REF!)</f>
        <v>#REF!</v>
      </c>
      <c r="L236" t="s">
        <v>23</v>
      </c>
      <c r="M236" t="e">
        <f>+_xlfn.XLOOKUP(tbl_encuesta[[#This Row],[Mi supervisor o jefe directo fomenta que nos apoyemos entre todos en el equipo]],#REF!,#REF!)</f>
        <v>#REF!</v>
      </c>
      <c r="N236" t="s">
        <v>23</v>
      </c>
      <c r="O236" t="e">
        <f>+_xlfn.XLOOKUP(tbl_encuesta[[#This Row],[Siento que mi trabajo es reconocido por mi supervisor o jefe directo.]],#REF!,#REF!)</f>
        <v>#REF!</v>
      </c>
      <c r="P236" t="s">
        <v>31</v>
      </c>
      <c r="Q236" t="e">
        <f xml:space="preserve">
_xlfn.XLOOKUP(
tbl_encuesta[[#This Row],[Mi supervisor o jefe directo nos brinda charlas de 5 minutos y comunica las novedades relevantes a mi puesto de trabajo]],#REF!,#REF!
)</f>
        <v>#REF!</v>
      </c>
      <c r="R236" t="s">
        <v>17</v>
      </c>
      <c r="S236" t="s">
        <v>18</v>
      </c>
      <c r="W236" t="s">
        <v>25</v>
      </c>
      <c r="X236" t="s">
        <v>23</v>
      </c>
      <c r="Y236" t="e">
        <f>+_xlfn.XLOOKUP(tbl_encuesta[[#This Row],[Considero a Limtek como un buen lugar para trabajar]],#REF!,#REF!)</f>
        <v>#REF!</v>
      </c>
      <c r="Z236" t="s">
        <v>652</v>
      </c>
      <c r="AA236" t="s">
        <v>653</v>
      </c>
      <c r="AB236" t="s">
        <v>559</v>
      </c>
      <c r="AC236" s="3" t="s">
        <v>3794</v>
      </c>
      <c r="AD236" s="3" t="s">
        <v>3794</v>
      </c>
      <c r="AE236" t="s">
        <v>34</v>
      </c>
    </row>
    <row r="237" spans="1:31" x14ac:dyDescent="0.25">
      <c r="A237">
        <v>119031996822</v>
      </c>
      <c r="B237">
        <v>462598545</v>
      </c>
      <c r="C237" s="1">
        <v>46028.760555555556</v>
      </c>
      <c r="D237" s="1">
        <v>46028.767824074072</v>
      </c>
      <c r="E237" t="s">
        <v>654</v>
      </c>
      <c r="F237" t="s">
        <v>22</v>
      </c>
      <c r="G237" t="e">
        <f>+_xlfn.XLOOKUP(tbl_encuesta[[#This Row],[Me siento a gusto con el ambiente de trabajo que se genera en mi equipo.]],#REF!,#REF!)</f>
        <v>#REF!</v>
      </c>
      <c r="H237" t="s">
        <v>23</v>
      </c>
      <c r="I237" t="e">
        <f>+_xlfn.XLOOKUP(tbl_encuesta[[#This Row],[Me siento motivado a dar lo mejor de mí y hacer un buen trabajo]],#REF!,#REF!)</f>
        <v>#REF!</v>
      </c>
      <c r="J237" t="s">
        <v>23</v>
      </c>
      <c r="K237" t="e">
        <f>+_xlfn.XLOOKUP(tbl_encuesta[[#This Row],[Mi supervisor o jefe directo me otorga el soporte que necesito para afrontar cualquier problema que afecte mi trabajo]],#REF!,#REF!)</f>
        <v>#REF!</v>
      </c>
      <c r="L237" t="s">
        <v>23</v>
      </c>
      <c r="M237" t="e">
        <f>+_xlfn.XLOOKUP(tbl_encuesta[[#This Row],[Mi supervisor o jefe directo fomenta que nos apoyemos entre todos en el equipo]],#REF!,#REF!)</f>
        <v>#REF!</v>
      </c>
      <c r="N237" t="s">
        <v>23</v>
      </c>
      <c r="O237" t="e">
        <f>+_xlfn.XLOOKUP(tbl_encuesta[[#This Row],[Siento que mi trabajo es reconocido por mi supervisor o jefe directo.]],#REF!,#REF!)</f>
        <v>#REF!</v>
      </c>
      <c r="P237" t="s">
        <v>31</v>
      </c>
      <c r="Q237" t="e">
        <f xml:space="preserve">
_xlfn.XLOOKUP(
tbl_encuesta[[#This Row],[Mi supervisor o jefe directo nos brinda charlas de 5 minutos y comunica las novedades relevantes a mi puesto de trabajo]],#REF!,#REF!
)</f>
        <v>#REF!</v>
      </c>
      <c r="R237" t="s">
        <v>17</v>
      </c>
      <c r="S237" t="s">
        <v>18</v>
      </c>
      <c r="W237" t="s">
        <v>25</v>
      </c>
      <c r="X237" t="s">
        <v>23</v>
      </c>
      <c r="Y237" t="e">
        <f>+_xlfn.XLOOKUP(tbl_encuesta[[#This Row],[Considero a Limtek como un buen lugar para trabajar]],#REF!,#REF!)</f>
        <v>#REF!</v>
      </c>
      <c r="Z237" t="s">
        <v>655</v>
      </c>
      <c r="AA237" t="s">
        <v>656</v>
      </c>
      <c r="AB237" t="s">
        <v>559</v>
      </c>
      <c r="AC237" s="3" t="s">
        <v>3794</v>
      </c>
      <c r="AD237" s="3" t="s">
        <v>3794</v>
      </c>
      <c r="AE237" t="s">
        <v>34</v>
      </c>
    </row>
    <row r="238" spans="1:31" x14ac:dyDescent="0.25">
      <c r="A238">
        <v>119031992160</v>
      </c>
      <c r="B238">
        <v>462598545</v>
      </c>
      <c r="C238" s="1">
        <v>46028.758599537039</v>
      </c>
      <c r="D238" s="1">
        <v>46028.760393518518</v>
      </c>
      <c r="E238" t="s">
        <v>657</v>
      </c>
      <c r="F238" t="s">
        <v>23</v>
      </c>
      <c r="G238" t="e">
        <f>+_xlfn.XLOOKUP(tbl_encuesta[[#This Row],[Me siento a gusto con el ambiente de trabajo que se genera en mi equipo.]],#REF!,#REF!)</f>
        <v>#REF!</v>
      </c>
      <c r="H238" t="s">
        <v>23</v>
      </c>
      <c r="I238" t="e">
        <f>+_xlfn.XLOOKUP(tbl_encuesta[[#This Row],[Me siento motivado a dar lo mejor de mí y hacer un buen trabajo]],#REF!,#REF!)</f>
        <v>#REF!</v>
      </c>
      <c r="J238" t="s">
        <v>22</v>
      </c>
      <c r="K238" t="e">
        <f>+_xlfn.XLOOKUP(tbl_encuesta[[#This Row],[Mi supervisor o jefe directo me otorga el soporte que necesito para afrontar cualquier problema que afecte mi trabajo]],#REF!,#REF!)</f>
        <v>#REF!</v>
      </c>
      <c r="L238" t="s">
        <v>23</v>
      </c>
      <c r="M238" t="e">
        <f>+_xlfn.XLOOKUP(tbl_encuesta[[#This Row],[Mi supervisor o jefe directo fomenta que nos apoyemos entre todos en el equipo]],#REF!,#REF!)</f>
        <v>#REF!</v>
      </c>
      <c r="N238" t="s">
        <v>22</v>
      </c>
      <c r="O238" t="e">
        <f>+_xlfn.XLOOKUP(tbl_encuesta[[#This Row],[Siento que mi trabajo es reconocido por mi supervisor o jefe directo.]],#REF!,#REF!)</f>
        <v>#REF!</v>
      </c>
      <c r="P238" t="s">
        <v>67</v>
      </c>
      <c r="Q238" t="e">
        <f xml:space="preserve">
_xlfn.XLOOKUP(
tbl_encuesta[[#This Row],[Mi supervisor o jefe directo nos brinda charlas de 5 minutos y comunica las novedades relevantes a mi puesto de trabajo]],#REF!,#REF!
)</f>
        <v>#REF!</v>
      </c>
      <c r="R238" t="s">
        <v>17</v>
      </c>
      <c r="T238" t="s">
        <v>19</v>
      </c>
      <c r="W238" t="s">
        <v>25</v>
      </c>
      <c r="X238" t="s">
        <v>23</v>
      </c>
      <c r="Y238" t="e">
        <f>+_xlfn.XLOOKUP(tbl_encuesta[[#This Row],[Considero a Limtek como un buen lugar para trabajar]],#REF!,#REF!)</f>
        <v>#REF!</v>
      </c>
      <c r="Z238" t="s">
        <v>658</v>
      </c>
      <c r="AA238" t="s">
        <v>659</v>
      </c>
      <c r="AB238" t="s">
        <v>28</v>
      </c>
      <c r="AC238" s="3" t="s">
        <v>3811</v>
      </c>
      <c r="AD238" s="3" t="s">
        <v>3812</v>
      </c>
      <c r="AE238" t="s">
        <v>29</v>
      </c>
    </row>
    <row r="239" spans="1:31" x14ac:dyDescent="0.25">
      <c r="A239">
        <v>119031990409</v>
      </c>
      <c r="B239">
        <v>462598545</v>
      </c>
      <c r="C239" s="1">
        <v>46028.744166666664</v>
      </c>
      <c r="D239" s="1">
        <v>46028.757604166669</v>
      </c>
      <c r="E239" t="s">
        <v>660</v>
      </c>
      <c r="F239" t="s">
        <v>23</v>
      </c>
      <c r="G239" t="e">
        <f>+_xlfn.XLOOKUP(tbl_encuesta[[#This Row],[Me siento a gusto con el ambiente de trabajo que se genera en mi equipo.]],#REF!,#REF!)</f>
        <v>#REF!</v>
      </c>
      <c r="H239" t="s">
        <v>23</v>
      </c>
      <c r="I239" t="e">
        <f>+_xlfn.XLOOKUP(tbl_encuesta[[#This Row],[Me siento motivado a dar lo mejor de mí y hacer un buen trabajo]],#REF!,#REF!)</f>
        <v>#REF!</v>
      </c>
      <c r="J239" t="s">
        <v>43</v>
      </c>
      <c r="K239" t="e">
        <f>+_xlfn.XLOOKUP(tbl_encuesta[[#This Row],[Mi supervisor o jefe directo me otorga el soporte que necesito para afrontar cualquier problema que afecte mi trabajo]],#REF!,#REF!)</f>
        <v>#REF!</v>
      </c>
      <c r="L239" t="s">
        <v>23</v>
      </c>
      <c r="M239" t="e">
        <f>+_xlfn.XLOOKUP(tbl_encuesta[[#This Row],[Mi supervisor o jefe directo fomenta que nos apoyemos entre todos en el equipo]],#REF!,#REF!)</f>
        <v>#REF!</v>
      </c>
      <c r="N239" t="s">
        <v>22</v>
      </c>
      <c r="O239" t="e">
        <f>+_xlfn.XLOOKUP(tbl_encuesta[[#This Row],[Siento que mi trabajo es reconocido por mi supervisor o jefe directo.]],#REF!,#REF!)</f>
        <v>#REF!</v>
      </c>
      <c r="P239" t="s">
        <v>67</v>
      </c>
      <c r="Q239" t="e">
        <f xml:space="preserve">
_xlfn.XLOOKUP(
tbl_encuesta[[#This Row],[Mi supervisor o jefe directo nos brinda charlas de 5 minutos y comunica las novedades relevantes a mi puesto de trabajo]],#REF!,#REF!
)</f>
        <v>#REF!</v>
      </c>
      <c r="R239" t="s">
        <v>17</v>
      </c>
      <c r="W239" t="s">
        <v>25</v>
      </c>
      <c r="X239" t="s">
        <v>23</v>
      </c>
      <c r="Y239" t="e">
        <f>+_xlfn.XLOOKUP(tbl_encuesta[[#This Row],[Considero a Limtek como un buen lugar para trabajar]],#REF!,#REF!)</f>
        <v>#REF!</v>
      </c>
      <c r="Z239" t="s">
        <v>661</v>
      </c>
      <c r="AA239" t="s">
        <v>662</v>
      </c>
      <c r="AB239" t="s">
        <v>28</v>
      </c>
      <c r="AC239" s="3" t="s">
        <v>3811</v>
      </c>
      <c r="AD239" s="3" t="s">
        <v>3812</v>
      </c>
      <c r="AE239" t="s">
        <v>29</v>
      </c>
    </row>
    <row r="240" spans="1:31" x14ac:dyDescent="0.25">
      <c r="A240">
        <v>119031989571</v>
      </c>
      <c r="B240">
        <v>462598545</v>
      </c>
      <c r="C240" s="1">
        <v>46028.752685185187</v>
      </c>
      <c r="D240" s="1">
        <v>46028.756249999999</v>
      </c>
      <c r="E240" t="s">
        <v>554</v>
      </c>
      <c r="F240" t="s">
        <v>23</v>
      </c>
      <c r="G240" t="e">
        <f>+_xlfn.XLOOKUP(tbl_encuesta[[#This Row],[Me siento a gusto con el ambiente de trabajo que se genera en mi equipo.]],#REF!,#REF!)</f>
        <v>#REF!</v>
      </c>
      <c r="H240" t="s">
        <v>23</v>
      </c>
      <c r="I240" t="e">
        <f>+_xlfn.XLOOKUP(tbl_encuesta[[#This Row],[Me siento motivado a dar lo mejor de mí y hacer un buen trabajo]],#REF!,#REF!)</f>
        <v>#REF!</v>
      </c>
      <c r="J240" t="s">
        <v>23</v>
      </c>
      <c r="K240" t="e">
        <f>+_xlfn.XLOOKUP(tbl_encuesta[[#This Row],[Mi supervisor o jefe directo me otorga el soporte que necesito para afrontar cualquier problema que afecte mi trabajo]],#REF!,#REF!)</f>
        <v>#REF!</v>
      </c>
      <c r="L240" t="s">
        <v>23</v>
      </c>
      <c r="M240" t="e">
        <f>+_xlfn.XLOOKUP(tbl_encuesta[[#This Row],[Mi supervisor o jefe directo fomenta que nos apoyemos entre todos en el equipo]],#REF!,#REF!)</f>
        <v>#REF!</v>
      </c>
      <c r="N240" t="s">
        <v>23</v>
      </c>
      <c r="O240" t="e">
        <f>+_xlfn.XLOOKUP(tbl_encuesta[[#This Row],[Siento que mi trabajo es reconocido por mi supervisor o jefe directo.]],#REF!,#REF!)</f>
        <v>#REF!</v>
      </c>
      <c r="P240" t="s">
        <v>31</v>
      </c>
      <c r="Q240" t="e">
        <f xml:space="preserve">
_xlfn.XLOOKUP(
tbl_encuesta[[#This Row],[Mi supervisor o jefe directo nos brinda charlas de 5 minutos y comunica las novedades relevantes a mi puesto de trabajo]],#REF!,#REF!
)</f>
        <v>#REF!</v>
      </c>
      <c r="R240" t="s">
        <v>17</v>
      </c>
      <c r="T240" t="s">
        <v>19</v>
      </c>
      <c r="W240" t="s">
        <v>25</v>
      </c>
      <c r="X240" t="s">
        <v>23</v>
      </c>
      <c r="Y240" t="e">
        <f>+_xlfn.XLOOKUP(tbl_encuesta[[#This Row],[Considero a Limtek como un buen lugar para trabajar]],#REF!,#REF!)</f>
        <v>#REF!</v>
      </c>
      <c r="Z240" t="s">
        <v>663</v>
      </c>
      <c r="AA240" t="s">
        <v>664</v>
      </c>
      <c r="AB240" t="s">
        <v>553</v>
      </c>
      <c r="AC240" s="3" t="s">
        <v>3769</v>
      </c>
      <c r="AD240" s="3" t="s">
        <v>3769</v>
      </c>
      <c r="AE240" t="s">
        <v>61</v>
      </c>
    </row>
    <row r="241" spans="1:31" x14ac:dyDescent="0.25">
      <c r="A241">
        <v>119031986837</v>
      </c>
      <c r="B241">
        <v>462598545</v>
      </c>
      <c r="C241" s="1">
        <v>46028.748807870368</v>
      </c>
      <c r="D241" s="1">
        <v>46028.751875000002</v>
      </c>
      <c r="E241" t="s">
        <v>554</v>
      </c>
      <c r="F241" t="s">
        <v>23</v>
      </c>
      <c r="G241" t="e">
        <f>+_xlfn.XLOOKUP(tbl_encuesta[[#This Row],[Me siento a gusto con el ambiente de trabajo que se genera en mi equipo.]],#REF!,#REF!)</f>
        <v>#REF!</v>
      </c>
      <c r="H241" t="s">
        <v>23</v>
      </c>
      <c r="I241" t="e">
        <f>+_xlfn.XLOOKUP(tbl_encuesta[[#This Row],[Me siento motivado a dar lo mejor de mí y hacer un buen trabajo]],#REF!,#REF!)</f>
        <v>#REF!</v>
      </c>
      <c r="J241" t="s">
        <v>23</v>
      </c>
      <c r="K241" t="e">
        <f>+_xlfn.XLOOKUP(tbl_encuesta[[#This Row],[Mi supervisor o jefe directo me otorga el soporte que necesito para afrontar cualquier problema que afecte mi trabajo]],#REF!,#REF!)</f>
        <v>#REF!</v>
      </c>
      <c r="L241" t="s">
        <v>23</v>
      </c>
      <c r="M241" t="e">
        <f>+_xlfn.XLOOKUP(tbl_encuesta[[#This Row],[Mi supervisor o jefe directo fomenta que nos apoyemos entre todos en el equipo]],#REF!,#REF!)</f>
        <v>#REF!</v>
      </c>
      <c r="N241" t="s">
        <v>23</v>
      </c>
      <c r="O241" t="e">
        <f>+_xlfn.XLOOKUP(tbl_encuesta[[#This Row],[Siento que mi trabajo es reconocido por mi supervisor o jefe directo.]],#REF!,#REF!)</f>
        <v>#REF!</v>
      </c>
      <c r="P241" t="s">
        <v>31</v>
      </c>
      <c r="Q241" t="e">
        <f xml:space="preserve">
_xlfn.XLOOKUP(
tbl_encuesta[[#This Row],[Mi supervisor o jefe directo nos brinda charlas de 5 minutos y comunica las novedades relevantes a mi puesto de trabajo]],#REF!,#REF!
)</f>
        <v>#REF!</v>
      </c>
      <c r="U241" t="s">
        <v>20</v>
      </c>
      <c r="W241" t="s">
        <v>25</v>
      </c>
      <c r="X241" t="s">
        <v>23</v>
      </c>
      <c r="Y241" t="e">
        <f>+_xlfn.XLOOKUP(tbl_encuesta[[#This Row],[Considero a Limtek como un buen lugar para trabajar]],#REF!,#REF!)</f>
        <v>#REF!</v>
      </c>
      <c r="Z241" t="s">
        <v>555</v>
      </c>
      <c r="AA241" t="s">
        <v>665</v>
      </c>
      <c r="AB241" t="s">
        <v>553</v>
      </c>
      <c r="AC241" s="3" t="s">
        <v>3769</v>
      </c>
      <c r="AD241" s="3" t="s">
        <v>553</v>
      </c>
      <c r="AE241" t="s">
        <v>61</v>
      </c>
    </row>
    <row r="242" spans="1:31" x14ac:dyDescent="0.25">
      <c r="A242">
        <v>119031984098</v>
      </c>
      <c r="B242">
        <v>462598545</v>
      </c>
      <c r="C242" s="1">
        <v>46028.745057870372</v>
      </c>
      <c r="D242" s="1">
        <v>46028.74763888889</v>
      </c>
      <c r="E242" t="s">
        <v>666</v>
      </c>
      <c r="F242" t="s">
        <v>23</v>
      </c>
      <c r="G242" t="e">
        <f>+_xlfn.XLOOKUP(tbl_encuesta[[#This Row],[Me siento a gusto con el ambiente de trabajo que se genera en mi equipo.]],#REF!,#REF!)</f>
        <v>#REF!</v>
      </c>
      <c r="H242" t="s">
        <v>23</v>
      </c>
      <c r="I242" t="e">
        <f>+_xlfn.XLOOKUP(tbl_encuesta[[#This Row],[Me siento motivado a dar lo mejor de mí y hacer un buen trabajo]],#REF!,#REF!)</f>
        <v>#REF!</v>
      </c>
      <c r="J242" t="s">
        <v>23</v>
      </c>
      <c r="K242" t="e">
        <f>+_xlfn.XLOOKUP(tbl_encuesta[[#This Row],[Mi supervisor o jefe directo me otorga el soporte que necesito para afrontar cualquier problema que afecte mi trabajo]],#REF!,#REF!)</f>
        <v>#REF!</v>
      </c>
      <c r="L242" t="s">
        <v>23</v>
      </c>
      <c r="M242" t="e">
        <f>+_xlfn.XLOOKUP(tbl_encuesta[[#This Row],[Mi supervisor o jefe directo fomenta que nos apoyemos entre todos en el equipo]],#REF!,#REF!)</f>
        <v>#REF!</v>
      </c>
      <c r="N242" t="s">
        <v>23</v>
      </c>
      <c r="O242" t="e">
        <f>+_xlfn.XLOOKUP(tbl_encuesta[[#This Row],[Siento que mi trabajo es reconocido por mi supervisor o jefe directo.]],#REF!,#REF!)</f>
        <v>#REF!</v>
      </c>
      <c r="P242" t="s">
        <v>67</v>
      </c>
      <c r="Q242" t="e">
        <f xml:space="preserve">
_xlfn.XLOOKUP(
tbl_encuesta[[#This Row],[Mi supervisor o jefe directo nos brinda charlas de 5 minutos y comunica las novedades relevantes a mi puesto de trabajo]],#REF!,#REF!
)</f>
        <v>#REF!</v>
      </c>
      <c r="R242" t="s">
        <v>17</v>
      </c>
      <c r="W242" t="s">
        <v>25</v>
      </c>
      <c r="X242" t="s">
        <v>23</v>
      </c>
      <c r="Y242" t="e">
        <f>+_xlfn.XLOOKUP(tbl_encuesta[[#This Row],[Considero a Limtek como un buen lugar para trabajar]],#REF!,#REF!)</f>
        <v>#REF!</v>
      </c>
      <c r="Z242" t="s">
        <v>667</v>
      </c>
      <c r="AA242" t="s">
        <v>668</v>
      </c>
      <c r="AB242" t="s">
        <v>567</v>
      </c>
      <c r="AC242" s="3" t="s">
        <v>3758</v>
      </c>
      <c r="AD242" s="3" t="s">
        <v>3758</v>
      </c>
      <c r="AE242" t="s">
        <v>29</v>
      </c>
    </row>
    <row r="243" spans="1:31" x14ac:dyDescent="0.25">
      <c r="A243">
        <v>119031979378</v>
      </c>
      <c r="B243">
        <v>462598545</v>
      </c>
      <c r="C243" s="1">
        <v>46028.738807870373</v>
      </c>
      <c r="D243" s="1">
        <v>46028.74082175926</v>
      </c>
      <c r="E243" t="s">
        <v>669</v>
      </c>
      <c r="F243" t="s">
        <v>22</v>
      </c>
      <c r="G243" t="e">
        <f>+_xlfn.XLOOKUP(tbl_encuesta[[#This Row],[Me siento a gusto con el ambiente de trabajo que se genera en mi equipo.]],#REF!,#REF!)</f>
        <v>#REF!</v>
      </c>
      <c r="H243" t="s">
        <v>23</v>
      </c>
      <c r="I243" t="e">
        <f>+_xlfn.XLOOKUP(tbl_encuesta[[#This Row],[Me siento motivado a dar lo mejor de mí y hacer un buen trabajo]],#REF!,#REF!)</f>
        <v>#REF!</v>
      </c>
      <c r="J243" t="s">
        <v>23</v>
      </c>
      <c r="K243" t="e">
        <f>+_xlfn.XLOOKUP(tbl_encuesta[[#This Row],[Mi supervisor o jefe directo me otorga el soporte que necesito para afrontar cualquier problema que afecte mi trabajo]],#REF!,#REF!)</f>
        <v>#REF!</v>
      </c>
      <c r="L243" t="s">
        <v>23</v>
      </c>
      <c r="M243" t="e">
        <f>+_xlfn.XLOOKUP(tbl_encuesta[[#This Row],[Mi supervisor o jefe directo fomenta que nos apoyemos entre todos en el equipo]],#REF!,#REF!)</f>
        <v>#REF!</v>
      </c>
      <c r="N243" t="s">
        <v>23</v>
      </c>
      <c r="O243" t="e">
        <f>+_xlfn.XLOOKUP(tbl_encuesta[[#This Row],[Siento que mi trabajo es reconocido por mi supervisor o jefe directo.]],#REF!,#REF!)</f>
        <v>#REF!</v>
      </c>
      <c r="P243" t="s">
        <v>67</v>
      </c>
      <c r="Q243" t="e">
        <f xml:space="preserve">
_xlfn.XLOOKUP(
tbl_encuesta[[#This Row],[Mi supervisor o jefe directo nos brinda charlas de 5 minutos y comunica las novedades relevantes a mi puesto de trabajo]],#REF!,#REF!
)</f>
        <v>#REF!</v>
      </c>
      <c r="R243" t="s">
        <v>17</v>
      </c>
      <c r="U243" t="s">
        <v>20</v>
      </c>
      <c r="W243" t="s">
        <v>25</v>
      </c>
      <c r="X243" t="s">
        <v>23</v>
      </c>
      <c r="Y243" t="e">
        <f>+_xlfn.XLOOKUP(tbl_encuesta[[#This Row],[Considero a Limtek como un buen lugar para trabajar]],#REF!,#REF!)</f>
        <v>#REF!</v>
      </c>
      <c r="Z243" t="s">
        <v>670</v>
      </c>
      <c r="AA243" t="s">
        <v>671</v>
      </c>
      <c r="AB243" t="s">
        <v>567</v>
      </c>
      <c r="AC243" s="3" t="s">
        <v>3845</v>
      </c>
      <c r="AD243" s="3" t="s">
        <v>3846</v>
      </c>
      <c r="AE243" t="s">
        <v>55</v>
      </c>
    </row>
    <row r="244" spans="1:31" x14ac:dyDescent="0.25">
      <c r="A244">
        <v>119031976012</v>
      </c>
      <c r="B244">
        <v>462598545</v>
      </c>
      <c r="C244" s="1">
        <v>46028.734270833331</v>
      </c>
      <c r="D244" s="1">
        <v>46028.735844907409</v>
      </c>
      <c r="E244" t="s">
        <v>672</v>
      </c>
      <c r="F244" t="s">
        <v>23</v>
      </c>
      <c r="G244" t="e">
        <f>+_xlfn.XLOOKUP(tbl_encuesta[[#This Row],[Me siento a gusto con el ambiente de trabajo que se genera en mi equipo.]],#REF!,#REF!)</f>
        <v>#REF!</v>
      </c>
      <c r="H244" t="s">
        <v>23</v>
      </c>
      <c r="I244" t="e">
        <f>+_xlfn.XLOOKUP(tbl_encuesta[[#This Row],[Me siento motivado a dar lo mejor de mí y hacer un buen trabajo]],#REF!,#REF!)</f>
        <v>#REF!</v>
      </c>
      <c r="J244" t="s">
        <v>23</v>
      </c>
      <c r="K244" t="e">
        <f>+_xlfn.XLOOKUP(tbl_encuesta[[#This Row],[Mi supervisor o jefe directo me otorga el soporte que necesito para afrontar cualquier problema que afecte mi trabajo]],#REF!,#REF!)</f>
        <v>#REF!</v>
      </c>
      <c r="L244" t="s">
        <v>23</v>
      </c>
      <c r="M244" t="e">
        <f>+_xlfn.XLOOKUP(tbl_encuesta[[#This Row],[Mi supervisor o jefe directo fomenta que nos apoyemos entre todos en el equipo]],#REF!,#REF!)</f>
        <v>#REF!</v>
      </c>
      <c r="N244" t="s">
        <v>23</v>
      </c>
      <c r="O244" t="e">
        <f>+_xlfn.XLOOKUP(tbl_encuesta[[#This Row],[Siento que mi trabajo es reconocido por mi supervisor o jefe directo.]],#REF!,#REF!)</f>
        <v>#REF!</v>
      </c>
      <c r="P244" t="s">
        <v>67</v>
      </c>
      <c r="Q244" t="e">
        <f xml:space="preserve">
_xlfn.XLOOKUP(
tbl_encuesta[[#This Row],[Mi supervisor o jefe directo nos brinda charlas de 5 minutos y comunica las novedades relevantes a mi puesto de trabajo]],#REF!,#REF!
)</f>
        <v>#REF!</v>
      </c>
      <c r="R244" t="s">
        <v>17</v>
      </c>
      <c r="U244" t="s">
        <v>20</v>
      </c>
      <c r="W244" t="s">
        <v>25</v>
      </c>
      <c r="X244" t="s">
        <v>23</v>
      </c>
      <c r="Y244" t="e">
        <f>+_xlfn.XLOOKUP(tbl_encuesta[[#This Row],[Considero a Limtek como un buen lugar para trabajar]],#REF!,#REF!)</f>
        <v>#REF!</v>
      </c>
      <c r="Z244" t="s">
        <v>673</v>
      </c>
      <c r="AA244" t="s">
        <v>674</v>
      </c>
      <c r="AB244" t="s">
        <v>567</v>
      </c>
      <c r="AC244" s="3" t="s">
        <v>3845</v>
      </c>
      <c r="AD244" s="3" t="s">
        <v>3846</v>
      </c>
      <c r="AE244" t="s">
        <v>69</v>
      </c>
    </row>
    <row r="245" spans="1:31" x14ac:dyDescent="0.25">
      <c r="A245">
        <v>119031939906</v>
      </c>
      <c r="B245">
        <v>462598545</v>
      </c>
      <c r="C245" s="1">
        <v>46028.68550925926</v>
      </c>
      <c r="D245" s="1">
        <v>46028.688067129631</v>
      </c>
      <c r="E245" t="s">
        <v>675</v>
      </c>
      <c r="F245" t="s">
        <v>23</v>
      </c>
      <c r="G245" t="e">
        <f>+_xlfn.XLOOKUP(tbl_encuesta[[#This Row],[Me siento a gusto con el ambiente de trabajo que se genera en mi equipo.]],#REF!,#REF!)</f>
        <v>#REF!</v>
      </c>
      <c r="H245" t="s">
        <v>23</v>
      </c>
      <c r="I245" t="e">
        <f>+_xlfn.XLOOKUP(tbl_encuesta[[#This Row],[Me siento motivado a dar lo mejor de mí y hacer un buen trabajo]],#REF!,#REF!)</f>
        <v>#REF!</v>
      </c>
      <c r="J245" t="s">
        <v>23</v>
      </c>
      <c r="K245" t="e">
        <f>+_xlfn.XLOOKUP(tbl_encuesta[[#This Row],[Mi supervisor o jefe directo me otorga el soporte que necesito para afrontar cualquier problema que afecte mi trabajo]],#REF!,#REF!)</f>
        <v>#REF!</v>
      </c>
      <c r="L245" t="s">
        <v>23</v>
      </c>
      <c r="M245" t="e">
        <f>+_xlfn.XLOOKUP(tbl_encuesta[[#This Row],[Mi supervisor o jefe directo fomenta que nos apoyemos entre todos en el equipo]],#REF!,#REF!)</f>
        <v>#REF!</v>
      </c>
      <c r="N245" t="s">
        <v>23</v>
      </c>
      <c r="O245" t="e">
        <f>+_xlfn.XLOOKUP(tbl_encuesta[[#This Row],[Siento que mi trabajo es reconocido por mi supervisor o jefe directo.]],#REF!,#REF!)</f>
        <v>#REF!</v>
      </c>
      <c r="P245" t="s">
        <v>31</v>
      </c>
      <c r="Q245" t="e">
        <f xml:space="preserve">
_xlfn.XLOOKUP(
tbl_encuesta[[#This Row],[Mi supervisor o jefe directo nos brinda charlas de 5 minutos y comunica las novedades relevantes a mi puesto de trabajo]],#REF!,#REF!
)</f>
        <v>#REF!</v>
      </c>
      <c r="R245" t="s">
        <v>17</v>
      </c>
      <c r="T245" t="s">
        <v>19</v>
      </c>
      <c r="W245" t="s">
        <v>25</v>
      </c>
      <c r="X245" t="s">
        <v>23</v>
      </c>
      <c r="Y245" t="e">
        <f>+_xlfn.XLOOKUP(tbl_encuesta[[#This Row],[Considero a Limtek como un buen lugar para trabajar]],#REF!,#REF!)</f>
        <v>#REF!</v>
      </c>
      <c r="Z245" t="s">
        <v>676</v>
      </c>
      <c r="AA245" t="s">
        <v>37</v>
      </c>
      <c r="AB245" t="s">
        <v>28</v>
      </c>
      <c r="AC245" s="3" t="s">
        <v>3779</v>
      </c>
      <c r="AD245" s="3" t="s">
        <v>3861</v>
      </c>
      <c r="AE245" t="s">
        <v>34</v>
      </c>
    </row>
    <row r="246" spans="1:31" x14ac:dyDescent="0.25">
      <c r="A246">
        <v>119031928496</v>
      </c>
      <c r="B246">
        <v>462598545</v>
      </c>
      <c r="C246" s="1">
        <v>46028.673043981478</v>
      </c>
      <c r="D246" s="1">
        <v>46028.674872685187</v>
      </c>
      <c r="E246" t="s">
        <v>677</v>
      </c>
      <c r="F246" t="s">
        <v>23</v>
      </c>
      <c r="G246" t="e">
        <f>+_xlfn.XLOOKUP(tbl_encuesta[[#This Row],[Me siento a gusto con el ambiente de trabajo que se genera en mi equipo.]],#REF!,#REF!)</f>
        <v>#REF!</v>
      </c>
      <c r="H246" t="s">
        <v>23</v>
      </c>
      <c r="I246" t="e">
        <f>+_xlfn.XLOOKUP(tbl_encuesta[[#This Row],[Me siento motivado a dar lo mejor de mí y hacer un buen trabajo]],#REF!,#REF!)</f>
        <v>#REF!</v>
      </c>
      <c r="J246" t="s">
        <v>23</v>
      </c>
      <c r="K246" t="e">
        <f>+_xlfn.XLOOKUP(tbl_encuesta[[#This Row],[Mi supervisor o jefe directo me otorga el soporte que necesito para afrontar cualquier problema que afecte mi trabajo]],#REF!,#REF!)</f>
        <v>#REF!</v>
      </c>
      <c r="L246" t="s">
        <v>23</v>
      </c>
      <c r="M246" t="e">
        <f>+_xlfn.XLOOKUP(tbl_encuesta[[#This Row],[Mi supervisor o jefe directo fomenta que nos apoyemos entre todos en el equipo]],#REF!,#REF!)</f>
        <v>#REF!</v>
      </c>
      <c r="N246" t="s">
        <v>23</v>
      </c>
      <c r="O246" t="e">
        <f>+_xlfn.XLOOKUP(tbl_encuesta[[#This Row],[Siento que mi trabajo es reconocido por mi supervisor o jefe directo.]],#REF!,#REF!)</f>
        <v>#REF!</v>
      </c>
      <c r="P246" t="s">
        <v>31</v>
      </c>
      <c r="Q246" t="e">
        <f xml:space="preserve">
_xlfn.XLOOKUP(
tbl_encuesta[[#This Row],[Mi supervisor o jefe directo nos brinda charlas de 5 minutos y comunica las novedades relevantes a mi puesto de trabajo]],#REF!,#REF!
)</f>
        <v>#REF!</v>
      </c>
      <c r="R246" t="s">
        <v>17</v>
      </c>
      <c r="W246" t="s">
        <v>25</v>
      </c>
      <c r="X246" t="s">
        <v>23</v>
      </c>
      <c r="Y246" t="e">
        <f>+_xlfn.XLOOKUP(tbl_encuesta[[#This Row],[Considero a Limtek como un buen lugar para trabajar]],#REF!,#REF!)</f>
        <v>#REF!</v>
      </c>
      <c r="Z246" t="s">
        <v>576</v>
      </c>
      <c r="AA246" t="s">
        <v>678</v>
      </c>
      <c r="AB246" t="s">
        <v>581</v>
      </c>
      <c r="AC246" s="3" t="s">
        <v>3610</v>
      </c>
      <c r="AD246" s="3" t="s">
        <v>3626</v>
      </c>
      <c r="AE246" t="s">
        <v>61</v>
      </c>
    </row>
    <row r="247" spans="1:31" x14ac:dyDescent="0.25">
      <c r="A247">
        <v>119031885404</v>
      </c>
      <c r="B247">
        <v>462598545</v>
      </c>
      <c r="C247" s="1">
        <v>46028.625706018516</v>
      </c>
      <c r="D247" s="1">
        <v>46028.628240740742</v>
      </c>
      <c r="E247" t="s">
        <v>679</v>
      </c>
      <c r="F247" t="s">
        <v>22</v>
      </c>
      <c r="G247" t="e">
        <f>+_xlfn.XLOOKUP(tbl_encuesta[[#This Row],[Me siento a gusto con el ambiente de trabajo que se genera en mi equipo.]],#REF!,#REF!)</f>
        <v>#REF!</v>
      </c>
      <c r="H247" t="s">
        <v>22</v>
      </c>
      <c r="I247" t="e">
        <f>+_xlfn.XLOOKUP(tbl_encuesta[[#This Row],[Me siento motivado a dar lo mejor de mí y hacer un buen trabajo]],#REF!,#REF!)</f>
        <v>#REF!</v>
      </c>
      <c r="J247" t="s">
        <v>22</v>
      </c>
      <c r="K247" t="e">
        <f>+_xlfn.XLOOKUP(tbl_encuesta[[#This Row],[Mi supervisor o jefe directo me otorga el soporte que necesito para afrontar cualquier problema que afecte mi trabajo]],#REF!,#REF!)</f>
        <v>#REF!</v>
      </c>
      <c r="L247" t="s">
        <v>22</v>
      </c>
      <c r="M247" t="e">
        <f>+_xlfn.XLOOKUP(tbl_encuesta[[#This Row],[Mi supervisor o jefe directo fomenta que nos apoyemos entre todos en el equipo]],#REF!,#REF!)</f>
        <v>#REF!</v>
      </c>
      <c r="N247" t="s">
        <v>22</v>
      </c>
      <c r="O247" t="e">
        <f>+_xlfn.XLOOKUP(tbl_encuesta[[#This Row],[Siento que mi trabajo es reconocido por mi supervisor o jefe directo.]],#REF!,#REF!)</f>
        <v>#REF!</v>
      </c>
      <c r="P247" t="s">
        <v>67</v>
      </c>
      <c r="Q247" t="e">
        <f xml:space="preserve">
_xlfn.XLOOKUP(
tbl_encuesta[[#This Row],[Mi supervisor o jefe directo nos brinda charlas de 5 minutos y comunica las novedades relevantes a mi puesto de trabajo]],#REF!,#REF!
)</f>
        <v>#REF!</v>
      </c>
      <c r="U247" t="s">
        <v>20</v>
      </c>
      <c r="W247" t="s">
        <v>25</v>
      </c>
      <c r="X247" t="s">
        <v>23</v>
      </c>
      <c r="Y247" t="e">
        <f>+_xlfn.XLOOKUP(tbl_encuesta[[#This Row],[Considero a Limtek como un buen lugar para trabajar]],#REF!,#REF!)</f>
        <v>#REF!</v>
      </c>
      <c r="Z247" t="s">
        <v>680</v>
      </c>
      <c r="AA247" t="s">
        <v>681</v>
      </c>
      <c r="AB247" t="s">
        <v>567</v>
      </c>
      <c r="AC247" s="3" t="s">
        <v>3817</v>
      </c>
      <c r="AD247" s="3" t="s">
        <v>3818</v>
      </c>
      <c r="AE247" t="s">
        <v>34</v>
      </c>
    </row>
    <row r="248" spans="1:31" x14ac:dyDescent="0.25">
      <c r="A248">
        <v>119031881721</v>
      </c>
      <c r="B248">
        <v>462598545</v>
      </c>
      <c r="C248" s="1">
        <v>46028.620763888888</v>
      </c>
      <c r="D248" s="1">
        <v>46028.624143518522</v>
      </c>
      <c r="E248" t="s">
        <v>682</v>
      </c>
      <c r="F248" t="s">
        <v>23</v>
      </c>
      <c r="G248" t="e">
        <f>+_xlfn.XLOOKUP(tbl_encuesta[[#This Row],[Me siento a gusto con el ambiente de trabajo que se genera en mi equipo.]],#REF!,#REF!)</f>
        <v>#REF!</v>
      </c>
      <c r="H248" t="s">
        <v>23</v>
      </c>
      <c r="I248" t="e">
        <f>+_xlfn.XLOOKUP(tbl_encuesta[[#This Row],[Me siento motivado a dar lo mejor de mí y hacer un buen trabajo]],#REF!,#REF!)</f>
        <v>#REF!</v>
      </c>
      <c r="J248" t="s">
        <v>23</v>
      </c>
      <c r="K248" t="e">
        <f>+_xlfn.XLOOKUP(tbl_encuesta[[#This Row],[Mi supervisor o jefe directo me otorga el soporte que necesito para afrontar cualquier problema que afecte mi trabajo]],#REF!,#REF!)</f>
        <v>#REF!</v>
      </c>
      <c r="L248" t="s">
        <v>23</v>
      </c>
      <c r="M248" t="e">
        <f>+_xlfn.XLOOKUP(tbl_encuesta[[#This Row],[Mi supervisor o jefe directo fomenta que nos apoyemos entre todos en el equipo]],#REF!,#REF!)</f>
        <v>#REF!</v>
      </c>
      <c r="N248" t="s">
        <v>22</v>
      </c>
      <c r="O248" t="e">
        <f>+_xlfn.XLOOKUP(tbl_encuesta[[#This Row],[Siento que mi trabajo es reconocido por mi supervisor o jefe directo.]],#REF!,#REF!)</f>
        <v>#REF!</v>
      </c>
      <c r="P248" t="s">
        <v>67</v>
      </c>
      <c r="Q248" t="e">
        <f xml:space="preserve">
_xlfn.XLOOKUP(
tbl_encuesta[[#This Row],[Mi supervisor o jefe directo nos brinda charlas de 5 minutos y comunica las novedades relevantes a mi puesto de trabajo]],#REF!,#REF!
)</f>
        <v>#REF!</v>
      </c>
      <c r="U248" t="s">
        <v>20</v>
      </c>
      <c r="W248" t="s">
        <v>25</v>
      </c>
      <c r="X248" t="s">
        <v>23</v>
      </c>
      <c r="Y248" t="e">
        <f>+_xlfn.XLOOKUP(tbl_encuesta[[#This Row],[Considero a Limtek como un buen lugar para trabajar]],#REF!,#REF!)</f>
        <v>#REF!</v>
      </c>
      <c r="Z248" t="s">
        <v>351</v>
      </c>
      <c r="AA248" t="s">
        <v>683</v>
      </c>
      <c r="AB248" t="s">
        <v>567</v>
      </c>
      <c r="AC248" s="3" t="s">
        <v>3817</v>
      </c>
      <c r="AD248" s="3" t="s">
        <v>3818</v>
      </c>
      <c r="AE248" t="s">
        <v>69</v>
      </c>
    </row>
    <row r="249" spans="1:31" x14ac:dyDescent="0.25">
      <c r="A249">
        <v>119031878844</v>
      </c>
      <c r="B249">
        <v>462598545</v>
      </c>
      <c r="C249" s="1">
        <v>46028.620312500003</v>
      </c>
      <c r="D249" s="1">
        <v>46028.621018518519</v>
      </c>
      <c r="E249" t="s">
        <v>684</v>
      </c>
      <c r="F249" t="s">
        <v>23</v>
      </c>
      <c r="G249" t="e">
        <f>+_xlfn.XLOOKUP(tbl_encuesta[[#This Row],[Me siento a gusto con el ambiente de trabajo que se genera en mi equipo.]],#REF!,#REF!)</f>
        <v>#REF!</v>
      </c>
      <c r="H249" t="s">
        <v>23</v>
      </c>
      <c r="I249" t="e">
        <f>+_xlfn.XLOOKUP(tbl_encuesta[[#This Row],[Me siento motivado a dar lo mejor de mí y hacer un buen trabajo]],#REF!,#REF!)</f>
        <v>#REF!</v>
      </c>
      <c r="J249" t="s">
        <v>23</v>
      </c>
      <c r="K249" t="e">
        <f>+_xlfn.XLOOKUP(tbl_encuesta[[#This Row],[Mi supervisor o jefe directo me otorga el soporte que necesito para afrontar cualquier problema que afecte mi trabajo]],#REF!,#REF!)</f>
        <v>#REF!</v>
      </c>
      <c r="L249" t="s">
        <v>23</v>
      </c>
      <c r="M249" t="e">
        <f>+_xlfn.XLOOKUP(tbl_encuesta[[#This Row],[Mi supervisor o jefe directo fomenta que nos apoyemos entre todos en el equipo]],#REF!,#REF!)</f>
        <v>#REF!</v>
      </c>
      <c r="N249" t="s">
        <v>23</v>
      </c>
      <c r="O249" t="e">
        <f>+_xlfn.XLOOKUP(tbl_encuesta[[#This Row],[Siento que mi trabajo es reconocido por mi supervisor o jefe directo.]],#REF!,#REF!)</f>
        <v>#REF!</v>
      </c>
      <c r="P249" t="s">
        <v>67</v>
      </c>
      <c r="Q249" t="e">
        <f xml:space="preserve">
_xlfn.XLOOKUP(
tbl_encuesta[[#This Row],[Mi supervisor o jefe directo nos brinda charlas de 5 minutos y comunica las novedades relevantes a mi puesto de trabajo]],#REF!,#REF!
)</f>
        <v>#REF!</v>
      </c>
      <c r="T249" t="s">
        <v>19</v>
      </c>
      <c r="W249" t="s">
        <v>25</v>
      </c>
      <c r="X249" t="s">
        <v>23</v>
      </c>
      <c r="Y249" t="e">
        <f>+_xlfn.XLOOKUP(tbl_encuesta[[#This Row],[Considero a Limtek como un buen lugar para trabajar]],#REF!,#REF!)</f>
        <v>#REF!</v>
      </c>
      <c r="Z249" t="s">
        <v>685</v>
      </c>
      <c r="AA249" t="s">
        <v>686</v>
      </c>
      <c r="AB249" t="s">
        <v>687</v>
      </c>
      <c r="AC249" s="3" t="s">
        <v>3610</v>
      </c>
      <c r="AD249" s="3" t="s">
        <v>3627</v>
      </c>
      <c r="AE249" t="s">
        <v>34</v>
      </c>
    </row>
    <row r="250" spans="1:31" x14ac:dyDescent="0.25">
      <c r="A250">
        <v>119031878519</v>
      </c>
      <c r="B250">
        <v>462598545</v>
      </c>
      <c r="C250" s="1">
        <v>46028.615358796298</v>
      </c>
      <c r="D250" s="1">
        <v>46028.620694444442</v>
      </c>
      <c r="E250" t="s">
        <v>688</v>
      </c>
      <c r="F250" t="s">
        <v>23</v>
      </c>
      <c r="G250" t="e">
        <f>+_xlfn.XLOOKUP(tbl_encuesta[[#This Row],[Me siento a gusto con el ambiente de trabajo que se genera en mi equipo.]],#REF!,#REF!)</f>
        <v>#REF!</v>
      </c>
      <c r="H250" t="s">
        <v>23</v>
      </c>
      <c r="I250" t="e">
        <f>+_xlfn.XLOOKUP(tbl_encuesta[[#This Row],[Me siento motivado a dar lo mejor de mí y hacer un buen trabajo]],#REF!,#REF!)</f>
        <v>#REF!</v>
      </c>
      <c r="J250" t="s">
        <v>23</v>
      </c>
      <c r="K250" t="e">
        <f>+_xlfn.XLOOKUP(tbl_encuesta[[#This Row],[Mi supervisor o jefe directo me otorga el soporte que necesito para afrontar cualquier problema que afecte mi trabajo]],#REF!,#REF!)</f>
        <v>#REF!</v>
      </c>
      <c r="L250" t="s">
        <v>23</v>
      </c>
      <c r="M250" t="e">
        <f>+_xlfn.XLOOKUP(tbl_encuesta[[#This Row],[Mi supervisor o jefe directo fomenta que nos apoyemos entre todos en el equipo]],#REF!,#REF!)</f>
        <v>#REF!</v>
      </c>
      <c r="N250" t="s">
        <v>23</v>
      </c>
      <c r="O250" t="e">
        <f>+_xlfn.XLOOKUP(tbl_encuesta[[#This Row],[Siento que mi trabajo es reconocido por mi supervisor o jefe directo.]],#REF!,#REF!)</f>
        <v>#REF!</v>
      </c>
      <c r="P250" t="s">
        <v>31</v>
      </c>
      <c r="Q250" t="e">
        <f xml:space="preserve">
_xlfn.XLOOKUP(
tbl_encuesta[[#This Row],[Mi supervisor o jefe directo nos brinda charlas de 5 minutos y comunica las novedades relevantes a mi puesto de trabajo]],#REF!,#REF!
)</f>
        <v>#REF!</v>
      </c>
      <c r="R250" t="s">
        <v>17</v>
      </c>
      <c r="S250" t="s">
        <v>18</v>
      </c>
      <c r="W250" t="s">
        <v>25</v>
      </c>
      <c r="X250" t="s">
        <v>23</v>
      </c>
      <c r="Y250" t="e">
        <f>+_xlfn.XLOOKUP(tbl_encuesta[[#This Row],[Considero a Limtek como un buen lugar para trabajar]],#REF!,#REF!)</f>
        <v>#REF!</v>
      </c>
      <c r="Z250" t="s">
        <v>689</v>
      </c>
      <c r="AA250" t="s">
        <v>690</v>
      </c>
      <c r="AB250" t="s">
        <v>28</v>
      </c>
      <c r="AC250" t="s">
        <v>3744</v>
      </c>
      <c r="AD250" t="s">
        <v>3744</v>
      </c>
      <c r="AE250" t="s">
        <v>69</v>
      </c>
    </row>
    <row r="251" spans="1:31" x14ac:dyDescent="0.25">
      <c r="A251">
        <v>119031877673</v>
      </c>
      <c r="B251">
        <v>462598545</v>
      </c>
      <c r="C251" s="1">
        <v>46028.618958333333</v>
      </c>
      <c r="D251" s="1">
        <v>46028.619791666664</v>
      </c>
      <c r="E251" t="s">
        <v>684</v>
      </c>
      <c r="F251" t="s">
        <v>23</v>
      </c>
      <c r="G251" t="e">
        <f>+_xlfn.XLOOKUP(tbl_encuesta[[#This Row],[Me siento a gusto con el ambiente de trabajo que se genera en mi equipo.]],#REF!,#REF!)</f>
        <v>#REF!</v>
      </c>
      <c r="H251" t="s">
        <v>23</v>
      </c>
      <c r="I251" t="e">
        <f>+_xlfn.XLOOKUP(tbl_encuesta[[#This Row],[Me siento motivado a dar lo mejor de mí y hacer un buen trabajo]],#REF!,#REF!)</f>
        <v>#REF!</v>
      </c>
      <c r="J251" t="s">
        <v>23</v>
      </c>
      <c r="K251" t="e">
        <f>+_xlfn.XLOOKUP(tbl_encuesta[[#This Row],[Mi supervisor o jefe directo me otorga el soporte que necesito para afrontar cualquier problema que afecte mi trabajo]],#REF!,#REF!)</f>
        <v>#REF!</v>
      </c>
      <c r="L251" t="s">
        <v>23</v>
      </c>
      <c r="M251" t="e">
        <f>+_xlfn.XLOOKUP(tbl_encuesta[[#This Row],[Mi supervisor o jefe directo fomenta que nos apoyemos entre todos en el equipo]],#REF!,#REF!)</f>
        <v>#REF!</v>
      </c>
      <c r="N251" t="s">
        <v>23</v>
      </c>
      <c r="O251" t="e">
        <f>+_xlfn.XLOOKUP(tbl_encuesta[[#This Row],[Siento que mi trabajo es reconocido por mi supervisor o jefe directo.]],#REF!,#REF!)</f>
        <v>#REF!</v>
      </c>
      <c r="P251" t="s">
        <v>67</v>
      </c>
      <c r="Q251" t="e">
        <f xml:space="preserve">
_xlfn.XLOOKUP(
tbl_encuesta[[#This Row],[Mi supervisor o jefe directo nos brinda charlas de 5 minutos y comunica las novedades relevantes a mi puesto de trabajo]],#REF!,#REF!
)</f>
        <v>#REF!</v>
      </c>
      <c r="S251" t="s">
        <v>18</v>
      </c>
      <c r="W251" t="s">
        <v>25</v>
      </c>
      <c r="X251" t="s">
        <v>23</v>
      </c>
      <c r="Y251" t="e">
        <f>+_xlfn.XLOOKUP(tbl_encuesta[[#This Row],[Considero a Limtek como un buen lugar para trabajar]],#REF!,#REF!)</f>
        <v>#REF!</v>
      </c>
      <c r="Z251" t="s">
        <v>691</v>
      </c>
      <c r="AA251" t="s">
        <v>691</v>
      </c>
      <c r="AB251" t="s">
        <v>687</v>
      </c>
      <c r="AC251" s="3" t="s">
        <v>3610</v>
      </c>
      <c r="AD251" s="3" t="s">
        <v>3610</v>
      </c>
      <c r="AE251" t="s">
        <v>61</v>
      </c>
    </row>
    <row r="252" spans="1:31" x14ac:dyDescent="0.25">
      <c r="A252">
        <v>119031876702</v>
      </c>
      <c r="B252">
        <v>462598545</v>
      </c>
      <c r="C252" s="1">
        <v>46028.616793981484</v>
      </c>
      <c r="D252" s="1">
        <v>46028.618796296294</v>
      </c>
      <c r="E252" t="s">
        <v>684</v>
      </c>
      <c r="F252" t="s">
        <v>23</v>
      </c>
      <c r="G252" t="e">
        <f>+_xlfn.XLOOKUP(tbl_encuesta[[#This Row],[Me siento a gusto con el ambiente de trabajo que se genera en mi equipo.]],#REF!,#REF!)</f>
        <v>#REF!</v>
      </c>
      <c r="H252" t="s">
        <v>23</v>
      </c>
      <c r="I252" t="e">
        <f>+_xlfn.XLOOKUP(tbl_encuesta[[#This Row],[Me siento motivado a dar lo mejor de mí y hacer un buen trabajo]],#REF!,#REF!)</f>
        <v>#REF!</v>
      </c>
      <c r="J252" t="s">
        <v>23</v>
      </c>
      <c r="K252" t="e">
        <f>+_xlfn.XLOOKUP(tbl_encuesta[[#This Row],[Mi supervisor o jefe directo me otorga el soporte que necesito para afrontar cualquier problema que afecte mi trabajo]],#REF!,#REF!)</f>
        <v>#REF!</v>
      </c>
      <c r="L252" t="s">
        <v>23</v>
      </c>
      <c r="M252" t="e">
        <f>+_xlfn.XLOOKUP(tbl_encuesta[[#This Row],[Mi supervisor o jefe directo fomenta que nos apoyemos entre todos en el equipo]],#REF!,#REF!)</f>
        <v>#REF!</v>
      </c>
      <c r="N252" t="s">
        <v>23</v>
      </c>
      <c r="O252" t="e">
        <f>+_xlfn.XLOOKUP(tbl_encuesta[[#This Row],[Siento que mi trabajo es reconocido por mi supervisor o jefe directo.]],#REF!,#REF!)</f>
        <v>#REF!</v>
      </c>
      <c r="P252" t="s">
        <v>67</v>
      </c>
      <c r="Q252" t="e">
        <f xml:space="preserve">
_xlfn.XLOOKUP(
tbl_encuesta[[#This Row],[Mi supervisor o jefe directo nos brinda charlas de 5 minutos y comunica las novedades relevantes a mi puesto de trabajo]],#REF!,#REF!
)</f>
        <v>#REF!</v>
      </c>
      <c r="R252" t="s">
        <v>17</v>
      </c>
      <c r="T252" t="s">
        <v>19</v>
      </c>
      <c r="W252" t="s">
        <v>25</v>
      </c>
      <c r="X252" t="s">
        <v>23</v>
      </c>
      <c r="Y252" t="e">
        <f>+_xlfn.XLOOKUP(tbl_encuesta[[#This Row],[Considero a Limtek como un buen lugar para trabajar]],#REF!,#REF!)</f>
        <v>#REF!</v>
      </c>
      <c r="Z252" t="s">
        <v>693</v>
      </c>
      <c r="AA252" t="s">
        <v>694</v>
      </c>
      <c r="AB252" t="s">
        <v>687</v>
      </c>
      <c r="AC252" s="3" t="s">
        <v>3610</v>
      </c>
      <c r="AD252" s="3" t="s">
        <v>3628</v>
      </c>
      <c r="AE252" t="s">
        <v>29</v>
      </c>
    </row>
    <row r="253" spans="1:31" x14ac:dyDescent="0.25">
      <c r="A253">
        <v>119031874390</v>
      </c>
      <c r="B253">
        <v>462598545</v>
      </c>
      <c r="C253" s="1">
        <v>46028.615439814814</v>
      </c>
      <c r="D253" s="1">
        <v>46028.616377314815</v>
      </c>
      <c r="E253" t="s">
        <v>684</v>
      </c>
      <c r="F253" t="s">
        <v>23</v>
      </c>
      <c r="G253" t="e">
        <f>+_xlfn.XLOOKUP(tbl_encuesta[[#This Row],[Me siento a gusto con el ambiente de trabajo que se genera en mi equipo.]],#REF!,#REF!)</f>
        <v>#REF!</v>
      </c>
      <c r="H253" t="s">
        <v>23</v>
      </c>
      <c r="I253" t="e">
        <f>+_xlfn.XLOOKUP(tbl_encuesta[[#This Row],[Me siento motivado a dar lo mejor de mí y hacer un buen trabajo]],#REF!,#REF!)</f>
        <v>#REF!</v>
      </c>
      <c r="J253" t="s">
        <v>23</v>
      </c>
      <c r="K253" t="e">
        <f>+_xlfn.XLOOKUP(tbl_encuesta[[#This Row],[Mi supervisor o jefe directo me otorga el soporte que necesito para afrontar cualquier problema que afecte mi trabajo]],#REF!,#REF!)</f>
        <v>#REF!</v>
      </c>
      <c r="L253" t="s">
        <v>23</v>
      </c>
      <c r="M253" t="e">
        <f>+_xlfn.XLOOKUP(tbl_encuesta[[#This Row],[Mi supervisor o jefe directo fomenta que nos apoyemos entre todos en el equipo]],#REF!,#REF!)</f>
        <v>#REF!</v>
      </c>
      <c r="N253" t="s">
        <v>23</v>
      </c>
      <c r="O253" t="e">
        <f>+_xlfn.XLOOKUP(tbl_encuesta[[#This Row],[Siento que mi trabajo es reconocido por mi supervisor o jefe directo.]],#REF!,#REF!)</f>
        <v>#REF!</v>
      </c>
      <c r="P253" t="s">
        <v>31</v>
      </c>
      <c r="Q253" t="e">
        <f xml:space="preserve">
_xlfn.XLOOKUP(
tbl_encuesta[[#This Row],[Mi supervisor o jefe directo nos brinda charlas de 5 minutos y comunica las novedades relevantes a mi puesto de trabajo]],#REF!,#REF!
)</f>
        <v>#REF!</v>
      </c>
      <c r="T253" t="s">
        <v>19</v>
      </c>
      <c r="W253" t="s">
        <v>25</v>
      </c>
      <c r="X253" t="s">
        <v>23</v>
      </c>
      <c r="Y253" t="e">
        <f>+_xlfn.XLOOKUP(tbl_encuesta[[#This Row],[Considero a Limtek como un buen lugar para trabajar]],#REF!,#REF!)</f>
        <v>#REF!</v>
      </c>
      <c r="Z253" t="s">
        <v>695</v>
      </c>
      <c r="AA253" t="s">
        <v>696</v>
      </c>
      <c r="AB253" t="s">
        <v>697</v>
      </c>
      <c r="AC253" s="3" t="s">
        <v>3755</v>
      </c>
      <c r="AD253" s="3" t="s">
        <v>3755</v>
      </c>
      <c r="AE253" t="s">
        <v>69</v>
      </c>
    </row>
    <row r="254" spans="1:31" x14ac:dyDescent="0.25">
      <c r="A254">
        <v>119031872744</v>
      </c>
      <c r="B254">
        <v>462598545</v>
      </c>
      <c r="C254" s="1">
        <v>46028.61310185185</v>
      </c>
      <c r="D254" s="1">
        <v>46028.614675925928</v>
      </c>
      <c r="E254" t="s">
        <v>698</v>
      </c>
      <c r="F254" t="s">
        <v>23</v>
      </c>
      <c r="G254" t="e">
        <f>+_xlfn.XLOOKUP(tbl_encuesta[[#This Row],[Me siento a gusto con el ambiente de trabajo que se genera en mi equipo.]],#REF!,#REF!)</f>
        <v>#REF!</v>
      </c>
      <c r="H254" t="s">
        <v>23</v>
      </c>
      <c r="I254" t="e">
        <f>+_xlfn.XLOOKUP(tbl_encuesta[[#This Row],[Me siento motivado a dar lo mejor de mí y hacer un buen trabajo]],#REF!,#REF!)</f>
        <v>#REF!</v>
      </c>
      <c r="J254" t="s">
        <v>23</v>
      </c>
      <c r="K254" t="e">
        <f>+_xlfn.XLOOKUP(tbl_encuesta[[#This Row],[Mi supervisor o jefe directo me otorga el soporte que necesito para afrontar cualquier problema que afecte mi trabajo]],#REF!,#REF!)</f>
        <v>#REF!</v>
      </c>
      <c r="L254" t="s">
        <v>23</v>
      </c>
      <c r="M254" t="e">
        <f>+_xlfn.XLOOKUP(tbl_encuesta[[#This Row],[Mi supervisor o jefe directo fomenta que nos apoyemos entre todos en el equipo]],#REF!,#REF!)</f>
        <v>#REF!</v>
      </c>
      <c r="N254" t="s">
        <v>23</v>
      </c>
      <c r="O254" t="e">
        <f>+_xlfn.XLOOKUP(tbl_encuesta[[#This Row],[Siento que mi trabajo es reconocido por mi supervisor o jefe directo.]],#REF!,#REF!)</f>
        <v>#REF!</v>
      </c>
      <c r="P254" t="s">
        <v>67</v>
      </c>
      <c r="Q254" t="e">
        <f xml:space="preserve">
_xlfn.XLOOKUP(
tbl_encuesta[[#This Row],[Mi supervisor o jefe directo nos brinda charlas de 5 minutos y comunica las novedades relevantes a mi puesto de trabajo]],#REF!,#REF!
)</f>
        <v>#REF!</v>
      </c>
      <c r="R254" t="s">
        <v>17</v>
      </c>
      <c r="S254" t="s">
        <v>18</v>
      </c>
      <c r="W254" t="s">
        <v>25</v>
      </c>
      <c r="X254" t="s">
        <v>23</v>
      </c>
      <c r="Y254" t="e">
        <f>+_xlfn.XLOOKUP(tbl_encuesta[[#This Row],[Considero a Limtek como un buen lugar para trabajar]],#REF!,#REF!)</f>
        <v>#REF!</v>
      </c>
      <c r="Z254" t="s">
        <v>699</v>
      </c>
      <c r="AA254" t="s">
        <v>700</v>
      </c>
      <c r="AB254" t="s">
        <v>567</v>
      </c>
      <c r="AC254" s="3" t="s">
        <v>3817</v>
      </c>
      <c r="AD254" s="3" t="s">
        <v>3818</v>
      </c>
      <c r="AE254" t="s">
        <v>34</v>
      </c>
    </row>
    <row r="255" spans="1:31" x14ac:dyDescent="0.25">
      <c r="A255">
        <v>119031863131</v>
      </c>
      <c r="B255">
        <v>462598545</v>
      </c>
      <c r="C255" s="1">
        <v>46028.599050925928</v>
      </c>
      <c r="D255" s="1">
        <v>46028.604456018518</v>
      </c>
      <c r="E255" t="s">
        <v>684</v>
      </c>
      <c r="F255" t="s">
        <v>23</v>
      </c>
      <c r="G255" t="e">
        <f>+_xlfn.XLOOKUP(tbl_encuesta[[#This Row],[Me siento a gusto con el ambiente de trabajo que se genera en mi equipo.]],#REF!,#REF!)</f>
        <v>#REF!</v>
      </c>
      <c r="H255" t="s">
        <v>23</v>
      </c>
      <c r="I255" t="e">
        <f>+_xlfn.XLOOKUP(tbl_encuesta[[#This Row],[Me siento motivado a dar lo mejor de mí y hacer un buen trabajo]],#REF!,#REF!)</f>
        <v>#REF!</v>
      </c>
      <c r="J255" t="s">
        <v>23</v>
      </c>
      <c r="K255" t="e">
        <f>+_xlfn.XLOOKUP(tbl_encuesta[[#This Row],[Mi supervisor o jefe directo me otorga el soporte que necesito para afrontar cualquier problema que afecte mi trabajo]],#REF!,#REF!)</f>
        <v>#REF!</v>
      </c>
      <c r="L255" t="s">
        <v>23</v>
      </c>
      <c r="M255" t="e">
        <f>+_xlfn.XLOOKUP(tbl_encuesta[[#This Row],[Mi supervisor o jefe directo fomenta que nos apoyemos entre todos en el equipo]],#REF!,#REF!)</f>
        <v>#REF!</v>
      </c>
      <c r="N255" t="s">
        <v>23</v>
      </c>
      <c r="O255" t="e">
        <f>+_xlfn.XLOOKUP(tbl_encuesta[[#This Row],[Siento que mi trabajo es reconocido por mi supervisor o jefe directo.]],#REF!,#REF!)</f>
        <v>#REF!</v>
      </c>
      <c r="P255" t="s">
        <v>31</v>
      </c>
      <c r="Q255" t="e">
        <f xml:space="preserve">
_xlfn.XLOOKUP(
tbl_encuesta[[#This Row],[Mi supervisor o jefe directo nos brinda charlas de 5 minutos y comunica las novedades relevantes a mi puesto de trabajo]],#REF!,#REF!
)</f>
        <v>#REF!</v>
      </c>
      <c r="U255" t="s">
        <v>20</v>
      </c>
      <c r="V255" t="s">
        <v>701</v>
      </c>
      <c r="W255" t="s">
        <v>25</v>
      </c>
      <c r="X255" t="s">
        <v>23</v>
      </c>
      <c r="Y255" t="e">
        <f>+_xlfn.XLOOKUP(tbl_encuesta[[#This Row],[Considero a Limtek como un buen lugar para trabajar]],#REF!,#REF!)</f>
        <v>#REF!</v>
      </c>
      <c r="Z255" t="s">
        <v>702</v>
      </c>
      <c r="AA255" t="s">
        <v>703</v>
      </c>
      <c r="AB255" t="s">
        <v>704</v>
      </c>
      <c r="AC255" s="3" t="s">
        <v>3610</v>
      </c>
      <c r="AD255" s="3" t="s">
        <v>3629</v>
      </c>
      <c r="AE255" t="s">
        <v>55</v>
      </c>
    </row>
    <row r="256" spans="1:31" x14ac:dyDescent="0.25">
      <c r="A256">
        <v>119031857722</v>
      </c>
      <c r="B256">
        <v>462598545</v>
      </c>
      <c r="C256" s="1">
        <v>46028.597881944443</v>
      </c>
      <c r="D256" s="1">
        <v>46028.598564814813</v>
      </c>
      <c r="E256" t="s">
        <v>684</v>
      </c>
      <c r="F256" t="s">
        <v>22</v>
      </c>
      <c r="G256" t="e">
        <f>+_xlfn.XLOOKUP(tbl_encuesta[[#This Row],[Me siento a gusto con el ambiente de trabajo que se genera en mi equipo.]],#REF!,#REF!)</f>
        <v>#REF!</v>
      </c>
      <c r="H256" t="s">
        <v>22</v>
      </c>
      <c r="I256" t="e">
        <f>+_xlfn.XLOOKUP(tbl_encuesta[[#This Row],[Me siento motivado a dar lo mejor de mí y hacer un buen trabajo]],#REF!,#REF!)</f>
        <v>#REF!</v>
      </c>
      <c r="J256" t="s">
        <v>22</v>
      </c>
      <c r="K256" t="e">
        <f>+_xlfn.XLOOKUP(tbl_encuesta[[#This Row],[Mi supervisor o jefe directo me otorga el soporte que necesito para afrontar cualquier problema que afecte mi trabajo]],#REF!,#REF!)</f>
        <v>#REF!</v>
      </c>
      <c r="L256" t="s">
        <v>23</v>
      </c>
      <c r="M256" t="e">
        <f>+_xlfn.XLOOKUP(tbl_encuesta[[#This Row],[Mi supervisor o jefe directo fomenta que nos apoyemos entre todos en el equipo]],#REF!,#REF!)</f>
        <v>#REF!</v>
      </c>
      <c r="N256" t="s">
        <v>22</v>
      </c>
      <c r="O256" t="e">
        <f>+_xlfn.XLOOKUP(tbl_encuesta[[#This Row],[Siento que mi trabajo es reconocido por mi supervisor o jefe directo.]],#REF!,#REF!)</f>
        <v>#REF!</v>
      </c>
      <c r="P256" t="s">
        <v>67</v>
      </c>
      <c r="Q256" t="e">
        <f xml:space="preserve">
_xlfn.XLOOKUP(
tbl_encuesta[[#This Row],[Mi supervisor o jefe directo nos brinda charlas de 5 minutos y comunica las novedades relevantes a mi puesto de trabajo]],#REF!,#REF!
)</f>
        <v>#REF!</v>
      </c>
      <c r="U256" t="s">
        <v>20</v>
      </c>
      <c r="W256" t="s">
        <v>46</v>
      </c>
      <c r="X256" t="s">
        <v>23</v>
      </c>
      <c r="Y256" t="e">
        <f>+_xlfn.XLOOKUP(tbl_encuesta[[#This Row],[Considero a Limtek como un buen lugar para trabajar]],#REF!,#REF!)</f>
        <v>#REF!</v>
      </c>
      <c r="Z256" t="s">
        <v>705</v>
      </c>
      <c r="AA256" t="s">
        <v>706</v>
      </c>
      <c r="AB256" t="s">
        <v>687</v>
      </c>
      <c r="AC256" t="s">
        <v>3592</v>
      </c>
      <c r="AD256" t="s">
        <v>692</v>
      </c>
      <c r="AE256" t="s">
        <v>69</v>
      </c>
    </row>
    <row r="257" spans="1:31" x14ac:dyDescent="0.25">
      <c r="A257">
        <v>119031856951</v>
      </c>
      <c r="B257">
        <v>462598545</v>
      </c>
      <c r="C257" s="1">
        <v>46028.596145833333</v>
      </c>
      <c r="D257" s="1">
        <v>46028.597766203704</v>
      </c>
      <c r="E257" t="s">
        <v>684</v>
      </c>
      <c r="F257" t="s">
        <v>23</v>
      </c>
      <c r="G257" t="e">
        <f>+_xlfn.XLOOKUP(tbl_encuesta[[#This Row],[Me siento a gusto con el ambiente de trabajo que se genera en mi equipo.]],#REF!,#REF!)</f>
        <v>#REF!</v>
      </c>
      <c r="H257" t="s">
        <v>23</v>
      </c>
      <c r="I257" t="e">
        <f>+_xlfn.XLOOKUP(tbl_encuesta[[#This Row],[Me siento motivado a dar lo mejor de mí y hacer un buen trabajo]],#REF!,#REF!)</f>
        <v>#REF!</v>
      </c>
      <c r="J257" t="s">
        <v>23</v>
      </c>
      <c r="K257" t="e">
        <f>+_xlfn.XLOOKUP(tbl_encuesta[[#This Row],[Mi supervisor o jefe directo me otorga el soporte que necesito para afrontar cualquier problema que afecte mi trabajo]],#REF!,#REF!)</f>
        <v>#REF!</v>
      </c>
      <c r="L257" t="s">
        <v>23</v>
      </c>
      <c r="M257" t="e">
        <f>+_xlfn.XLOOKUP(tbl_encuesta[[#This Row],[Mi supervisor o jefe directo fomenta que nos apoyemos entre todos en el equipo]],#REF!,#REF!)</f>
        <v>#REF!</v>
      </c>
      <c r="N257" t="s">
        <v>23</v>
      </c>
      <c r="O257" t="e">
        <f>+_xlfn.XLOOKUP(tbl_encuesta[[#This Row],[Siento que mi trabajo es reconocido por mi supervisor o jefe directo.]],#REF!,#REF!)</f>
        <v>#REF!</v>
      </c>
      <c r="P257" t="s">
        <v>67</v>
      </c>
      <c r="Q257" t="e">
        <f xml:space="preserve">
_xlfn.XLOOKUP(
tbl_encuesta[[#This Row],[Mi supervisor o jefe directo nos brinda charlas de 5 minutos y comunica las novedades relevantes a mi puesto de trabajo]],#REF!,#REF!
)</f>
        <v>#REF!</v>
      </c>
      <c r="U257" t="s">
        <v>20</v>
      </c>
      <c r="W257" t="s">
        <v>46</v>
      </c>
      <c r="X257" t="s">
        <v>23</v>
      </c>
      <c r="Y257" t="e">
        <f>+_xlfn.XLOOKUP(tbl_encuesta[[#This Row],[Considero a Limtek como un buen lugar para trabajar]],#REF!,#REF!)</f>
        <v>#REF!</v>
      </c>
      <c r="Z257" t="s">
        <v>707</v>
      </c>
      <c r="AA257" t="s">
        <v>708</v>
      </c>
      <c r="AB257" t="s">
        <v>687</v>
      </c>
      <c r="AC257" t="s">
        <v>3592</v>
      </c>
      <c r="AD257" t="s">
        <v>3595</v>
      </c>
      <c r="AE257" t="s">
        <v>69</v>
      </c>
    </row>
    <row r="258" spans="1:31" x14ac:dyDescent="0.25">
      <c r="A258">
        <v>119031851838</v>
      </c>
      <c r="B258">
        <v>462598545</v>
      </c>
      <c r="C258" s="1">
        <v>46028.590138888889</v>
      </c>
      <c r="D258" s="1">
        <v>46028.592268518521</v>
      </c>
      <c r="E258" t="s">
        <v>709</v>
      </c>
      <c r="F258" t="s">
        <v>23</v>
      </c>
      <c r="G258" t="e">
        <f>+_xlfn.XLOOKUP(tbl_encuesta[[#This Row],[Me siento a gusto con el ambiente de trabajo que se genera en mi equipo.]],#REF!,#REF!)</f>
        <v>#REF!</v>
      </c>
      <c r="H258" t="s">
        <v>23</v>
      </c>
      <c r="I258" t="e">
        <f>+_xlfn.XLOOKUP(tbl_encuesta[[#This Row],[Me siento motivado a dar lo mejor de mí y hacer un buen trabajo]],#REF!,#REF!)</f>
        <v>#REF!</v>
      </c>
      <c r="J258" t="s">
        <v>23</v>
      </c>
      <c r="K258" t="e">
        <f>+_xlfn.XLOOKUP(tbl_encuesta[[#This Row],[Mi supervisor o jefe directo me otorga el soporte que necesito para afrontar cualquier problema que afecte mi trabajo]],#REF!,#REF!)</f>
        <v>#REF!</v>
      </c>
      <c r="L258" t="s">
        <v>23</v>
      </c>
      <c r="M258" t="e">
        <f>+_xlfn.XLOOKUP(tbl_encuesta[[#This Row],[Mi supervisor o jefe directo fomenta que nos apoyemos entre todos en el equipo]],#REF!,#REF!)</f>
        <v>#REF!</v>
      </c>
      <c r="N258" t="s">
        <v>23</v>
      </c>
      <c r="O258" t="e">
        <f>+_xlfn.XLOOKUP(tbl_encuesta[[#This Row],[Siento que mi trabajo es reconocido por mi supervisor o jefe directo.]],#REF!,#REF!)</f>
        <v>#REF!</v>
      </c>
      <c r="P258" t="s">
        <v>31</v>
      </c>
      <c r="Q258" t="e">
        <f xml:space="preserve">
_xlfn.XLOOKUP(
tbl_encuesta[[#This Row],[Mi supervisor o jefe directo nos brinda charlas de 5 minutos y comunica las novedades relevantes a mi puesto de trabajo]],#REF!,#REF!
)</f>
        <v>#REF!</v>
      </c>
      <c r="S258" t="s">
        <v>18</v>
      </c>
      <c r="T258" t="s">
        <v>19</v>
      </c>
      <c r="W258" t="s">
        <v>25</v>
      </c>
      <c r="X258" t="s">
        <v>23</v>
      </c>
      <c r="Y258" t="e">
        <f>+_xlfn.XLOOKUP(tbl_encuesta[[#This Row],[Considero a Limtek como un buen lugar para trabajar]],#REF!,#REF!)</f>
        <v>#REF!</v>
      </c>
      <c r="Z258" t="s">
        <v>710</v>
      </c>
      <c r="AA258" t="s">
        <v>711</v>
      </c>
      <c r="AB258" t="s">
        <v>563</v>
      </c>
      <c r="AC258" t="s">
        <v>3610</v>
      </c>
      <c r="AD258" t="s">
        <v>3610</v>
      </c>
      <c r="AE258" t="s">
        <v>29</v>
      </c>
    </row>
    <row r="259" spans="1:31" x14ac:dyDescent="0.25">
      <c r="A259">
        <v>119031786214</v>
      </c>
      <c r="B259">
        <v>462598545</v>
      </c>
      <c r="C259" s="1">
        <v>46028.521550925929</v>
      </c>
      <c r="D259" s="1">
        <v>46028.524236111109</v>
      </c>
      <c r="E259" t="s">
        <v>712</v>
      </c>
      <c r="F259" t="s">
        <v>23</v>
      </c>
      <c r="G259" t="e">
        <f>+_xlfn.XLOOKUP(tbl_encuesta[[#This Row],[Me siento a gusto con el ambiente de trabajo que se genera en mi equipo.]],#REF!,#REF!)</f>
        <v>#REF!</v>
      </c>
      <c r="H259" t="s">
        <v>23</v>
      </c>
      <c r="I259" t="e">
        <f>+_xlfn.XLOOKUP(tbl_encuesta[[#This Row],[Me siento motivado a dar lo mejor de mí y hacer un buen trabajo]],#REF!,#REF!)</f>
        <v>#REF!</v>
      </c>
      <c r="J259" t="s">
        <v>22</v>
      </c>
      <c r="K259" t="e">
        <f>+_xlfn.XLOOKUP(tbl_encuesta[[#This Row],[Mi supervisor o jefe directo me otorga el soporte que necesito para afrontar cualquier problema que afecte mi trabajo]],#REF!,#REF!)</f>
        <v>#REF!</v>
      </c>
      <c r="L259" t="s">
        <v>22</v>
      </c>
      <c r="M259" t="e">
        <f>+_xlfn.XLOOKUP(tbl_encuesta[[#This Row],[Mi supervisor o jefe directo fomenta que nos apoyemos entre todos en el equipo]],#REF!,#REF!)</f>
        <v>#REF!</v>
      </c>
      <c r="N259" t="s">
        <v>22</v>
      </c>
      <c r="O259" t="e">
        <f>+_xlfn.XLOOKUP(tbl_encuesta[[#This Row],[Siento que mi trabajo es reconocido por mi supervisor o jefe directo.]],#REF!,#REF!)</f>
        <v>#REF!</v>
      </c>
      <c r="P259" t="s">
        <v>175</v>
      </c>
      <c r="Q259" t="e">
        <f xml:space="preserve">
_xlfn.XLOOKUP(
tbl_encuesta[[#This Row],[Mi supervisor o jefe directo nos brinda charlas de 5 minutos y comunica las novedades relevantes a mi puesto de trabajo]],#REF!,#REF!
)</f>
        <v>#REF!</v>
      </c>
      <c r="S259" t="s">
        <v>18</v>
      </c>
      <c r="W259" t="s">
        <v>25</v>
      </c>
      <c r="X259" t="s">
        <v>23</v>
      </c>
      <c r="Y259" t="e">
        <f>+_xlfn.XLOOKUP(tbl_encuesta[[#This Row],[Considero a Limtek como un buen lugar para trabajar]],#REF!,#REF!)</f>
        <v>#REF!</v>
      </c>
      <c r="Z259" t="s">
        <v>713</v>
      </c>
      <c r="AA259" t="s">
        <v>714</v>
      </c>
      <c r="AB259" t="s">
        <v>567</v>
      </c>
      <c r="AC259" s="3" t="s">
        <v>3610</v>
      </c>
      <c r="AD259" s="3" t="s">
        <v>3630</v>
      </c>
      <c r="AE259" t="s">
        <v>55</v>
      </c>
    </row>
    <row r="260" spans="1:31" x14ac:dyDescent="0.25">
      <c r="A260">
        <v>119031729104</v>
      </c>
      <c r="B260">
        <v>462598545</v>
      </c>
      <c r="C260" s="1">
        <v>46028.466782407406</v>
      </c>
      <c r="D260" s="1">
        <v>46028.468993055554</v>
      </c>
      <c r="E260" t="s">
        <v>715</v>
      </c>
      <c r="F260" t="s">
        <v>23</v>
      </c>
      <c r="G260" t="e">
        <f>+_xlfn.XLOOKUP(tbl_encuesta[[#This Row],[Me siento a gusto con el ambiente de trabajo que se genera en mi equipo.]],#REF!,#REF!)</f>
        <v>#REF!</v>
      </c>
      <c r="H260" t="s">
        <v>23</v>
      </c>
      <c r="I260" t="e">
        <f>+_xlfn.XLOOKUP(tbl_encuesta[[#This Row],[Me siento motivado a dar lo mejor de mí y hacer un buen trabajo]],#REF!,#REF!)</f>
        <v>#REF!</v>
      </c>
      <c r="J260" t="s">
        <v>23</v>
      </c>
      <c r="K260" t="e">
        <f>+_xlfn.XLOOKUP(tbl_encuesta[[#This Row],[Mi supervisor o jefe directo me otorga el soporte que necesito para afrontar cualquier problema que afecte mi trabajo]],#REF!,#REF!)</f>
        <v>#REF!</v>
      </c>
      <c r="L260" t="s">
        <v>23</v>
      </c>
      <c r="M260" t="e">
        <f>+_xlfn.XLOOKUP(tbl_encuesta[[#This Row],[Mi supervisor o jefe directo fomenta que nos apoyemos entre todos en el equipo]],#REF!,#REF!)</f>
        <v>#REF!</v>
      </c>
      <c r="N260" t="s">
        <v>23</v>
      </c>
      <c r="O260" t="e">
        <f>+_xlfn.XLOOKUP(tbl_encuesta[[#This Row],[Siento que mi trabajo es reconocido por mi supervisor o jefe directo.]],#REF!,#REF!)</f>
        <v>#REF!</v>
      </c>
      <c r="P260" t="s">
        <v>31</v>
      </c>
      <c r="Q260" t="e">
        <f xml:space="preserve">
_xlfn.XLOOKUP(
tbl_encuesta[[#This Row],[Mi supervisor o jefe directo nos brinda charlas de 5 minutos y comunica las novedades relevantes a mi puesto de trabajo]],#REF!,#REF!
)</f>
        <v>#REF!</v>
      </c>
      <c r="R260" t="s">
        <v>17</v>
      </c>
      <c r="W260" t="s">
        <v>46</v>
      </c>
      <c r="X260" t="s">
        <v>23</v>
      </c>
      <c r="Y260" t="e">
        <f>+_xlfn.XLOOKUP(tbl_encuesta[[#This Row],[Considero a Limtek como un buen lugar para trabajar]],#REF!,#REF!)</f>
        <v>#REF!</v>
      </c>
      <c r="Z260" t="s">
        <v>716</v>
      </c>
      <c r="AA260" t="s">
        <v>54</v>
      </c>
      <c r="AB260" t="s">
        <v>581</v>
      </c>
      <c r="AC260" t="s">
        <v>3592</v>
      </c>
      <c r="AD260" t="s">
        <v>120</v>
      </c>
      <c r="AE260" t="s">
        <v>69</v>
      </c>
    </row>
    <row r="261" spans="1:31" x14ac:dyDescent="0.25">
      <c r="A261">
        <v>119031628814</v>
      </c>
      <c r="B261">
        <v>462598545</v>
      </c>
      <c r="C261" s="1">
        <v>46028.359016203707</v>
      </c>
      <c r="D261" s="1">
        <v>46028.369074074071</v>
      </c>
      <c r="E261" t="s">
        <v>717</v>
      </c>
      <c r="F261" t="s">
        <v>23</v>
      </c>
      <c r="G261" t="e">
        <f>+_xlfn.XLOOKUP(tbl_encuesta[[#This Row],[Me siento a gusto con el ambiente de trabajo que se genera en mi equipo.]],#REF!,#REF!)</f>
        <v>#REF!</v>
      </c>
      <c r="H261" t="s">
        <v>23</v>
      </c>
      <c r="I261" t="e">
        <f>+_xlfn.XLOOKUP(tbl_encuesta[[#This Row],[Me siento motivado a dar lo mejor de mí y hacer un buen trabajo]],#REF!,#REF!)</f>
        <v>#REF!</v>
      </c>
      <c r="J261" t="s">
        <v>43</v>
      </c>
      <c r="K261" t="e">
        <f>+_xlfn.XLOOKUP(tbl_encuesta[[#This Row],[Mi supervisor o jefe directo me otorga el soporte que necesito para afrontar cualquier problema que afecte mi trabajo]],#REF!,#REF!)</f>
        <v>#REF!</v>
      </c>
      <c r="L261" t="s">
        <v>22</v>
      </c>
      <c r="M261" t="e">
        <f>+_xlfn.XLOOKUP(tbl_encuesta[[#This Row],[Mi supervisor o jefe directo fomenta que nos apoyemos entre todos en el equipo]],#REF!,#REF!)</f>
        <v>#REF!</v>
      </c>
      <c r="N261" t="s">
        <v>23</v>
      </c>
      <c r="O261" t="e">
        <f>+_xlfn.XLOOKUP(tbl_encuesta[[#This Row],[Siento que mi trabajo es reconocido por mi supervisor o jefe directo.]],#REF!,#REF!)</f>
        <v>#REF!</v>
      </c>
      <c r="P261" t="s">
        <v>24</v>
      </c>
      <c r="Q261" t="e">
        <f xml:space="preserve">
_xlfn.XLOOKUP(
tbl_encuesta[[#This Row],[Mi supervisor o jefe directo nos brinda charlas de 5 minutos y comunica las novedades relevantes a mi puesto de trabajo]],#REF!,#REF!
)</f>
        <v>#REF!</v>
      </c>
      <c r="R261" t="s">
        <v>17</v>
      </c>
      <c r="U261" t="s">
        <v>20</v>
      </c>
      <c r="W261" t="s">
        <v>46</v>
      </c>
      <c r="X261" t="s">
        <v>23</v>
      </c>
      <c r="Y261" t="e">
        <f>+_xlfn.XLOOKUP(tbl_encuesta[[#This Row],[Considero a Limtek como un buen lugar para trabajar]],#REF!,#REF!)</f>
        <v>#REF!</v>
      </c>
      <c r="Z261" t="s">
        <v>718</v>
      </c>
      <c r="AA261" t="s">
        <v>719</v>
      </c>
      <c r="AB261" t="s">
        <v>720</v>
      </c>
      <c r="AC261" s="3" t="s">
        <v>3610</v>
      </c>
      <c r="AD261" s="3" t="s">
        <v>3631</v>
      </c>
      <c r="AE261" t="s">
        <v>34</v>
      </c>
    </row>
    <row r="262" spans="1:31" x14ac:dyDescent="0.25">
      <c r="A262">
        <v>119031591077</v>
      </c>
      <c r="B262">
        <v>462598545</v>
      </c>
      <c r="C262" s="1">
        <v>46028.315370370372</v>
      </c>
      <c r="D262" s="1">
        <v>46028.317245370374</v>
      </c>
      <c r="E262" t="s">
        <v>721</v>
      </c>
      <c r="F262" t="s">
        <v>22</v>
      </c>
      <c r="G262" t="e">
        <f>+_xlfn.XLOOKUP(tbl_encuesta[[#This Row],[Me siento a gusto con el ambiente de trabajo que se genera en mi equipo.]],#REF!,#REF!)</f>
        <v>#REF!</v>
      </c>
      <c r="H262" t="s">
        <v>22</v>
      </c>
      <c r="I262" t="e">
        <f>+_xlfn.XLOOKUP(tbl_encuesta[[#This Row],[Me siento motivado a dar lo mejor de mí y hacer un buen trabajo]],#REF!,#REF!)</f>
        <v>#REF!</v>
      </c>
      <c r="J262" t="s">
        <v>22</v>
      </c>
      <c r="K262" t="e">
        <f>+_xlfn.XLOOKUP(tbl_encuesta[[#This Row],[Mi supervisor o jefe directo me otorga el soporte que necesito para afrontar cualquier problema que afecte mi trabajo]],#REF!,#REF!)</f>
        <v>#REF!</v>
      </c>
      <c r="L262" t="s">
        <v>22</v>
      </c>
      <c r="M262" t="e">
        <f>+_xlfn.XLOOKUP(tbl_encuesta[[#This Row],[Mi supervisor o jefe directo fomenta que nos apoyemos entre todos en el equipo]],#REF!,#REF!)</f>
        <v>#REF!</v>
      </c>
      <c r="N262" t="s">
        <v>22</v>
      </c>
      <c r="O262" t="e">
        <f>+_xlfn.XLOOKUP(tbl_encuesta[[#This Row],[Siento que mi trabajo es reconocido por mi supervisor o jefe directo.]],#REF!,#REF!)</f>
        <v>#REF!</v>
      </c>
      <c r="P262" t="s">
        <v>24</v>
      </c>
      <c r="Q262" t="e">
        <f xml:space="preserve">
_xlfn.XLOOKUP(
tbl_encuesta[[#This Row],[Mi supervisor o jefe directo nos brinda charlas de 5 minutos y comunica las novedades relevantes a mi puesto de trabajo]],#REF!,#REF!
)</f>
        <v>#REF!</v>
      </c>
      <c r="U262" t="s">
        <v>20</v>
      </c>
      <c r="W262" t="s">
        <v>25</v>
      </c>
      <c r="X262" t="s">
        <v>22</v>
      </c>
      <c r="Y262" t="e">
        <f>+_xlfn.XLOOKUP(tbl_encuesta[[#This Row],[Considero a Limtek como un buen lugar para trabajar]],#REF!,#REF!)</f>
        <v>#REF!</v>
      </c>
      <c r="Z262" t="s">
        <v>304</v>
      </c>
      <c r="AA262" t="s">
        <v>722</v>
      </c>
      <c r="AB262" t="s">
        <v>567</v>
      </c>
      <c r="AC262" t="s">
        <v>3744</v>
      </c>
      <c r="AD262" t="s">
        <v>3744</v>
      </c>
      <c r="AE262" t="s">
        <v>69</v>
      </c>
    </row>
    <row r="263" spans="1:31" x14ac:dyDescent="0.25">
      <c r="A263">
        <v>119031574477</v>
      </c>
      <c r="B263">
        <v>462598545</v>
      </c>
      <c r="C263" s="1">
        <v>46028.279062499998</v>
      </c>
      <c r="D263" s="1">
        <v>46028.289594907408</v>
      </c>
      <c r="E263" t="s">
        <v>723</v>
      </c>
      <c r="F263" t="s">
        <v>23</v>
      </c>
      <c r="G263" t="e">
        <f>+_xlfn.XLOOKUP(tbl_encuesta[[#This Row],[Me siento a gusto con el ambiente de trabajo que se genera en mi equipo.]],#REF!,#REF!)</f>
        <v>#REF!</v>
      </c>
      <c r="H263" t="s">
        <v>23</v>
      </c>
      <c r="I263" t="e">
        <f>+_xlfn.XLOOKUP(tbl_encuesta[[#This Row],[Me siento motivado a dar lo mejor de mí y hacer un buen trabajo]],#REF!,#REF!)</f>
        <v>#REF!</v>
      </c>
      <c r="J263" t="s">
        <v>23</v>
      </c>
      <c r="K263" t="e">
        <f>+_xlfn.XLOOKUP(tbl_encuesta[[#This Row],[Mi supervisor o jefe directo me otorga el soporte que necesito para afrontar cualquier problema que afecte mi trabajo]],#REF!,#REF!)</f>
        <v>#REF!</v>
      </c>
      <c r="L263" t="s">
        <v>23</v>
      </c>
      <c r="M263" t="e">
        <f>+_xlfn.XLOOKUP(tbl_encuesta[[#This Row],[Mi supervisor o jefe directo fomenta que nos apoyemos entre todos en el equipo]],#REF!,#REF!)</f>
        <v>#REF!</v>
      </c>
      <c r="N263" t="s">
        <v>23</v>
      </c>
      <c r="O263" t="e">
        <f>+_xlfn.XLOOKUP(tbl_encuesta[[#This Row],[Siento que mi trabajo es reconocido por mi supervisor o jefe directo.]],#REF!,#REF!)</f>
        <v>#REF!</v>
      </c>
      <c r="P263" t="s">
        <v>31</v>
      </c>
      <c r="Q263" t="e">
        <f xml:space="preserve">
_xlfn.XLOOKUP(
tbl_encuesta[[#This Row],[Mi supervisor o jefe directo nos brinda charlas de 5 minutos y comunica las novedades relevantes a mi puesto de trabajo]],#REF!,#REF!
)</f>
        <v>#REF!</v>
      </c>
      <c r="R263" t="s">
        <v>17</v>
      </c>
      <c r="W263" t="s">
        <v>25</v>
      </c>
      <c r="X263" t="s">
        <v>23</v>
      </c>
      <c r="Y263" t="e">
        <f>+_xlfn.XLOOKUP(tbl_encuesta[[#This Row],[Considero a Limtek como un buen lugar para trabajar]],#REF!,#REF!)</f>
        <v>#REF!</v>
      </c>
      <c r="Z263" t="s">
        <v>724</v>
      </c>
      <c r="AA263" t="s">
        <v>725</v>
      </c>
      <c r="AB263" t="s">
        <v>726</v>
      </c>
      <c r="AC263" s="3" t="s">
        <v>3716</v>
      </c>
      <c r="AD263" s="3" t="s">
        <v>3716</v>
      </c>
      <c r="AE263" t="s">
        <v>69</v>
      </c>
    </row>
    <row r="264" spans="1:31" x14ac:dyDescent="0.25">
      <c r="A264">
        <v>119031560022</v>
      </c>
      <c r="B264">
        <v>462598545</v>
      </c>
      <c r="C264" s="1">
        <v>46028.259953703702</v>
      </c>
      <c r="D264" s="1">
        <v>46028.261574074073</v>
      </c>
      <c r="E264" t="s">
        <v>682</v>
      </c>
      <c r="F264" t="s">
        <v>22</v>
      </c>
      <c r="G264" t="e">
        <f>+_xlfn.XLOOKUP(tbl_encuesta[[#This Row],[Me siento a gusto con el ambiente de trabajo que se genera en mi equipo.]],#REF!,#REF!)</f>
        <v>#REF!</v>
      </c>
      <c r="H264" t="s">
        <v>22</v>
      </c>
      <c r="I264" t="e">
        <f>+_xlfn.XLOOKUP(tbl_encuesta[[#This Row],[Me siento motivado a dar lo mejor de mí y hacer un buen trabajo]],#REF!,#REF!)</f>
        <v>#REF!</v>
      </c>
      <c r="J264" t="s">
        <v>22</v>
      </c>
      <c r="K264" t="e">
        <f>+_xlfn.XLOOKUP(tbl_encuesta[[#This Row],[Mi supervisor o jefe directo me otorga el soporte que necesito para afrontar cualquier problema que afecte mi trabajo]],#REF!,#REF!)</f>
        <v>#REF!</v>
      </c>
      <c r="L264" t="s">
        <v>22</v>
      </c>
      <c r="M264" t="e">
        <f>+_xlfn.XLOOKUP(tbl_encuesta[[#This Row],[Mi supervisor o jefe directo fomenta que nos apoyemos entre todos en el equipo]],#REF!,#REF!)</f>
        <v>#REF!</v>
      </c>
      <c r="N264" t="s">
        <v>22</v>
      </c>
      <c r="O264" t="e">
        <f>+_xlfn.XLOOKUP(tbl_encuesta[[#This Row],[Siento que mi trabajo es reconocido por mi supervisor o jefe directo.]],#REF!,#REF!)</f>
        <v>#REF!</v>
      </c>
      <c r="P264" t="s">
        <v>24</v>
      </c>
      <c r="Q264" t="e">
        <f xml:space="preserve">
_xlfn.XLOOKUP(
tbl_encuesta[[#This Row],[Mi supervisor o jefe directo nos brinda charlas de 5 minutos y comunica las novedades relevantes a mi puesto de trabajo]],#REF!,#REF!
)</f>
        <v>#REF!</v>
      </c>
      <c r="U264" t="s">
        <v>20</v>
      </c>
      <c r="W264" t="s">
        <v>25</v>
      </c>
      <c r="X264" t="s">
        <v>22</v>
      </c>
      <c r="Y264" t="e">
        <f>+_xlfn.XLOOKUP(tbl_encuesta[[#This Row],[Considero a Limtek como un buen lugar para trabajar]],#REF!,#REF!)</f>
        <v>#REF!</v>
      </c>
      <c r="Z264" t="s">
        <v>576</v>
      </c>
      <c r="AA264" t="s">
        <v>727</v>
      </c>
      <c r="AB264" t="s">
        <v>567</v>
      </c>
      <c r="AC264" s="3" t="s">
        <v>3817</v>
      </c>
      <c r="AD264" s="3" t="s">
        <v>3818</v>
      </c>
      <c r="AE264" t="s">
        <v>69</v>
      </c>
    </row>
    <row r="265" spans="1:31" x14ac:dyDescent="0.25">
      <c r="A265">
        <v>119031558523</v>
      </c>
      <c r="B265">
        <v>462598545</v>
      </c>
      <c r="C265" s="1">
        <v>46028.25712962963</v>
      </c>
      <c r="D265" s="1">
        <v>46028.258564814816</v>
      </c>
      <c r="E265" t="s">
        <v>728</v>
      </c>
      <c r="F265" t="s">
        <v>23</v>
      </c>
      <c r="G265" t="e">
        <f>+_xlfn.XLOOKUP(tbl_encuesta[[#This Row],[Me siento a gusto con el ambiente de trabajo que se genera en mi equipo.]],#REF!,#REF!)</f>
        <v>#REF!</v>
      </c>
      <c r="H265" t="s">
        <v>23</v>
      </c>
      <c r="I265" t="e">
        <f>+_xlfn.XLOOKUP(tbl_encuesta[[#This Row],[Me siento motivado a dar lo mejor de mí y hacer un buen trabajo]],#REF!,#REF!)</f>
        <v>#REF!</v>
      </c>
      <c r="J265" t="s">
        <v>23</v>
      </c>
      <c r="K265" t="e">
        <f>+_xlfn.XLOOKUP(tbl_encuesta[[#This Row],[Mi supervisor o jefe directo me otorga el soporte que necesito para afrontar cualquier problema que afecte mi trabajo]],#REF!,#REF!)</f>
        <v>#REF!</v>
      </c>
      <c r="L265" t="s">
        <v>23</v>
      </c>
      <c r="M265" t="e">
        <f>+_xlfn.XLOOKUP(tbl_encuesta[[#This Row],[Mi supervisor o jefe directo fomenta que nos apoyemos entre todos en el equipo]],#REF!,#REF!)</f>
        <v>#REF!</v>
      </c>
      <c r="N265" t="s">
        <v>23</v>
      </c>
      <c r="O265" t="e">
        <f>+_xlfn.XLOOKUP(tbl_encuesta[[#This Row],[Siento que mi trabajo es reconocido por mi supervisor o jefe directo.]],#REF!,#REF!)</f>
        <v>#REF!</v>
      </c>
      <c r="P265" t="s">
        <v>67</v>
      </c>
      <c r="Q265" t="e">
        <f xml:space="preserve">
_xlfn.XLOOKUP(
tbl_encuesta[[#This Row],[Mi supervisor o jefe directo nos brinda charlas de 5 minutos y comunica las novedades relevantes a mi puesto de trabajo]],#REF!,#REF!
)</f>
        <v>#REF!</v>
      </c>
      <c r="S265" t="s">
        <v>18</v>
      </c>
      <c r="T265" t="s">
        <v>19</v>
      </c>
      <c r="W265" t="s">
        <v>25</v>
      </c>
      <c r="X265" t="s">
        <v>23</v>
      </c>
      <c r="Y265" t="e">
        <f>+_xlfn.XLOOKUP(tbl_encuesta[[#This Row],[Considero a Limtek como un buen lugar para trabajar]],#REF!,#REF!)</f>
        <v>#REF!</v>
      </c>
      <c r="Z265" t="s">
        <v>713</v>
      </c>
      <c r="AA265" t="s">
        <v>729</v>
      </c>
      <c r="AB265" t="s">
        <v>567</v>
      </c>
      <c r="AC265" s="3" t="s">
        <v>3716</v>
      </c>
      <c r="AD265" s="3" t="s">
        <v>3718</v>
      </c>
      <c r="AE265" t="s">
        <v>29</v>
      </c>
    </row>
    <row r="266" spans="1:31" x14ac:dyDescent="0.25">
      <c r="A266">
        <v>119031557683</v>
      </c>
      <c r="B266">
        <v>462598545</v>
      </c>
      <c r="C266" s="1">
        <v>46028.253275462965</v>
      </c>
      <c r="D266" s="1">
        <v>46028.256724537037</v>
      </c>
      <c r="E266" t="s">
        <v>730</v>
      </c>
      <c r="F266" t="s">
        <v>23</v>
      </c>
      <c r="G266" t="e">
        <f>+_xlfn.XLOOKUP(tbl_encuesta[[#This Row],[Me siento a gusto con el ambiente de trabajo que se genera en mi equipo.]],#REF!,#REF!)</f>
        <v>#REF!</v>
      </c>
      <c r="H266" t="s">
        <v>23</v>
      </c>
      <c r="I266" t="e">
        <f>+_xlfn.XLOOKUP(tbl_encuesta[[#This Row],[Me siento motivado a dar lo mejor de mí y hacer un buen trabajo]],#REF!,#REF!)</f>
        <v>#REF!</v>
      </c>
      <c r="J266" t="s">
        <v>23</v>
      </c>
      <c r="K266" t="e">
        <f>+_xlfn.XLOOKUP(tbl_encuesta[[#This Row],[Mi supervisor o jefe directo me otorga el soporte que necesito para afrontar cualquier problema que afecte mi trabajo]],#REF!,#REF!)</f>
        <v>#REF!</v>
      </c>
      <c r="L266" t="s">
        <v>23</v>
      </c>
      <c r="M266" t="e">
        <f>+_xlfn.XLOOKUP(tbl_encuesta[[#This Row],[Mi supervisor o jefe directo fomenta que nos apoyemos entre todos en el equipo]],#REF!,#REF!)</f>
        <v>#REF!</v>
      </c>
      <c r="N266" t="s">
        <v>23</v>
      </c>
      <c r="O266" t="e">
        <f>+_xlfn.XLOOKUP(tbl_encuesta[[#This Row],[Siento que mi trabajo es reconocido por mi supervisor o jefe directo.]],#REF!,#REF!)</f>
        <v>#REF!</v>
      </c>
      <c r="P266" t="s">
        <v>67</v>
      </c>
      <c r="Q266" t="e">
        <f xml:space="preserve">
_xlfn.XLOOKUP(
tbl_encuesta[[#This Row],[Mi supervisor o jefe directo nos brinda charlas de 5 minutos y comunica las novedades relevantes a mi puesto de trabajo]],#REF!,#REF!
)</f>
        <v>#REF!</v>
      </c>
      <c r="S266" t="s">
        <v>18</v>
      </c>
      <c r="T266" t="s">
        <v>19</v>
      </c>
      <c r="W266" t="s">
        <v>25</v>
      </c>
      <c r="X266" t="s">
        <v>23</v>
      </c>
      <c r="Y266" t="e">
        <f>+_xlfn.XLOOKUP(tbl_encuesta[[#This Row],[Considero a Limtek como un buen lugar para trabajar]],#REF!,#REF!)</f>
        <v>#REF!</v>
      </c>
      <c r="Z266" t="s">
        <v>731</v>
      </c>
      <c r="AA266" t="s">
        <v>732</v>
      </c>
      <c r="AB266" t="s">
        <v>567</v>
      </c>
      <c r="AC266" s="3" t="s">
        <v>3716</v>
      </c>
      <c r="AD266" s="3" t="s">
        <v>3718</v>
      </c>
      <c r="AE266" t="s">
        <v>29</v>
      </c>
    </row>
    <row r="267" spans="1:31" x14ac:dyDescent="0.25">
      <c r="A267">
        <v>119031556372</v>
      </c>
      <c r="B267">
        <v>462598545</v>
      </c>
      <c r="C267" s="1">
        <v>46028.245567129627</v>
      </c>
      <c r="D267" s="1">
        <v>46028.253900462965</v>
      </c>
      <c r="E267" t="s">
        <v>728</v>
      </c>
      <c r="F267" t="s">
        <v>23</v>
      </c>
      <c r="G267" t="e">
        <f>+_xlfn.XLOOKUP(tbl_encuesta[[#This Row],[Me siento a gusto con el ambiente de trabajo que se genera en mi equipo.]],#REF!,#REF!)</f>
        <v>#REF!</v>
      </c>
      <c r="H267" t="s">
        <v>23</v>
      </c>
      <c r="I267" t="e">
        <f>+_xlfn.XLOOKUP(tbl_encuesta[[#This Row],[Me siento motivado a dar lo mejor de mí y hacer un buen trabajo]],#REF!,#REF!)</f>
        <v>#REF!</v>
      </c>
      <c r="J267" t="s">
        <v>23</v>
      </c>
      <c r="K267" t="e">
        <f>+_xlfn.XLOOKUP(tbl_encuesta[[#This Row],[Mi supervisor o jefe directo me otorga el soporte que necesito para afrontar cualquier problema que afecte mi trabajo]],#REF!,#REF!)</f>
        <v>#REF!</v>
      </c>
      <c r="L267" t="s">
        <v>23</v>
      </c>
      <c r="M267" t="e">
        <f>+_xlfn.XLOOKUP(tbl_encuesta[[#This Row],[Mi supervisor o jefe directo fomenta que nos apoyemos entre todos en el equipo]],#REF!,#REF!)</f>
        <v>#REF!</v>
      </c>
      <c r="N267" t="s">
        <v>23</v>
      </c>
      <c r="O267" t="e">
        <f>+_xlfn.XLOOKUP(tbl_encuesta[[#This Row],[Siento que mi trabajo es reconocido por mi supervisor o jefe directo.]],#REF!,#REF!)</f>
        <v>#REF!</v>
      </c>
      <c r="P267" t="s">
        <v>31</v>
      </c>
      <c r="Q267" t="e">
        <f xml:space="preserve">
_xlfn.XLOOKUP(
tbl_encuesta[[#This Row],[Mi supervisor o jefe directo nos brinda charlas de 5 minutos y comunica las novedades relevantes a mi puesto de trabajo]],#REF!,#REF!
)</f>
        <v>#REF!</v>
      </c>
      <c r="S267" t="s">
        <v>18</v>
      </c>
      <c r="T267" t="s">
        <v>19</v>
      </c>
      <c r="W267" t="s">
        <v>25</v>
      </c>
      <c r="X267" t="s">
        <v>23</v>
      </c>
      <c r="Y267" t="e">
        <f>+_xlfn.XLOOKUP(tbl_encuesta[[#This Row],[Considero a Limtek como un buen lugar para trabajar]],#REF!,#REF!)</f>
        <v>#REF!</v>
      </c>
      <c r="Z267" t="s">
        <v>733</v>
      </c>
      <c r="AA267" t="s">
        <v>734</v>
      </c>
      <c r="AB267" t="s">
        <v>567</v>
      </c>
      <c r="AC267" s="3" t="s">
        <v>3716</v>
      </c>
      <c r="AD267" s="3" t="s">
        <v>3718</v>
      </c>
      <c r="AE267" t="s">
        <v>29</v>
      </c>
    </row>
    <row r="268" spans="1:31" x14ac:dyDescent="0.25">
      <c r="A268">
        <v>119031555840</v>
      </c>
      <c r="B268">
        <v>462598545</v>
      </c>
      <c r="C268" s="1">
        <v>46028.245358796295</v>
      </c>
      <c r="D268" s="1">
        <v>46028.25271990741</v>
      </c>
      <c r="E268" t="s">
        <v>730</v>
      </c>
      <c r="F268" t="s">
        <v>23</v>
      </c>
      <c r="G268" t="e">
        <f>+_xlfn.XLOOKUP(tbl_encuesta[[#This Row],[Me siento a gusto con el ambiente de trabajo que se genera en mi equipo.]],#REF!,#REF!)</f>
        <v>#REF!</v>
      </c>
      <c r="H268" t="s">
        <v>23</v>
      </c>
      <c r="I268" t="e">
        <f>+_xlfn.XLOOKUP(tbl_encuesta[[#This Row],[Me siento motivado a dar lo mejor de mí y hacer un buen trabajo]],#REF!,#REF!)</f>
        <v>#REF!</v>
      </c>
      <c r="J268" t="s">
        <v>23</v>
      </c>
      <c r="K268" t="e">
        <f>+_xlfn.XLOOKUP(tbl_encuesta[[#This Row],[Mi supervisor o jefe directo me otorga el soporte que necesito para afrontar cualquier problema que afecte mi trabajo]],#REF!,#REF!)</f>
        <v>#REF!</v>
      </c>
      <c r="L268" t="s">
        <v>23</v>
      </c>
      <c r="M268" t="e">
        <f>+_xlfn.XLOOKUP(tbl_encuesta[[#This Row],[Mi supervisor o jefe directo fomenta que nos apoyemos entre todos en el equipo]],#REF!,#REF!)</f>
        <v>#REF!</v>
      </c>
      <c r="N268" t="s">
        <v>23</v>
      </c>
      <c r="O268" t="e">
        <f>+_xlfn.XLOOKUP(tbl_encuesta[[#This Row],[Siento que mi trabajo es reconocido por mi supervisor o jefe directo.]],#REF!,#REF!)</f>
        <v>#REF!</v>
      </c>
      <c r="P268" t="s">
        <v>31</v>
      </c>
      <c r="Q268" t="e">
        <f xml:space="preserve">
_xlfn.XLOOKUP(
tbl_encuesta[[#This Row],[Mi supervisor o jefe directo nos brinda charlas de 5 minutos y comunica las novedades relevantes a mi puesto de trabajo]],#REF!,#REF!
)</f>
        <v>#REF!</v>
      </c>
      <c r="S268" t="s">
        <v>18</v>
      </c>
      <c r="T268" t="s">
        <v>19</v>
      </c>
      <c r="W268" t="s">
        <v>25</v>
      </c>
      <c r="X268" t="s">
        <v>23</v>
      </c>
      <c r="Y268" t="e">
        <f>+_xlfn.XLOOKUP(tbl_encuesta[[#This Row],[Considero a Limtek como un buen lugar para trabajar]],#REF!,#REF!)</f>
        <v>#REF!</v>
      </c>
      <c r="Z268" t="s">
        <v>735</v>
      </c>
      <c r="AA268" t="s">
        <v>736</v>
      </c>
      <c r="AB268" t="s">
        <v>567</v>
      </c>
      <c r="AC268" s="3" t="s">
        <v>3716</v>
      </c>
      <c r="AD268" s="3" t="s">
        <v>3716</v>
      </c>
      <c r="AE268" t="s">
        <v>69</v>
      </c>
    </row>
    <row r="269" spans="1:31" x14ac:dyDescent="0.25">
      <c r="A269">
        <v>119031477232</v>
      </c>
      <c r="B269">
        <v>462598545</v>
      </c>
      <c r="C269" s="1">
        <v>46028.063217592593</v>
      </c>
      <c r="D269" s="1">
        <v>46028.066111111111</v>
      </c>
      <c r="E269" t="s">
        <v>737</v>
      </c>
      <c r="F269" t="s">
        <v>22</v>
      </c>
      <c r="G269" t="e">
        <f>+_xlfn.XLOOKUP(tbl_encuesta[[#This Row],[Me siento a gusto con el ambiente de trabajo que se genera en mi equipo.]],#REF!,#REF!)</f>
        <v>#REF!</v>
      </c>
      <c r="H269" t="s">
        <v>23</v>
      </c>
      <c r="I269" t="e">
        <f>+_xlfn.XLOOKUP(tbl_encuesta[[#This Row],[Me siento motivado a dar lo mejor de mí y hacer un buen trabajo]],#REF!,#REF!)</f>
        <v>#REF!</v>
      </c>
      <c r="J269" t="s">
        <v>23</v>
      </c>
      <c r="K269" t="e">
        <f>+_xlfn.XLOOKUP(tbl_encuesta[[#This Row],[Mi supervisor o jefe directo me otorga el soporte que necesito para afrontar cualquier problema que afecte mi trabajo]],#REF!,#REF!)</f>
        <v>#REF!</v>
      </c>
      <c r="L269" t="s">
        <v>23</v>
      </c>
      <c r="M269" t="e">
        <f>+_xlfn.XLOOKUP(tbl_encuesta[[#This Row],[Mi supervisor o jefe directo fomenta que nos apoyemos entre todos en el equipo]],#REF!,#REF!)</f>
        <v>#REF!</v>
      </c>
      <c r="N269" t="s">
        <v>23</v>
      </c>
      <c r="O269" t="e">
        <f>+_xlfn.XLOOKUP(tbl_encuesta[[#This Row],[Siento que mi trabajo es reconocido por mi supervisor o jefe directo.]],#REF!,#REF!)</f>
        <v>#REF!</v>
      </c>
      <c r="P269" t="s">
        <v>31</v>
      </c>
      <c r="Q269" t="e">
        <f xml:space="preserve">
_xlfn.XLOOKUP(
tbl_encuesta[[#This Row],[Mi supervisor o jefe directo nos brinda charlas de 5 minutos y comunica las novedades relevantes a mi puesto de trabajo]],#REF!,#REF!
)</f>
        <v>#REF!</v>
      </c>
      <c r="R269" t="s">
        <v>17</v>
      </c>
      <c r="S269" t="s">
        <v>18</v>
      </c>
      <c r="W269" t="s">
        <v>25</v>
      </c>
      <c r="X269" t="s">
        <v>23</v>
      </c>
      <c r="Y269" t="e">
        <f>+_xlfn.XLOOKUP(tbl_encuesta[[#This Row],[Considero a Limtek como un buen lugar para trabajar]],#REF!,#REF!)</f>
        <v>#REF!</v>
      </c>
      <c r="Z269" t="s">
        <v>738</v>
      </c>
      <c r="AA269" t="s">
        <v>739</v>
      </c>
      <c r="AB269" t="s">
        <v>726</v>
      </c>
      <c r="AC269" s="3" t="s">
        <v>3716</v>
      </c>
      <c r="AD269" s="3" t="s">
        <v>3708</v>
      </c>
      <c r="AE269" t="s">
        <v>69</v>
      </c>
    </row>
    <row r="270" spans="1:31" x14ac:dyDescent="0.25">
      <c r="A270">
        <v>119031446689</v>
      </c>
      <c r="B270">
        <v>462598545</v>
      </c>
      <c r="C270" s="1">
        <v>46027.968229166669</v>
      </c>
      <c r="D270" s="1">
        <v>46027.971851851849</v>
      </c>
      <c r="E270" t="s">
        <v>627</v>
      </c>
      <c r="F270" t="s">
        <v>23</v>
      </c>
      <c r="G270" t="e">
        <f>+_xlfn.XLOOKUP(tbl_encuesta[[#This Row],[Me siento a gusto con el ambiente de trabajo que se genera en mi equipo.]],#REF!,#REF!)</f>
        <v>#REF!</v>
      </c>
      <c r="H270" t="s">
        <v>23</v>
      </c>
      <c r="I270" t="e">
        <f>+_xlfn.XLOOKUP(tbl_encuesta[[#This Row],[Me siento motivado a dar lo mejor de mí y hacer un buen trabajo]],#REF!,#REF!)</f>
        <v>#REF!</v>
      </c>
      <c r="J270" t="s">
        <v>23</v>
      </c>
      <c r="K270" t="e">
        <f>+_xlfn.XLOOKUP(tbl_encuesta[[#This Row],[Mi supervisor o jefe directo me otorga el soporte que necesito para afrontar cualquier problema que afecte mi trabajo]],#REF!,#REF!)</f>
        <v>#REF!</v>
      </c>
      <c r="L270" t="s">
        <v>23</v>
      </c>
      <c r="M270" t="e">
        <f>+_xlfn.XLOOKUP(tbl_encuesta[[#This Row],[Mi supervisor o jefe directo fomenta que nos apoyemos entre todos en el equipo]],#REF!,#REF!)</f>
        <v>#REF!</v>
      </c>
      <c r="N270" t="s">
        <v>22</v>
      </c>
      <c r="O270" t="e">
        <f>+_xlfn.XLOOKUP(tbl_encuesta[[#This Row],[Siento que mi trabajo es reconocido por mi supervisor o jefe directo.]],#REF!,#REF!)</f>
        <v>#REF!</v>
      </c>
      <c r="P270" t="s">
        <v>31</v>
      </c>
      <c r="Q270" t="e">
        <f xml:space="preserve">
_xlfn.XLOOKUP(
tbl_encuesta[[#This Row],[Mi supervisor o jefe directo nos brinda charlas de 5 minutos y comunica las novedades relevantes a mi puesto de trabajo]],#REF!,#REF!
)</f>
        <v>#REF!</v>
      </c>
      <c r="R270" t="s">
        <v>17</v>
      </c>
      <c r="U270" t="s">
        <v>20</v>
      </c>
      <c r="W270" t="s">
        <v>25</v>
      </c>
      <c r="X270" t="s">
        <v>23</v>
      </c>
      <c r="Y270" t="e">
        <f>+_xlfn.XLOOKUP(tbl_encuesta[[#This Row],[Considero a Limtek como un buen lugar para trabajar]],#REF!,#REF!)</f>
        <v>#REF!</v>
      </c>
      <c r="Z270" t="s">
        <v>740</v>
      </c>
      <c r="AA270" t="s">
        <v>741</v>
      </c>
      <c r="AB270" t="s">
        <v>28</v>
      </c>
      <c r="AC270" s="3" t="s">
        <v>3845</v>
      </c>
      <c r="AD270" s="3" t="s">
        <v>3846</v>
      </c>
      <c r="AE270" t="s">
        <v>29</v>
      </c>
    </row>
    <row r="271" spans="1:31" x14ac:dyDescent="0.25">
      <c r="A271">
        <v>119031442405</v>
      </c>
      <c r="B271">
        <v>462598545</v>
      </c>
      <c r="C271" s="1">
        <v>46027.957951388889</v>
      </c>
      <c r="D271" s="1">
        <v>46027.960277777776</v>
      </c>
      <c r="E271" t="s">
        <v>627</v>
      </c>
      <c r="F271" t="s">
        <v>23</v>
      </c>
      <c r="G271" t="e">
        <f>+_xlfn.XLOOKUP(tbl_encuesta[[#This Row],[Me siento a gusto con el ambiente de trabajo que se genera en mi equipo.]],#REF!,#REF!)</f>
        <v>#REF!</v>
      </c>
      <c r="H271" t="s">
        <v>23</v>
      </c>
      <c r="I271" t="e">
        <f>+_xlfn.XLOOKUP(tbl_encuesta[[#This Row],[Me siento motivado a dar lo mejor de mí y hacer un buen trabajo]],#REF!,#REF!)</f>
        <v>#REF!</v>
      </c>
      <c r="J271" t="s">
        <v>23</v>
      </c>
      <c r="K271" t="e">
        <f>+_xlfn.XLOOKUP(tbl_encuesta[[#This Row],[Mi supervisor o jefe directo me otorga el soporte que necesito para afrontar cualquier problema que afecte mi trabajo]],#REF!,#REF!)</f>
        <v>#REF!</v>
      </c>
      <c r="L271" t="s">
        <v>23</v>
      </c>
      <c r="M271" t="e">
        <f>+_xlfn.XLOOKUP(tbl_encuesta[[#This Row],[Mi supervisor o jefe directo fomenta que nos apoyemos entre todos en el equipo]],#REF!,#REF!)</f>
        <v>#REF!</v>
      </c>
      <c r="N271" t="s">
        <v>23</v>
      </c>
      <c r="O271" t="e">
        <f>+_xlfn.XLOOKUP(tbl_encuesta[[#This Row],[Siento que mi trabajo es reconocido por mi supervisor o jefe directo.]],#REF!,#REF!)</f>
        <v>#REF!</v>
      </c>
      <c r="P271" t="s">
        <v>31</v>
      </c>
      <c r="Q271" t="e">
        <f xml:space="preserve">
_xlfn.XLOOKUP(
tbl_encuesta[[#This Row],[Mi supervisor o jefe directo nos brinda charlas de 5 minutos y comunica las novedades relevantes a mi puesto de trabajo]],#REF!,#REF!
)</f>
        <v>#REF!</v>
      </c>
      <c r="R271" t="s">
        <v>17</v>
      </c>
      <c r="T271" t="s">
        <v>19</v>
      </c>
      <c r="W271" t="s">
        <v>25</v>
      </c>
      <c r="X271" t="s">
        <v>23</v>
      </c>
      <c r="Y271" t="e">
        <f>+_xlfn.XLOOKUP(tbl_encuesta[[#This Row],[Considero a Limtek como un buen lugar para trabajar]],#REF!,#REF!)</f>
        <v>#REF!</v>
      </c>
      <c r="Z271" t="s">
        <v>193</v>
      </c>
      <c r="AA271" t="s">
        <v>630</v>
      </c>
      <c r="AB271" t="s">
        <v>28</v>
      </c>
      <c r="AC271" s="3" t="s">
        <v>3845</v>
      </c>
      <c r="AD271" s="3" t="s">
        <v>3846</v>
      </c>
      <c r="AE271" t="s">
        <v>29</v>
      </c>
    </row>
    <row r="272" spans="1:31" x14ac:dyDescent="0.25">
      <c r="A272">
        <v>119031440790</v>
      </c>
      <c r="B272">
        <v>462598545</v>
      </c>
      <c r="C272" s="1">
        <v>46027.951631944445</v>
      </c>
      <c r="D272" s="1">
        <v>46027.955891203703</v>
      </c>
      <c r="E272" t="s">
        <v>742</v>
      </c>
      <c r="F272" t="s">
        <v>23</v>
      </c>
      <c r="G272" t="e">
        <f>+_xlfn.XLOOKUP(tbl_encuesta[[#This Row],[Me siento a gusto con el ambiente de trabajo que se genera en mi equipo.]],#REF!,#REF!)</f>
        <v>#REF!</v>
      </c>
      <c r="H272" t="s">
        <v>23</v>
      </c>
      <c r="I272" t="e">
        <f>+_xlfn.XLOOKUP(tbl_encuesta[[#This Row],[Me siento motivado a dar lo mejor de mí y hacer un buen trabajo]],#REF!,#REF!)</f>
        <v>#REF!</v>
      </c>
      <c r="J272" t="s">
        <v>23</v>
      </c>
      <c r="K272" t="e">
        <f>+_xlfn.XLOOKUP(tbl_encuesta[[#This Row],[Mi supervisor o jefe directo me otorga el soporte que necesito para afrontar cualquier problema que afecte mi trabajo]],#REF!,#REF!)</f>
        <v>#REF!</v>
      </c>
      <c r="L272" t="s">
        <v>23</v>
      </c>
      <c r="M272" t="e">
        <f>+_xlfn.XLOOKUP(tbl_encuesta[[#This Row],[Mi supervisor o jefe directo fomenta que nos apoyemos entre todos en el equipo]],#REF!,#REF!)</f>
        <v>#REF!</v>
      </c>
      <c r="N272" t="s">
        <v>23</v>
      </c>
      <c r="O272" t="e">
        <f>+_xlfn.XLOOKUP(tbl_encuesta[[#This Row],[Siento que mi trabajo es reconocido por mi supervisor o jefe directo.]],#REF!,#REF!)</f>
        <v>#REF!</v>
      </c>
      <c r="P272" t="s">
        <v>31</v>
      </c>
      <c r="Q272" t="e">
        <f xml:space="preserve">
_xlfn.XLOOKUP(
tbl_encuesta[[#This Row],[Mi supervisor o jefe directo nos brinda charlas de 5 minutos y comunica las novedades relevantes a mi puesto de trabajo]],#REF!,#REF!
)</f>
        <v>#REF!</v>
      </c>
      <c r="S272" t="s">
        <v>18</v>
      </c>
      <c r="W272" t="s">
        <v>25</v>
      </c>
      <c r="X272" t="s">
        <v>23</v>
      </c>
      <c r="Y272" t="e">
        <f>+_xlfn.XLOOKUP(tbl_encuesta[[#This Row],[Considero a Limtek como un buen lugar para trabajar]],#REF!,#REF!)</f>
        <v>#REF!</v>
      </c>
      <c r="Z272" t="s">
        <v>743</v>
      </c>
      <c r="AA272" t="s">
        <v>744</v>
      </c>
      <c r="AB272" t="s">
        <v>567</v>
      </c>
      <c r="AC272" s="3" t="s">
        <v>3758</v>
      </c>
      <c r="AD272" s="3" t="s">
        <v>3758</v>
      </c>
      <c r="AE272" t="s">
        <v>61</v>
      </c>
    </row>
    <row r="273" spans="1:31" x14ac:dyDescent="0.25">
      <c r="A273">
        <v>119031440688</v>
      </c>
      <c r="B273">
        <v>462598545</v>
      </c>
      <c r="C273" s="1">
        <v>46027.95175925926</v>
      </c>
      <c r="D273" s="1">
        <v>46027.955636574072</v>
      </c>
      <c r="E273" t="s">
        <v>745</v>
      </c>
      <c r="F273" t="s">
        <v>23</v>
      </c>
      <c r="G273" t="e">
        <f>+_xlfn.XLOOKUP(tbl_encuesta[[#This Row],[Me siento a gusto con el ambiente de trabajo que se genera en mi equipo.]],#REF!,#REF!)</f>
        <v>#REF!</v>
      </c>
      <c r="H273" t="s">
        <v>23</v>
      </c>
      <c r="I273" t="e">
        <f>+_xlfn.XLOOKUP(tbl_encuesta[[#This Row],[Me siento motivado a dar lo mejor de mí y hacer un buen trabajo]],#REF!,#REF!)</f>
        <v>#REF!</v>
      </c>
      <c r="J273" t="s">
        <v>23</v>
      </c>
      <c r="K273" t="e">
        <f>+_xlfn.XLOOKUP(tbl_encuesta[[#This Row],[Mi supervisor o jefe directo me otorga el soporte que necesito para afrontar cualquier problema que afecte mi trabajo]],#REF!,#REF!)</f>
        <v>#REF!</v>
      </c>
      <c r="L273" t="s">
        <v>23</v>
      </c>
      <c r="M273" t="e">
        <f>+_xlfn.XLOOKUP(tbl_encuesta[[#This Row],[Mi supervisor o jefe directo fomenta que nos apoyemos entre todos en el equipo]],#REF!,#REF!)</f>
        <v>#REF!</v>
      </c>
      <c r="N273" t="s">
        <v>23</v>
      </c>
      <c r="O273" t="e">
        <f>+_xlfn.XLOOKUP(tbl_encuesta[[#This Row],[Siento que mi trabajo es reconocido por mi supervisor o jefe directo.]],#REF!,#REF!)</f>
        <v>#REF!</v>
      </c>
      <c r="P273" t="s">
        <v>31</v>
      </c>
      <c r="Q273" t="e">
        <f xml:space="preserve">
_xlfn.XLOOKUP(
tbl_encuesta[[#This Row],[Mi supervisor o jefe directo nos brinda charlas de 5 minutos y comunica las novedades relevantes a mi puesto de trabajo]],#REF!,#REF!
)</f>
        <v>#REF!</v>
      </c>
      <c r="R273" t="s">
        <v>17</v>
      </c>
      <c r="S273" t="s">
        <v>18</v>
      </c>
      <c r="W273" t="s">
        <v>25</v>
      </c>
      <c r="X273" t="s">
        <v>23</v>
      </c>
      <c r="Y273" t="e">
        <f>+_xlfn.XLOOKUP(tbl_encuesta[[#This Row],[Considero a Limtek como un buen lugar para trabajar]],#REF!,#REF!)</f>
        <v>#REF!</v>
      </c>
      <c r="Z273" t="s">
        <v>746</v>
      </c>
      <c r="AA273" t="s">
        <v>747</v>
      </c>
      <c r="AB273" t="s">
        <v>581</v>
      </c>
      <c r="AC273" s="3" t="s">
        <v>3716</v>
      </c>
      <c r="AD273" s="3" t="s">
        <v>3716</v>
      </c>
      <c r="AE273" t="s">
        <v>29</v>
      </c>
    </row>
    <row r="274" spans="1:31" x14ac:dyDescent="0.25">
      <c r="A274">
        <v>119031438827</v>
      </c>
      <c r="B274">
        <v>462598545</v>
      </c>
      <c r="C274" s="1">
        <v>46027.938923611109</v>
      </c>
      <c r="D274" s="1">
        <v>46027.950567129628</v>
      </c>
      <c r="E274" t="s">
        <v>748</v>
      </c>
      <c r="F274" t="s">
        <v>23</v>
      </c>
      <c r="G274" t="e">
        <f>+_xlfn.XLOOKUP(tbl_encuesta[[#This Row],[Me siento a gusto con el ambiente de trabajo que se genera en mi equipo.]],#REF!,#REF!)</f>
        <v>#REF!</v>
      </c>
      <c r="H274" t="s">
        <v>23</v>
      </c>
      <c r="I274" t="e">
        <f>+_xlfn.XLOOKUP(tbl_encuesta[[#This Row],[Me siento motivado a dar lo mejor de mí y hacer un buen trabajo]],#REF!,#REF!)</f>
        <v>#REF!</v>
      </c>
      <c r="J274" t="s">
        <v>23</v>
      </c>
      <c r="K274" t="e">
        <f>+_xlfn.XLOOKUP(tbl_encuesta[[#This Row],[Mi supervisor o jefe directo me otorga el soporte que necesito para afrontar cualquier problema que afecte mi trabajo]],#REF!,#REF!)</f>
        <v>#REF!</v>
      </c>
      <c r="L274" t="s">
        <v>23</v>
      </c>
      <c r="M274" t="e">
        <f>+_xlfn.XLOOKUP(tbl_encuesta[[#This Row],[Mi supervisor o jefe directo fomenta que nos apoyemos entre todos en el equipo]],#REF!,#REF!)</f>
        <v>#REF!</v>
      </c>
      <c r="N274" t="s">
        <v>23</v>
      </c>
      <c r="O274" t="e">
        <f>+_xlfn.XLOOKUP(tbl_encuesta[[#This Row],[Siento que mi trabajo es reconocido por mi supervisor o jefe directo.]],#REF!,#REF!)</f>
        <v>#REF!</v>
      </c>
      <c r="P274" t="s">
        <v>31</v>
      </c>
      <c r="Q274" t="e">
        <f xml:space="preserve">
_xlfn.XLOOKUP(
tbl_encuesta[[#This Row],[Mi supervisor o jefe directo nos brinda charlas de 5 minutos y comunica las novedades relevantes a mi puesto de trabajo]],#REF!,#REF!
)</f>
        <v>#REF!</v>
      </c>
      <c r="R274" t="s">
        <v>17</v>
      </c>
      <c r="S274" t="s">
        <v>18</v>
      </c>
      <c r="W274" t="s">
        <v>25</v>
      </c>
      <c r="X274" t="s">
        <v>23</v>
      </c>
      <c r="Y274" t="e">
        <f>+_xlfn.XLOOKUP(tbl_encuesta[[#This Row],[Considero a Limtek como un buen lugar para trabajar]],#REF!,#REF!)</f>
        <v>#REF!</v>
      </c>
      <c r="Z274" t="s">
        <v>749</v>
      </c>
      <c r="AA274" t="s">
        <v>750</v>
      </c>
      <c r="AB274" t="s">
        <v>581</v>
      </c>
      <c r="AC274" s="3" t="s">
        <v>3716</v>
      </c>
      <c r="AD274" s="3" t="s">
        <v>814</v>
      </c>
      <c r="AE274" t="s">
        <v>29</v>
      </c>
    </row>
    <row r="275" spans="1:31" x14ac:dyDescent="0.25">
      <c r="A275">
        <v>119031419229</v>
      </c>
      <c r="B275">
        <v>462598545</v>
      </c>
      <c r="C275" s="1">
        <v>46027.896655092591</v>
      </c>
      <c r="D275" s="1">
        <v>46027.905300925922</v>
      </c>
      <c r="E275" t="s">
        <v>751</v>
      </c>
      <c r="F275" t="s">
        <v>23</v>
      </c>
      <c r="G275" t="e">
        <f>+_xlfn.XLOOKUP(tbl_encuesta[[#This Row],[Me siento a gusto con el ambiente de trabajo que se genera en mi equipo.]],#REF!,#REF!)</f>
        <v>#REF!</v>
      </c>
      <c r="H275" t="s">
        <v>23</v>
      </c>
      <c r="I275" t="e">
        <f>+_xlfn.XLOOKUP(tbl_encuesta[[#This Row],[Me siento motivado a dar lo mejor de mí y hacer un buen trabajo]],#REF!,#REF!)</f>
        <v>#REF!</v>
      </c>
      <c r="J275" t="s">
        <v>22</v>
      </c>
      <c r="K275" t="e">
        <f>+_xlfn.XLOOKUP(tbl_encuesta[[#This Row],[Mi supervisor o jefe directo me otorga el soporte que necesito para afrontar cualquier problema que afecte mi trabajo]],#REF!,#REF!)</f>
        <v>#REF!</v>
      </c>
      <c r="L275" t="s">
        <v>22</v>
      </c>
      <c r="M275" t="e">
        <f>+_xlfn.XLOOKUP(tbl_encuesta[[#This Row],[Mi supervisor o jefe directo fomenta que nos apoyemos entre todos en el equipo]],#REF!,#REF!)</f>
        <v>#REF!</v>
      </c>
      <c r="N275" t="s">
        <v>23</v>
      </c>
      <c r="O275" t="e">
        <f>+_xlfn.XLOOKUP(tbl_encuesta[[#This Row],[Siento que mi trabajo es reconocido por mi supervisor o jefe directo.]],#REF!,#REF!)</f>
        <v>#REF!</v>
      </c>
      <c r="P275" t="s">
        <v>31</v>
      </c>
      <c r="Q275" t="e">
        <f xml:space="preserve">
_xlfn.XLOOKUP(
tbl_encuesta[[#This Row],[Mi supervisor o jefe directo nos brinda charlas de 5 minutos y comunica las novedades relevantes a mi puesto de trabajo]],#REF!,#REF!
)</f>
        <v>#REF!</v>
      </c>
      <c r="R275" t="s">
        <v>17</v>
      </c>
      <c r="T275" t="s">
        <v>19</v>
      </c>
      <c r="W275" t="s">
        <v>25</v>
      </c>
      <c r="X275" t="s">
        <v>23</v>
      </c>
      <c r="Y275" t="e">
        <f>+_xlfn.XLOOKUP(tbl_encuesta[[#This Row],[Considero a Limtek como un buen lugar para trabajar]],#REF!,#REF!)</f>
        <v>#REF!</v>
      </c>
      <c r="Z275" t="s">
        <v>752</v>
      </c>
      <c r="AA275" t="s">
        <v>753</v>
      </c>
      <c r="AB275" t="s">
        <v>567</v>
      </c>
      <c r="AC275" s="3" t="s">
        <v>3610</v>
      </c>
      <c r="AD275" s="3" t="s">
        <v>3610</v>
      </c>
      <c r="AE275" t="s">
        <v>55</v>
      </c>
    </row>
    <row r="276" spans="1:31" x14ac:dyDescent="0.25">
      <c r="A276">
        <v>119031416679</v>
      </c>
      <c r="B276">
        <v>462598545</v>
      </c>
      <c r="C276" s="1">
        <v>46027.897824074076</v>
      </c>
      <c r="D276" s="1">
        <v>46027.900069444448</v>
      </c>
      <c r="E276" t="s">
        <v>754</v>
      </c>
      <c r="F276" t="s">
        <v>23</v>
      </c>
      <c r="G276" t="e">
        <f>+_xlfn.XLOOKUP(tbl_encuesta[[#This Row],[Me siento a gusto con el ambiente de trabajo que se genera en mi equipo.]],#REF!,#REF!)</f>
        <v>#REF!</v>
      </c>
      <c r="H276" t="s">
        <v>23</v>
      </c>
      <c r="I276" t="e">
        <f>+_xlfn.XLOOKUP(tbl_encuesta[[#This Row],[Me siento motivado a dar lo mejor de mí y hacer un buen trabajo]],#REF!,#REF!)</f>
        <v>#REF!</v>
      </c>
      <c r="J276" t="s">
        <v>23</v>
      </c>
      <c r="K276" t="e">
        <f>+_xlfn.XLOOKUP(tbl_encuesta[[#This Row],[Mi supervisor o jefe directo me otorga el soporte que necesito para afrontar cualquier problema que afecte mi trabajo]],#REF!,#REF!)</f>
        <v>#REF!</v>
      </c>
      <c r="L276" t="s">
        <v>23</v>
      </c>
      <c r="M276" t="e">
        <f>+_xlfn.XLOOKUP(tbl_encuesta[[#This Row],[Mi supervisor o jefe directo fomenta que nos apoyemos entre todos en el equipo]],#REF!,#REF!)</f>
        <v>#REF!</v>
      </c>
      <c r="N276" t="s">
        <v>23</v>
      </c>
      <c r="O276" t="e">
        <f>+_xlfn.XLOOKUP(tbl_encuesta[[#This Row],[Siento que mi trabajo es reconocido por mi supervisor o jefe directo.]],#REF!,#REF!)</f>
        <v>#REF!</v>
      </c>
      <c r="P276" t="s">
        <v>67</v>
      </c>
      <c r="Q276" t="e">
        <f xml:space="preserve">
_xlfn.XLOOKUP(
tbl_encuesta[[#This Row],[Mi supervisor o jefe directo nos brinda charlas de 5 minutos y comunica las novedades relevantes a mi puesto de trabajo]],#REF!,#REF!
)</f>
        <v>#REF!</v>
      </c>
      <c r="R276" t="s">
        <v>17</v>
      </c>
      <c r="T276" t="s">
        <v>19</v>
      </c>
      <c r="W276" t="s">
        <v>25</v>
      </c>
      <c r="X276" t="s">
        <v>22</v>
      </c>
      <c r="Y276" t="e">
        <f>+_xlfn.XLOOKUP(tbl_encuesta[[#This Row],[Considero a Limtek como un buen lugar para trabajar]],#REF!,#REF!)</f>
        <v>#REF!</v>
      </c>
      <c r="Z276" t="s">
        <v>755</v>
      </c>
      <c r="AA276" t="s">
        <v>756</v>
      </c>
      <c r="AB276" t="s">
        <v>28</v>
      </c>
      <c r="AC276" t="s">
        <v>3744</v>
      </c>
      <c r="AD276" t="s">
        <v>3744</v>
      </c>
      <c r="AE276" t="s">
        <v>55</v>
      </c>
    </row>
    <row r="277" spans="1:31" x14ac:dyDescent="0.25">
      <c r="A277">
        <v>119031415348</v>
      </c>
      <c r="B277">
        <v>462598545</v>
      </c>
      <c r="C277" s="1">
        <v>46027.892164351855</v>
      </c>
      <c r="D277" s="1">
        <v>46027.89739583333</v>
      </c>
      <c r="E277" t="s">
        <v>754</v>
      </c>
      <c r="F277" t="s">
        <v>23</v>
      </c>
      <c r="G277" t="e">
        <f>+_xlfn.XLOOKUP(tbl_encuesta[[#This Row],[Me siento a gusto con el ambiente de trabajo que se genera en mi equipo.]],#REF!,#REF!)</f>
        <v>#REF!</v>
      </c>
      <c r="H277" t="s">
        <v>23</v>
      </c>
      <c r="I277" t="e">
        <f>+_xlfn.XLOOKUP(tbl_encuesta[[#This Row],[Me siento motivado a dar lo mejor de mí y hacer un buen trabajo]],#REF!,#REF!)</f>
        <v>#REF!</v>
      </c>
      <c r="J277" t="s">
        <v>23</v>
      </c>
      <c r="K277" t="e">
        <f>+_xlfn.XLOOKUP(tbl_encuesta[[#This Row],[Mi supervisor o jefe directo me otorga el soporte que necesito para afrontar cualquier problema que afecte mi trabajo]],#REF!,#REF!)</f>
        <v>#REF!</v>
      </c>
      <c r="L277" t="s">
        <v>23</v>
      </c>
      <c r="M277" t="e">
        <f>+_xlfn.XLOOKUP(tbl_encuesta[[#This Row],[Mi supervisor o jefe directo fomenta que nos apoyemos entre todos en el equipo]],#REF!,#REF!)</f>
        <v>#REF!</v>
      </c>
      <c r="N277" t="s">
        <v>23</v>
      </c>
      <c r="O277" t="e">
        <f>+_xlfn.XLOOKUP(tbl_encuesta[[#This Row],[Siento que mi trabajo es reconocido por mi supervisor o jefe directo.]],#REF!,#REF!)</f>
        <v>#REF!</v>
      </c>
      <c r="P277" t="s">
        <v>67</v>
      </c>
      <c r="Q277" t="e">
        <f xml:space="preserve">
_xlfn.XLOOKUP(
tbl_encuesta[[#This Row],[Mi supervisor o jefe directo nos brinda charlas de 5 minutos y comunica las novedades relevantes a mi puesto de trabajo]],#REF!,#REF!
)</f>
        <v>#REF!</v>
      </c>
      <c r="T277" t="s">
        <v>19</v>
      </c>
      <c r="U277" t="s">
        <v>20</v>
      </c>
      <c r="W277" t="s">
        <v>25</v>
      </c>
      <c r="X277" t="s">
        <v>23</v>
      </c>
      <c r="Y277" t="e">
        <f>+_xlfn.XLOOKUP(tbl_encuesta[[#This Row],[Considero a Limtek como un buen lugar para trabajar]],#REF!,#REF!)</f>
        <v>#REF!</v>
      </c>
      <c r="Z277" t="s">
        <v>576</v>
      </c>
      <c r="AA277" t="s">
        <v>757</v>
      </c>
      <c r="AB277" t="s">
        <v>28</v>
      </c>
      <c r="AC277" t="s">
        <v>3744</v>
      </c>
      <c r="AD277" t="s">
        <v>3744</v>
      </c>
      <c r="AE277" t="s">
        <v>55</v>
      </c>
    </row>
    <row r="278" spans="1:31" x14ac:dyDescent="0.25">
      <c r="A278">
        <v>119031414515</v>
      </c>
      <c r="B278">
        <v>462598545</v>
      </c>
      <c r="C278" s="1">
        <v>46027.884976851848</v>
      </c>
      <c r="D278" s="1">
        <v>46027.895613425928</v>
      </c>
      <c r="E278" t="s">
        <v>758</v>
      </c>
      <c r="F278" t="s">
        <v>23</v>
      </c>
      <c r="G278" t="e">
        <f>+_xlfn.XLOOKUP(tbl_encuesta[[#This Row],[Me siento a gusto con el ambiente de trabajo que se genera en mi equipo.]],#REF!,#REF!)</f>
        <v>#REF!</v>
      </c>
      <c r="H278" t="s">
        <v>23</v>
      </c>
      <c r="I278" t="e">
        <f>+_xlfn.XLOOKUP(tbl_encuesta[[#This Row],[Me siento motivado a dar lo mejor de mí y hacer un buen trabajo]],#REF!,#REF!)</f>
        <v>#REF!</v>
      </c>
      <c r="J278" t="s">
        <v>23</v>
      </c>
      <c r="K278" t="e">
        <f>+_xlfn.XLOOKUP(tbl_encuesta[[#This Row],[Mi supervisor o jefe directo me otorga el soporte que necesito para afrontar cualquier problema que afecte mi trabajo]],#REF!,#REF!)</f>
        <v>#REF!</v>
      </c>
      <c r="L278" t="s">
        <v>23</v>
      </c>
      <c r="M278" t="e">
        <f>+_xlfn.XLOOKUP(tbl_encuesta[[#This Row],[Mi supervisor o jefe directo fomenta que nos apoyemos entre todos en el equipo]],#REF!,#REF!)</f>
        <v>#REF!</v>
      </c>
      <c r="N278" t="s">
        <v>23</v>
      </c>
      <c r="O278" t="e">
        <f>+_xlfn.XLOOKUP(tbl_encuesta[[#This Row],[Siento que mi trabajo es reconocido por mi supervisor o jefe directo.]],#REF!,#REF!)</f>
        <v>#REF!</v>
      </c>
      <c r="P278" t="s">
        <v>31</v>
      </c>
      <c r="Q278" t="e">
        <f xml:space="preserve">
_xlfn.XLOOKUP(
tbl_encuesta[[#This Row],[Mi supervisor o jefe directo nos brinda charlas de 5 minutos y comunica las novedades relevantes a mi puesto de trabajo]],#REF!,#REF!
)</f>
        <v>#REF!</v>
      </c>
      <c r="R278" t="s">
        <v>17</v>
      </c>
      <c r="T278" t="s">
        <v>19</v>
      </c>
      <c r="W278" t="s">
        <v>46</v>
      </c>
      <c r="X278" t="s">
        <v>23</v>
      </c>
      <c r="Y278" t="e">
        <f>+_xlfn.XLOOKUP(tbl_encuesta[[#This Row],[Considero a Limtek como un buen lugar para trabajar]],#REF!,#REF!)</f>
        <v>#REF!</v>
      </c>
      <c r="Z278" t="s">
        <v>759</v>
      </c>
      <c r="AA278" t="s">
        <v>760</v>
      </c>
      <c r="AB278" t="s">
        <v>28</v>
      </c>
      <c r="AC278" s="3" t="s">
        <v>3610</v>
      </c>
      <c r="AD278" s="3" t="s">
        <v>3632</v>
      </c>
      <c r="AE278" t="s">
        <v>61</v>
      </c>
    </row>
    <row r="279" spans="1:31" x14ac:dyDescent="0.25">
      <c r="A279">
        <v>119031404878</v>
      </c>
      <c r="B279">
        <v>462598545</v>
      </c>
      <c r="C279" s="1">
        <v>46027.87394675926</v>
      </c>
      <c r="D279" s="1">
        <v>46027.876192129632</v>
      </c>
      <c r="E279" t="s">
        <v>634</v>
      </c>
      <c r="F279" t="s">
        <v>23</v>
      </c>
      <c r="G279" t="e">
        <f>+_xlfn.XLOOKUP(tbl_encuesta[[#This Row],[Me siento a gusto con el ambiente de trabajo que se genera en mi equipo.]],#REF!,#REF!)</f>
        <v>#REF!</v>
      </c>
      <c r="H279" t="s">
        <v>22</v>
      </c>
      <c r="I279" t="e">
        <f>+_xlfn.XLOOKUP(tbl_encuesta[[#This Row],[Me siento motivado a dar lo mejor de mí y hacer un buen trabajo]],#REF!,#REF!)</f>
        <v>#REF!</v>
      </c>
      <c r="J279" t="s">
        <v>22</v>
      </c>
      <c r="K279" t="e">
        <f>+_xlfn.XLOOKUP(tbl_encuesta[[#This Row],[Mi supervisor o jefe directo me otorga el soporte que necesito para afrontar cualquier problema que afecte mi trabajo]],#REF!,#REF!)</f>
        <v>#REF!</v>
      </c>
      <c r="L279" t="s">
        <v>23</v>
      </c>
      <c r="M279" t="e">
        <f>+_xlfn.XLOOKUP(tbl_encuesta[[#This Row],[Mi supervisor o jefe directo fomenta que nos apoyemos entre todos en el equipo]],#REF!,#REF!)</f>
        <v>#REF!</v>
      </c>
      <c r="N279" t="s">
        <v>22</v>
      </c>
      <c r="O279" t="e">
        <f>+_xlfn.XLOOKUP(tbl_encuesta[[#This Row],[Siento que mi trabajo es reconocido por mi supervisor o jefe directo.]],#REF!,#REF!)</f>
        <v>#REF!</v>
      </c>
      <c r="P279" t="s">
        <v>67</v>
      </c>
      <c r="Q279" t="e">
        <f xml:space="preserve">
_xlfn.XLOOKUP(
tbl_encuesta[[#This Row],[Mi supervisor o jefe directo nos brinda charlas de 5 minutos y comunica las novedades relevantes a mi puesto de trabajo]],#REF!,#REF!
)</f>
        <v>#REF!</v>
      </c>
      <c r="U279" t="s">
        <v>20</v>
      </c>
      <c r="W279" t="s">
        <v>25</v>
      </c>
      <c r="X279" t="s">
        <v>22</v>
      </c>
      <c r="Y279" t="e">
        <f>+_xlfn.XLOOKUP(tbl_encuesta[[#This Row],[Considero a Limtek como un buen lugar para trabajar]],#REF!,#REF!)</f>
        <v>#REF!</v>
      </c>
      <c r="Z279" t="s">
        <v>761</v>
      </c>
      <c r="AA279" t="s">
        <v>762</v>
      </c>
      <c r="AB279" t="s">
        <v>28</v>
      </c>
      <c r="AC279" s="3" t="s">
        <v>3845</v>
      </c>
      <c r="AD279" s="3" t="s">
        <v>3846</v>
      </c>
      <c r="AE279" t="s">
        <v>61</v>
      </c>
    </row>
    <row r="280" spans="1:31" x14ac:dyDescent="0.25">
      <c r="A280">
        <v>119031404483</v>
      </c>
      <c r="B280">
        <v>462598545</v>
      </c>
      <c r="C280" s="1">
        <v>46027.87195601852</v>
      </c>
      <c r="D280" s="1">
        <v>46027.875462962962</v>
      </c>
      <c r="E280" t="s">
        <v>763</v>
      </c>
      <c r="F280" t="s">
        <v>22</v>
      </c>
      <c r="G280" t="e">
        <f>+_xlfn.XLOOKUP(tbl_encuesta[[#This Row],[Me siento a gusto con el ambiente de trabajo que se genera en mi equipo.]],#REF!,#REF!)</f>
        <v>#REF!</v>
      </c>
      <c r="H280" t="s">
        <v>23</v>
      </c>
      <c r="I280" t="e">
        <f>+_xlfn.XLOOKUP(tbl_encuesta[[#This Row],[Me siento motivado a dar lo mejor de mí y hacer un buen trabajo]],#REF!,#REF!)</f>
        <v>#REF!</v>
      </c>
      <c r="J280" t="s">
        <v>22</v>
      </c>
      <c r="K280" t="e">
        <f>+_xlfn.XLOOKUP(tbl_encuesta[[#This Row],[Mi supervisor o jefe directo me otorga el soporte que necesito para afrontar cualquier problema que afecte mi trabajo]],#REF!,#REF!)</f>
        <v>#REF!</v>
      </c>
      <c r="L280" t="s">
        <v>22</v>
      </c>
      <c r="M280" t="e">
        <f>+_xlfn.XLOOKUP(tbl_encuesta[[#This Row],[Mi supervisor o jefe directo fomenta que nos apoyemos entre todos en el equipo]],#REF!,#REF!)</f>
        <v>#REF!</v>
      </c>
      <c r="N280" t="s">
        <v>23</v>
      </c>
      <c r="O280" t="e">
        <f>+_xlfn.XLOOKUP(tbl_encuesta[[#This Row],[Siento que mi trabajo es reconocido por mi supervisor o jefe directo.]],#REF!,#REF!)</f>
        <v>#REF!</v>
      </c>
      <c r="P280" t="s">
        <v>67</v>
      </c>
      <c r="Q280" t="e">
        <f xml:space="preserve">
_xlfn.XLOOKUP(
tbl_encuesta[[#This Row],[Mi supervisor o jefe directo nos brinda charlas de 5 minutos y comunica las novedades relevantes a mi puesto de trabajo]],#REF!,#REF!
)</f>
        <v>#REF!</v>
      </c>
      <c r="R280" t="s">
        <v>17</v>
      </c>
      <c r="V280" t="s">
        <v>764</v>
      </c>
      <c r="W280" t="s">
        <v>46</v>
      </c>
      <c r="X280" t="s">
        <v>23</v>
      </c>
      <c r="Y280" t="e">
        <f>+_xlfn.XLOOKUP(tbl_encuesta[[#This Row],[Considero a Limtek como un buen lugar para trabajar]],#REF!,#REF!)</f>
        <v>#REF!</v>
      </c>
      <c r="Z280" t="s">
        <v>765</v>
      </c>
      <c r="AA280" t="s">
        <v>766</v>
      </c>
      <c r="AB280" t="s">
        <v>767</v>
      </c>
      <c r="AC280" t="s">
        <v>3744</v>
      </c>
      <c r="AD280" t="s">
        <v>3744</v>
      </c>
      <c r="AE280" t="s">
        <v>34</v>
      </c>
    </row>
    <row r="281" spans="1:31" x14ac:dyDescent="0.25">
      <c r="A281">
        <v>119031403975</v>
      </c>
      <c r="B281">
        <v>462598545</v>
      </c>
      <c r="C281" s="1">
        <v>46027.87023148148</v>
      </c>
      <c r="D281" s="1">
        <v>46027.874409722222</v>
      </c>
      <c r="E281" t="s">
        <v>768</v>
      </c>
      <c r="F281" t="s">
        <v>23</v>
      </c>
      <c r="G281" t="e">
        <f>+_xlfn.XLOOKUP(tbl_encuesta[[#This Row],[Me siento a gusto con el ambiente de trabajo que se genera en mi equipo.]],#REF!,#REF!)</f>
        <v>#REF!</v>
      </c>
      <c r="H281" t="s">
        <v>23</v>
      </c>
      <c r="I281" t="e">
        <f>+_xlfn.XLOOKUP(tbl_encuesta[[#This Row],[Me siento motivado a dar lo mejor de mí y hacer un buen trabajo]],#REF!,#REF!)</f>
        <v>#REF!</v>
      </c>
      <c r="J281" t="s">
        <v>23</v>
      </c>
      <c r="K281" t="e">
        <f>+_xlfn.XLOOKUP(tbl_encuesta[[#This Row],[Mi supervisor o jefe directo me otorga el soporte que necesito para afrontar cualquier problema que afecte mi trabajo]],#REF!,#REF!)</f>
        <v>#REF!</v>
      </c>
      <c r="L281" t="s">
        <v>23</v>
      </c>
      <c r="M281" t="e">
        <f>+_xlfn.XLOOKUP(tbl_encuesta[[#This Row],[Mi supervisor o jefe directo fomenta que nos apoyemos entre todos en el equipo]],#REF!,#REF!)</f>
        <v>#REF!</v>
      </c>
      <c r="N281" t="s">
        <v>23</v>
      </c>
      <c r="O281" t="e">
        <f>+_xlfn.XLOOKUP(tbl_encuesta[[#This Row],[Siento que mi trabajo es reconocido por mi supervisor o jefe directo.]],#REF!,#REF!)</f>
        <v>#REF!</v>
      </c>
      <c r="P281" t="s">
        <v>31</v>
      </c>
      <c r="Q281" t="e">
        <f xml:space="preserve">
_xlfn.XLOOKUP(
tbl_encuesta[[#This Row],[Mi supervisor o jefe directo nos brinda charlas de 5 minutos y comunica las novedades relevantes a mi puesto de trabajo]],#REF!,#REF!
)</f>
        <v>#REF!</v>
      </c>
      <c r="R281" t="s">
        <v>17</v>
      </c>
      <c r="T281" t="s">
        <v>19</v>
      </c>
      <c r="W281" t="s">
        <v>25</v>
      </c>
      <c r="X281" t="s">
        <v>23</v>
      </c>
      <c r="Y281" t="e">
        <f>+_xlfn.XLOOKUP(tbl_encuesta[[#This Row],[Considero a Limtek como un buen lugar para trabajar]],#REF!,#REF!)</f>
        <v>#REF!</v>
      </c>
      <c r="Z281" t="s">
        <v>769</v>
      </c>
      <c r="AA281" t="s">
        <v>770</v>
      </c>
      <c r="AB281" t="s">
        <v>563</v>
      </c>
      <c r="AC281" s="3" t="s">
        <v>3610</v>
      </c>
      <c r="AD281" s="3" t="s">
        <v>3633</v>
      </c>
      <c r="AE281" t="s">
        <v>34</v>
      </c>
    </row>
    <row r="282" spans="1:31" x14ac:dyDescent="0.25">
      <c r="A282">
        <v>119031402274</v>
      </c>
      <c r="B282">
        <v>462598545</v>
      </c>
      <c r="C282" s="1">
        <v>46027.862581018519</v>
      </c>
      <c r="D282" s="1">
        <v>46027.871134259258</v>
      </c>
      <c r="E282" t="s">
        <v>763</v>
      </c>
      <c r="F282" t="s">
        <v>22</v>
      </c>
      <c r="G282" t="e">
        <f>+_xlfn.XLOOKUP(tbl_encuesta[[#This Row],[Me siento a gusto con el ambiente de trabajo que se genera en mi equipo.]],#REF!,#REF!)</f>
        <v>#REF!</v>
      </c>
      <c r="H282" t="s">
        <v>23</v>
      </c>
      <c r="I282" t="e">
        <f>+_xlfn.XLOOKUP(tbl_encuesta[[#This Row],[Me siento motivado a dar lo mejor de mí y hacer un buen trabajo]],#REF!,#REF!)</f>
        <v>#REF!</v>
      </c>
      <c r="J282" t="s">
        <v>97</v>
      </c>
      <c r="K282" t="e">
        <f>+_xlfn.XLOOKUP(tbl_encuesta[[#This Row],[Mi supervisor o jefe directo me otorga el soporte que necesito para afrontar cualquier problema que afecte mi trabajo]],#REF!,#REF!)</f>
        <v>#REF!</v>
      </c>
      <c r="L282" t="s">
        <v>22</v>
      </c>
      <c r="M282" t="e">
        <f>+_xlfn.XLOOKUP(tbl_encuesta[[#This Row],[Mi supervisor o jefe directo fomenta que nos apoyemos entre todos en el equipo]],#REF!,#REF!)</f>
        <v>#REF!</v>
      </c>
      <c r="N282" t="s">
        <v>22</v>
      </c>
      <c r="O282" t="e">
        <f>+_xlfn.XLOOKUP(tbl_encuesta[[#This Row],[Siento que mi trabajo es reconocido por mi supervisor o jefe directo.]],#REF!,#REF!)</f>
        <v>#REF!</v>
      </c>
      <c r="P282" t="s">
        <v>67</v>
      </c>
      <c r="Q282" t="e">
        <f xml:space="preserve">
_xlfn.XLOOKUP(
tbl_encuesta[[#This Row],[Mi supervisor o jefe directo nos brinda charlas de 5 minutos y comunica las novedades relevantes a mi puesto de trabajo]],#REF!,#REF!
)</f>
        <v>#REF!</v>
      </c>
      <c r="R282" t="s">
        <v>17</v>
      </c>
      <c r="V282" t="s">
        <v>764</v>
      </c>
      <c r="W282" t="s">
        <v>25</v>
      </c>
      <c r="X282" t="s">
        <v>23</v>
      </c>
      <c r="Y282" t="e">
        <f>+_xlfn.XLOOKUP(tbl_encuesta[[#This Row],[Considero a Limtek como un buen lugar para trabajar]],#REF!,#REF!)</f>
        <v>#REF!</v>
      </c>
      <c r="Z282" t="s">
        <v>771</v>
      </c>
      <c r="AA282" t="s">
        <v>772</v>
      </c>
      <c r="AB282" t="s">
        <v>767</v>
      </c>
      <c r="AC282" t="s">
        <v>3744</v>
      </c>
      <c r="AD282" t="s">
        <v>3744</v>
      </c>
      <c r="AE282" t="s">
        <v>34</v>
      </c>
    </row>
    <row r="283" spans="1:31" x14ac:dyDescent="0.25">
      <c r="A283">
        <v>119031401524</v>
      </c>
      <c r="B283">
        <v>462598545</v>
      </c>
      <c r="C283" s="1">
        <v>46027.834317129629</v>
      </c>
      <c r="D283" s="1">
        <v>46027.869606481479</v>
      </c>
      <c r="E283" t="s">
        <v>773</v>
      </c>
      <c r="F283" t="s">
        <v>23</v>
      </c>
      <c r="G283" t="e">
        <f>+_xlfn.XLOOKUP(tbl_encuesta[[#This Row],[Me siento a gusto con el ambiente de trabajo que se genera en mi equipo.]],#REF!,#REF!)</f>
        <v>#REF!</v>
      </c>
      <c r="H283" t="s">
        <v>23</v>
      </c>
      <c r="I283" t="e">
        <f>+_xlfn.XLOOKUP(tbl_encuesta[[#This Row],[Me siento motivado a dar lo mejor de mí y hacer un buen trabajo]],#REF!,#REF!)</f>
        <v>#REF!</v>
      </c>
      <c r="J283" t="s">
        <v>23</v>
      </c>
      <c r="K283" t="e">
        <f>+_xlfn.XLOOKUP(tbl_encuesta[[#This Row],[Mi supervisor o jefe directo me otorga el soporte que necesito para afrontar cualquier problema que afecte mi trabajo]],#REF!,#REF!)</f>
        <v>#REF!</v>
      </c>
      <c r="L283" t="s">
        <v>23</v>
      </c>
      <c r="M283" t="e">
        <f>+_xlfn.XLOOKUP(tbl_encuesta[[#This Row],[Mi supervisor o jefe directo fomenta que nos apoyemos entre todos en el equipo]],#REF!,#REF!)</f>
        <v>#REF!</v>
      </c>
      <c r="N283" t="s">
        <v>23</v>
      </c>
      <c r="O283" t="e">
        <f>+_xlfn.XLOOKUP(tbl_encuesta[[#This Row],[Siento que mi trabajo es reconocido por mi supervisor o jefe directo.]],#REF!,#REF!)</f>
        <v>#REF!</v>
      </c>
      <c r="P283" t="s">
        <v>31</v>
      </c>
      <c r="Q283" t="e">
        <f xml:space="preserve">
_xlfn.XLOOKUP(
tbl_encuesta[[#This Row],[Mi supervisor o jefe directo nos brinda charlas de 5 minutos y comunica las novedades relevantes a mi puesto de trabajo]],#REF!,#REF!
)</f>
        <v>#REF!</v>
      </c>
      <c r="R283" t="s">
        <v>17</v>
      </c>
      <c r="S283" t="s">
        <v>18</v>
      </c>
      <c r="W283" t="s">
        <v>25</v>
      </c>
      <c r="X283" t="s">
        <v>23</v>
      </c>
      <c r="Y283" t="e">
        <f>+_xlfn.XLOOKUP(tbl_encuesta[[#This Row],[Considero a Limtek como un buen lugar para trabajar]],#REF!,#REF!)</f>
        <v>#REF!</v>
      </c>
      <c r="Z283" t="s">
        <v>632</v>
      </c>
      <c r="AA283" t="s">
        <v>633</v>
      </c>
      <c r="AB283" t="s">
        <v>28</v>
      </c>
      <c r="AC283" s="3" t="s">
        <v>3845</v>
      </c>
      <c r="AD283" s="3" t="s">
        <v>3846</v>
      </c>
      <c r="AE283" t="s">
        <v>55</v>
      </c>
    </row>
    <row r="284" spans="1:31" x14ac:dyDescent="0.25">
      <c r="A284">
        <v>119031400404</v>
      </c>
      <c r="B284">
        <v>462598545</v>
      </c>
      <c r="C284" s="1">
        <v>46027.852511574078</v>
      </c>
      <c r="D284" s="1">
        <v>46027.867418981485</v>
      </c>
      <c r="E284" t="s">
        <v>774</v>
      </c>
      <c r="F284" t="s">
        <v>23</v>
      </c>
      <c r="G284" t="e">
        <f>+_xlfn.XLOOKUP(tbl_encuesta[[#This Row],[Me siento a gusto con el ambiente de trabajo que se genera en mi equipo.]],#REF!,#REF!)</f>
        <v>#REF!</v>
      </c>
      <c r="H284" t="s">
        <v>23</v>
      </c>
      <c r="I284" t="e">
        <f>+_xlfn.XLOOKUP(tbl_encuesta[[#This Row],[Me siento motivado a dar lo mejor de mí y hacer un buen trabajo]],#REF!,#REF!)</f>
        <v>#REF!</v>
      </c>
      <c r="J284" t="s">
        <v>23</v>
      </c>
      <c r="K284" t="e">
        <f>+_xlfn.XLOOKUP(tbl_encuesta[[#This Row],[Mi supervisor o jefe directo me otorga el soporte que necesito para afrontar cualquier problema que afecte mi trabajo]],#REF!,#REF!)</f>
        <v>#REF!</v>
      </c>
      <c r="L284" t="s">
        <v>23</v>
      </c>
      <c r="M284" t="e">
        <f>+_xlfn.XLOOKUP(tbl_encuesta[[#This Row],[Mi supervisor o jefe directo fomenta que nos apoyemos entre todos en el equipo]],#REF!,#REF!)</f>
        <v>#REF!</v>
      </c>
      <c r="N284" t="s">
        <v>23</v>
      </c>
      <c r="O284" t="e">
        <f>+_xlfn.XLOOKUP(tbl_encuesta[[#This Row],[Siento que mi trabajo es reconocido por mi supervisor o jefe directo.]],#REF!,#REF!)</f>
        <v>#REF!</v>
      </c>
      <c r="P284" t="s">
        <v>67</v>
      </c>
      <c r="Q284" t="e">
        <f xml:space="preserve">
_xlfn.XLOOKUP(
tbl_encuesta[[#This Row],[Mi supervisor o jefe directo nos brinda charlas de 5 minutos y comunica las novedades relevantes a mi puesto de trabajo]],#REF!,#REF!
)</f>
        <v>#REF!</v>
      </c>
      <c r="R284" t="s">
        <v>17</v>
      </c>
      <c r="S284" t="s">
        <v>18</v>
      </c>
      <c r="W284" t="s">
        <v>25</v>
      </c>
      <c r="X284" t="s">
        <v>23</v>
      </c>
      <c r="Y284" t="e">
        <f>+_xlfn.XLOOKUP(tbl_encuesta[[#This Row],[Considero a Limtek como un buen lugar para trabajar]],#REF!,#REF!)</f>
        <v>#REF!</v>
      </c>
      <c r="Z284" t="s">
        <v>775</v>
      </c>
      <c r="AA284" t="s">
        <v>776</v>
      </c>
      <c r="AB284" t="s">
        <v>563</v>
      </c>
      <c r="AC284" s="3" t="s">
        <v>3831</v>
      </c>
      <c r="AD284" s="3" t="s">
        <v>3831</v>
      </c>
      <c r="AE284" t="s">
        <v>61</v>
      </c>
    </row>
    <row r="285" spans="1:31" x14ac:dyDescent="0.25">
      <c r="A285">
        <v>119031398893</v>
      </c>
      <c r="B285">
        <v>462598545</v>
      </c>
      <c r="C285" s="1">
        <v>46027.859791666669</v>
      </c>
      <c r="D285" s="1">
        <v>46027.864675925928</v>
      </c>
      <c r="E285" t="s">
        <v>777</v>
      </c>
      <c r="F285" t="s">
        <v>23</v>
      </c>
      <c r="G285" t="e">
        <f>+_xlfn.XLOOKUP(tbl_encuesta[[#This Row],[Me siento a gusto con el ambiente de trabajo que se genera en mi equipo.]],#REF!,#REF!)</f>
        <v>#REF!</v>
      </c>
      <c r="H285" t="s">
        <v>23</v>
      </c>
      <c r="I285" t="e">
        <f>+_xlfn.XLOOKUP(tbl_encuesta[[#This Row],[Me siento motivado a dar lo mejor de mí y hacer un buen trabajo]],#REF!,#REF!)</f>
        <v>#REF!</v>
      </c>
      <c r="J285" t="s">
        <v>23</v>
      </c>
      <c r="K285" t="e">
        <f>+_xlfn.XLOOKUP(tbl_encuesta[[#This Row],[Mi supervisor o jefe directo me otorga el soporte que necesito para afrontar cualquier problema que afecte mi trabajo]],#REF!,#REF!)</f>
        <v>#REF!</v>
      </c>
      <c r="L285" t="s">
        <v>23</v>
      </c>
      <c r="M285" t="e">
        <f>+_xlfn.XLOOKUP(tbl_encuesta[[#This Row],[Mi supervisor o jefe directo fomenta que nos apoyemos entre todos en el equipo]],#REF!,#REF!)</f>
        <v>#REF!</v>
      </c>
      <c r="N285" t="s">
        <v>23</v>
      </c>
      <c r="O285" t="e">
        <f>+_xlfn.XLOOKUP(tbl_encuesta[[#This Row],[Siento que mi trabajo es reconocido por mi supervisor o jefe directo.]],#REF!,#REF!)</f>
        <v>#REF!</v>
      </c>
      <c r="P285" t="s">
        <v>67</v>
      </c>
      <c r="Q285" t="e">
        <f xml:space="preserve">
_xlfn.XLOOKUP(
tbl_encuesta[[#This Row],[Mi supervisor o jefe directo nos brinda charlas de 5 minutos y comunica las novedades relevantes a mi puesto de trabajo]],#REF!,#REF!
)</f>
        <v>#REF!</v>
      </c>
      <c r="R285" t="s">
        <v>17</v>
      </c>
      <c r="U285" t="s">
        <v>20</v>
      </c>
      <c r="W285" t="s">
        <v>46</v>
      </c>
      <c r="X285" t="s">
        <v>22</v>
      </c>
      <c r="Y285" t="e">
        <f>+_xlfn.XLOOKUP(tbl_encuesta[[#This Row],[Considero a Limtek como un buen lugar para trabajar]],#REF!,#REF!)</f>
        <v>#REF!</v>
      </c>
      <c r="Z285" t="s">
        <v>778</v>
      </c>
      <c r="AA285" t="s">
        <v>779</v>
      </c>
      <c r="AB285" t="s">
        <v>720</v>
      </c>
      <c r="AC285" t="s">
        <v>3744</v>
      </c>
      <c r="AD285" t="s">
        <v>3744</v>
      </c>
      <c r="AE285" t="s">
        <v>61</v>
      </c>
    </row>
    <row r="286" spans="1:31" x14ac:dyDescent="0.25">
      <c r="A286">
        <v>119031397961</v>
      </c>
      <c r="B286">
        <v>462598545</v>
      </c>
      <c r="C286" s="1">
        <v>46027.854884259257</v>
      </c>
      <c r="D286" s="1">
        <v>46027.86278935185</v>
      </c>
      <c r="E286" t="s">
        <v>780</v>
      </c>
      <c r="F286" t="s">
        <v>23</v>
      </c>
      <c r="G286" t="e">
        <f>+_xlfn.XLOOKUP(tbl_encuesta[[#This Row],[Me siento a gusto con el ambiente de trabajo que se genera en mi equipo.]],#REF!,#REF!)</f>
        <v>#REF!</v>
      </c>
      <c r="H286" t="s">
        <v>23</v>
      </c>
      <c r="I286" t="e">
        <f>+_xlfn.XLOOKUP(tbl_encuesta[[#This Row],[Me siento motivado a dar lo mejor de mí y hacer un buen trabajo]],#REF!,#REF!)</f>
        <v>#REF!</v>
      </c>
      <c r="J286" t="s">
        <v>23</v>
      </c>
      <c r="K286" t="e">
        <f>+_xlfn.XLOOKUP(tbl_encuesta[[#This Row],[Mi supervisor o jefe directo me otorga el soporte que necesito para afrontar cualquier problema que afecte mi trabajo]],#REF!,#REF!)</f>
        <v>#REF!</v>
      </c>
      <c r="L286" t="s">
        <v>23</v>
      </c>
      <c r="M286" t="e">
        <f>+_xlfn.XLOOKUP(tbl_encuesta[[#This Row],[Mi supervisor o jefe directo fomenta que nos apoyemos entre todos en el equipo]],#REF!,#REF!)</f>
        <v>#REF!</v>
      </c>
      <c r="N286" t="s">
        <v>23</v>
      </c>
      <c r="O286" t="e">
        <f>+_xlfn.XLOOKUP(tbl_encuesta[[#This Row],[Siento que mi trabajo es reconocido por mi supervisor o jefe directo.]],#REF!,#REF!)</f>
        <v>#REF!</v>
      </c>
      <c r="P286" t="s">
        <v>31</v>
      </c>
      <c r="Q286" t="e">
        <f xml:space="preserve">
_xlfn.XLOOKUP(
tbl_encuesta[[#This Row],[Mi supervisor o jefe directo nos brinda charlas de 5 minutos y comunica las novedades relevantes a mi puesto de trabajo]],#REF!,#REF!
)</f>
        <v>#REF!</v>
      </c>
      <c r="S286" t="s">
        <v>18</v>
      </c>
      <c r="W286" t="s">
        <v>25</v>
      </c>
      <c r="X286" t="s">
        <v>23</v>
      </c>
      <c r="Y286" t="e">
        <f>+_xlfn.XLOOKUP(tbl_encuesta[[#This Row],[Considero a Limtek como un buen lugar para trabajar]],#REF!,#REF!)</f>
        <v>#REF!</v>
      </c>
      <c r="Z286" t="s">
        <v>781</v>
      </c>
      <c r="AA286" t="s">
        <v>782</v>
      </c>
      <c r="AB286" t="s">
        <v>726</v>
      </c>
      <c r="AC286" t="s">
        <v>3744</v>
      </c>
      <c r="AD286" t="s">
        <v>3744</v>
      </c>
      <c r="AE286" t="s">
        <v>69</v>
      </c>
    </row>
    <row r="287" spans="1:31" x14ac:dyDescent="0.25">
      <c r="A287">
        <v>119031397219</v>
      </c>
      <c r="B287">
        <v>462598545</v>
      </c>
      <c r="C287" s="1">
        <v>46027.83761574074</v>
      </c>
      <c r="D287" s="1">
        <v>46027.861307870371</v>
      </c>
      <c r="E287" t="s">
        <v>783</v>
      </c>
      <c r="F287" t="s">
        <v>22</v>
      </c>
      <c r="G287" t="e">
        <f>+_xlfn.XLOOKUP(tbl_encuesta[[#This Row],[Me siento a gusto con el ambiente de trabajo que se genera en mi equipo.]],#REF!,#REF!)</f>
        <v>#REF!</v>
      </c>
      <c r="H287" t="s">
        <v>23</v>
      </c>
      <c r="I287" t="e">
        <f>+_xlfn.XLOOKUP(tbl_encuesta[[#This Row],[Me siento motivado a dar lo mejor de mí y hacer un buen trabajo]],#REF!,#REF!)</f>
        <v>#REF!</v>
      </c>
      <c r="J287" t="s">
        <v>23</v>
      </c>
      <c r="K287" t="e">
        <f>+_xlfn.XLOOKUP(tbl_encuesta[[#This Row],[Mi supervisor o jefe directo me otorga el soporte que necesito para afrontar cualquier problema que afecte mi trabajo]],#REF!,#REF!)</f>
        <v>#REF!</v>
      </c>
      <c r="L287" t="s">
        <v>23</v>
      </c>
      <c r="M287" t="e">
        <f>+_xlfn.XLOOKUP(tbl_encuesta[[#This Row],[Mi supervisor o jefe directo fomenta que nos apoyemos entre todos en el equipo]],#REF!,#REF!)</f>
        <v>#REF!</v>
      </c>
      <c r="N287" t="s">
        <v>23</v>
      </c>
      <c r="O287" t="e">
        <f>+_xlfn.XLOOKUP(tbl_encuesta[[#This Row],[Siento que mi trabajo es reconocido por mi supervisor o jefe directo.]],#REF!,#REF!)</f>
        <v>#REF!</v>
      </c>
      <c r="P287" t="s">
        <v>67</v>
      </c>
      <c r="Q287" t="e">
        <f xml:space="preserve">
_xlfn.XLOOKUP(
tbl_encuesta[[#This Row],[Mi supervisor o jefe directo nos brinda charlas de 5 minutos y comunica las novedades relevantes a mi puesto de trabajo]],#REF!,#REF!
)</f>
        <v>#REF!</v>
      </c>
      <c r="S287" t="s">
        <v>18</v>
      </c>
      <c r="U287" t="s">
        <v>20</v>
      </c>
      <c r="W287" t="s">
        <v>25</v>
      </c>
      <c r="X287" t="s">
        <v>22</v>
      </c>
      <c r="Y287" t="e">
        <f>+_xlfn.XLOOKUP(tbl_encuesta[[#This Row],[Considero a Limtek como un buen lugar para trabajar]],#REF!,#REF!)</f>
        <v>#REF!</v>
      </c>
      <c r="Z287" t="s">
        <v>784</v>
      </c>
      <c r="AA287" t="s">
        <v>785</v>
      </c>
      <c r="AB287" t="s">
        <v>581</v>
      </c>
      <c r="AC287" t="s">
        <v>3592</v>
      </c>
      <c r="AD287" t="s">
        <v>3592</v>
      </c>
      <c r="AE287" t="s">
        <v>69</v>
      </c>
    </row>
    <row r="288" spans="1:31" x14ac:dyDescent="0.25">
      <c r="A288">
        <v>119031394435</v>
      </c>
      <c r="B288">
        <v>462598545</v>
      </c>
      <c r="C288" s="1">
        <v>46027.848564814813</v>
      </c>
      <c r="D288" s="1">
        <v>46027.855810185189</v>
      </c>
      <c r="E288" t="s">
        <v>786</v>
      </c>
      <c r="F288" t="s">
        <v>23</v>
      </c>
      <c r="G288" t="e">
        <f>+_xlfn.XLOOKUP(tbl_encuesta[[#This Row],[Me siento a gusto con el ambiente de trabajo que se genera en mi equipo.]],#REF!,#REF!)</f>
        <v>#REF!</v>
      </c>
      <c r="H288" t="s">
        <v>23</v>
      </c>
      <c r="I288" t="e">
        <f>+_xlfn.XLOOKUP(tbl_encuesta[[#This Row],[Me siento motivado a dar lo mejor de mí y hacer un buen trabajo]],#REF!,#REF!)</f>
        <v>#REF!</v>
      </c>
      <c r="J288" t="s">
        <v>23</v>
      </c>
      <c r="K288" t="e">
        <f>+_xlfn.XLOOKUP(tbl_encuesta[[#This Row],[Mi supervisor o jefe directo me otorga el soporte que necesito para afrontar cualquier problema que afecte mi trabajo]],#REF!,#REF!)</f>
        <v>#REF!</v>
      </c>
      <c r="L288" t="s">
        <v>23</v>
      </c>
      <c r="M288" t="e">
        <f>+_xlfn.XLOOKUP(tbl_encuesta[[#This Row],[Mi supervisor o jefe directo fomenta que nos apoyemos entre todos en el equipo]],#REF!,#REF!)</f>
        <v>#REF!</v>
      </c>
      <c r="N288" t="s">
        <v>23</v>
      </c>
      <c r="O288" t="e">
        <f>+_xlfn.XLOOKUP(tbl_encuesta[[#This Row],[Siento que mi trabajo es reconocido por mi supervisor o jefe directo.]],#REF!,#REF!)</f>
        <v>#REF!</v>
      </c>
      <c r="P288" t="s">
        <v>31</v>
      </c>
      <c r="Q288" t="e">
        <f xml:space="preserve">
_xlfn.XLOOKUP(
tbl_encuesta[[#This Row],[Mi supervisor o jefe directo nos brinda charlas de 5 minutos y comunica las novedades relevantes a mi puesto de trabajo]],#REF!,#REF!
)</f>
        <v>#REF!</v>
      </c>
      <c r="R288" t="s">
        <v>17</v>
      </c>
      <c r="S288" t="s">
        <v>18</v>
      </c>
      <c r="W288" t="s">
        <v>25</v>
      </c>
      <c r="X288" t="s">
        <v>23</v>
      </c>
      <c r="Y288" t="e">
        <f>+_xlfn.XLOOKUP(tbl_encuesta[[#This Row],[Considero a Limtek como un buen lugar para trabajar]],#REF!,#REF!)</f>
        <v>#REF!</v>
      </c>
      <c r="Z288" t="s">
        <v>576</v>
      </c>
      <c r="AA288" t="s">
        <v>380</v>
      </c>
      <c r="AB288" t="s">
        <v>581</v>
      </c>
      <c r="AC288" t="s">
        <v>3744</v>
      </c>
      <c r="AD288" t="s">
        <v>3744</v>
      </c>
      <c r="AE288" t="s">
        <v>29</v>
      </c>
    </row>
    <row r="289" spans="1:31" x14ac:dyDescent="0.25">
      <c r="A289">
        <v>119031393629</v>
      </c>
      <c r="B289">
        <v>462598545</v>
      </c>
      <c r="C289" s="1">
        <v>46027.852222222224</v>
      </c>
      <c r="D289" s="1">
        <v>46027.854328703703</v>
      </c>
      <c r="E289" t="s">
        <v>787</v>
      </c>
      <c r="F289" t="s">
        <v>23</v>
      </c>
      <c r="G289" t="e">
        <f>+_xlfn.XLOOKUP(tbl_encuesta[[#This Row],[Me siento a gusto con el ambiente de trabajo que se genera en mi equipo.]],#REF!,#REF!)</f>
        <v>#REF!</v>
      </c>
      <c r="H289" t="s">
        <v>23</v>
      </c>
      <c r="I289" t="e">
        <f>+_xlfn.XLOOKUP(tbl_encuesta[[#This Row],[Me siento motivado a dar lo mejor de mí y hacer un buen trabajo]],#REF!,#REF!)</f>
        <v>#REF!</v>
      </c>
      <c r="J289" t="s">
        <v>23</v>
      </c>
      <c r="K289" t="e">
        <f>+_xlfn.XLOOKUP(tbl_encuesta[[#This Row],[Mi supervisor o jefe directo me otorga el soporte que necesito para afrontar cualquier problema que afecte mi trabajo]],#REF!,#REF!)</f>
        <v>#REF!</v>
      </c>
      <c r="L289" t="s">
        <v>23</v>
      </c>
      <c r="M289" t="e">
        <f>+_xlfn.XLOOKUP(tbl_encuesta[[#This Row],[Mi supervisor o jefe directo fomenta que nos apoyemos entre todos en el equipo]],#REF!,#REF!)</f>
        <v>#REF!</v>
      </c>
      <c r="N289" t="s">
        <v>23</v>
      </c>
      <c r="O289" t="e">
        <f>+_xlfn.XLOOKUP(tbl_encuesta[[#This Row],[Siento que mi trabajo es reconocido por mi supervisor o jefe directo.]],#REF!,#REF!)</f>
        <v>#REF!</v>
      </c>
      <c r="P289" t="s">
        <v>31</v>
      </c>
      <c r="Q289" t="e">
        <f xml:space="preserve">
_xlfn.XLOOKUP(
tbl_encuesta[[#This Row],[Mi supervisor o jefe directo nos brinda charlas de 5 minutos y comunica las novedades relevantes a mi puesto de trabajo]],#REF!,#REF!
)</f>
        <v>#REF!</v>
      </c>
      <c r="R289" t="s">
        <v>17</v>
      </c>
      <c r="T289" t="s">
        <v>19</v>
      </c>
      <c r="W289" t="s">
        <v>25</v>
      </c>
      <c r="X289" t="s">
        <v>23</v>
      </c>
      <c r="Y289" t="e">
        <f>+_xlfn.XLOOKUP(tbl_encuesta[[#This Row],[Considero a Limtek como un buen lugar para trabajar]],#REF!,#REF!)</f>
        <v>#REF!</v>
      </c>
      <c r="Z289" t="s">
        <v>788</v>
      </c>
      <c r="AA289" t="s">
        <v>789</v>
      </c>
      <c r="AB289" t="s">
        <v>567</v>
      </c>
      <c r="AC289" t="s">
        <v>3592</v>
      </c>
      <c r="AD289" t="s">
        <v>629</v>
      </c>
      <c r="AE289" t="s">
        <v>69</v>
      </c>
    </row>
    <row r="290" spans="1:31" x14ac:dyDescent="0.25">
      <c r="A290">
        <v>119031392463</v>
      </c>
      <c r="B290">
        <v>462598545</v>
      </c>
      <c r="C290" s="1">
        <v>46027.847754629627</v>
      </c>
      <c r="D290" s="1">
        <v>46027.852152777778</v>
      </c>
      <c r="E290" t="s">
        <v>790</v>
      </c>
      <c r="F290" t="s">
        <v>22</v>
      </c>
      <c r="G290" t="e">
        <f>+_xlfn.XLOOKUP(tbl_encuesta[[#This Row],[Me siento a gusto con el ambiente de trabajo que se genera en mi equipo.]],#REF!,#REF!)</f>
        <v>#REF!</v>
      </c>
      <c r="H290" t="s">
        <v>23</v>
      </c>
      <c r="I290" t="e">
        <f>+_xlfn.XLOOKUP(tbl_encuesta[[#This Row],[Me siento motivado a dar lo mejor de mí y hacer un buen trabajo]],#REF!,#REF!)</f>
        <v>#REF!</v>
      </c>
      <c r="J290" t="s">
        <v>22</v>
      </c>
      <c r="K290" t="e">
        <f>+_xlfn.XLOOKUP(tbl_encuesta[[#This Row],[Mi supervisor o jefe directo me otorga el soporte que necesito para afrontar cualquier problema que afecte mi trabajo]],#REF!,#REF!)</f>
        <v>#REF!</v>
      </c>
      <c r="L290" t="s">
        <v>23</v>
      </c>
      <c r="M290" t="e">
        <f>+_xlfn.XLOOKUP(tbl_encuesta[[#This Row],[Mi supervisor o jefe directo fomenta que nos apoyemos entre todos en el equipo]],#REF!,#REF!)</f>
        <v>#REF!</v>
      </c>
      <c r="N290" t="s">
        <v>22</v>
      </c>
      <c r="O290" t="e">
        <f>+_xlfn.XLOOKUP(tbl_encuesta[[#This Row],[Siento que mi trabajo es reconocido por mi supervisor o jefe directo.]],#REF!,#REF!)</f>
        <v>#REF!</v>
      </c>
      <c r="P290" t="s">
        <v>31</v>
      </c>
      <c r="Q290" t="e">
        <f xml:space="preserve">
_xlfn.XLOOKUP(
tbl_encuesta[[#This Row],[Mi supervisor o jefe directo nos brinda charlas de 5 minutos y comunica las novedades relevantes a mi puesto de trabajo]],#REF!,#REF!
)</f>
        <v>#REF!</v>
      </c>
      <c r="S290" t="s">
        <v>18</v>
      </c>
      <c r="W290" t="s">
        <v>25</v>
      </c>
      <c r="X290" t="s">
        <v>22</v>
      </c>
      <c r="Y290" t="e">
        <f>+_xlfn.XLOOKUP(tbl_encuesta[[#This Row],[Considero a Limtek como un buen lugar para trabajar]],#REF!,#REF!)</f>
        <v>#REF!</v>
      </c>
      <c r="Z290" t="s">
        <v>791</v>
      </c>
      <c r="AA290" t="s">
        <v>792</v>
      </c>
      <c r="AB290" t="s">
        <v>581</v>
      </c>
      <c r="AC290" s="3" t="s">
        <v>3716</v>
      </c>
      <c r="AD290" s="3" t="s">
        <v>3716</v>
      </c>
      <c r="AE290" t="s">
        <v>29</v>
      </c>
    </row>
    <row r="291" spans="1:31" x14ac:dyDescent="0.25">
      <c r="A291">
        <v>119031390162</v>
      </c>
      <c r="B291">
        <v>462598545</v>
      </c>
      <c r="C291" s="1">
        <v>46027.846643518518</v>
      </c>
      <c r="D291" s="1">
        <v>46027.847916666666</v>
      </c>
      <c r="E291" t="s">
        <v>793</v>
      </c>
      <c r="F291" t="s">
        <v>23</v>
      </c>
      <c r="G291" t="e">
        <f>+_xlfn.XLOOKUP(tbl_encuesta[[#This Row],[Me siento a gusto con el ambiente de trabajo que se genera en mi equipo.]],#REF!,#REF!)</f>
        <v>#REF!</v>
      </c>
      <c r="H291" t="s">
        <v>23</v>
      </c>
      <c r="I291" t="e">
        <f>+_xlfn.XLOOKUP(tbl_encuesta[[#This Row],[Me siento motivado a dar lo mejor de mí y hacer un buen trabajo]],#REF!,#REF!)</f>
        <v>#REF!</v>
      </c>
      <c r="J291" t="s">
        <v>23</v>
      </c>
      <c r="K291" t="e">
        <f>+_xlfn.XLOOKUP(tbl_encuesta[[#This Row],[Mi supervisor o jefe directo me otorga el soporte que necesito para afrontar cualquier problema que afecte mi trabajo]],#REF!,#REF!)</f>
        <v>#REF!</v>
      </c>
      <c r="L291" t="s">
        <v>23</v>
      </c>
      <c r="M291" t="e">
        <f>+_xlfn.XLOOKUP(tbl_encuesta[[#This Row],[Mi supervisor o jefe directo fomenta que nos apoyemos entre todos en el equipo]],#REF!,#REF!)</f>
        <v>#REF!</v>
      </c>
      <c r="N291" t="s">
        <v>23</v>
      </c>
      <c r="O291" t="e">
        <f>+_xlfn.XLOOKUP(tbl_encuesta[[#This Row],[Siento que mi trabajo es reconocido por mi supervisor o jefe directo.]],#REF!,#REF!)</f>
        <v>#REF!</v>
      </c>
      <c r="P291" t="s">
        <v>67</v>
      </c>
      <c r="Q291" t="e">
        <f xml:space="preserve">
_xlfn.XLOOKUP(
tbl_encuesta[[#This Row],[Mi supervisor o jefe directo nos brinda charlas de 5 minutos y comunica las novedades relevantes a mi puesto de trabajo]],#REF!,#REF!
)</f>
        <v>#REF!</v>
      </c>
      <c r="R291" t="s">
        <v>17</v>
      </c>
      <c r="T291" t="s">
        <v>19</v>
      </c>
      <c r="W291" t="s">
        <v>25</v>
      </c>
      <c r="X291" t="s">
        <v>22</v>
      </c>
      <c r="Y291" t="e">
        <f>+_xlfn.XLOOKUP(tbl_encuesta[[#This Row],[Considero a Limtek como un buen lugar para trabajar]],#REF!,#REF!)</f>
        <v>#REF!</v>
      </c>
      <c r="Z291" t="s">
        <v>794</v>
      </c>
      <c r="AA291" t="s">
        <v>795</v>
      </c>
      <c r="AB291" t="s">
        <v>581</v>
      </c>
      <c r="AC291" s="3" t="s">
        <v>3716</v>
      </c>
      <c r="AD291" s="3" t="s">
        <v>814</v>
      </c>
      <c r="AE291" t="s">
        <v>29</v>
      </c>
    </row>
    <row r="292" spans="1:31" x14ac:dyDescent="0.25">
      <c r="A292">
        <v>119031389798</v>
      </c>
      <c r="B292">
        <v>462598545</v>
      </c>
      <c r="C292" s="1">
        <v>46027.843090277776</v>
      </c>
      <c r="D292" s="1">
        <v>46027.847256944442</v>
      </c>
      <c r="E292" t="s">
        <v>796</v>
      </c>
      <c r="F292" t="s">
        <v>23</v>
      </c>
      <c r="G292" t="e">
        <f>+_xlfn.XLOOKUP(tbl_encuesta[[#This Row],[Me siento a gusto con el ambiente de trabajo que se genera en mi equipo.]],#REF!,#REF!)</f>
        <v>#REF!</v>
      </c>
      <c r="H292" t="s">
        <v>23</v>
      </c>
      <c r="I292" t="e">
        <f>+_xlfn.XLOOKUP(tbl_encuesta[[#This Row],[Me siento motivado a dar lo mejor de mí y hacer un buen trabajo]],#REF!,#REF!)</f>
        <v>#REF!</v>
      </c>
      <c r="J292" t="s">
        <v>23</v>
      </c>
      <c r="K292" t="e">
        <f>+_xlfn.XLOOKUP(tbl_encuesta[[#This Row],[Mi supervisor o jefe directo me otorga el soporte que necesito para afrontar cualquier problema que afecte mi trabajo]],#REF!,#REF!)</f>
        <v>#REF!</v>
      </c>
      <c r="L292" t="s">
        <v>23</v>
      </c>
      <c r="M292" t="e">
        <f>+_xlfn.XLOOKUP(tbl_encuesta[[#This Row],[Mi supervisor o jefe directo fomenta que nos apoyemos entre todos en el equipo]],#REF!,#REF!)</f>
        <v>#REF!</v>
      </c>
      <c r="N292" t="s">
        <v>23</v>
      </c>
      <c r="O292" t="e">
        <f>+_xlfn.XLOOKUP(tbl_encuesta[[#This Row],[Siento que mi trabajo es reconocido por mi supervisor o jefe directo.]],#REF!,#REF!)</f>
        <v>#REF!</v>
      </c>
      <c r="P292" t="s">
        <v>31</v>
      </c>
      <c r="Q292" t="e">
        <f xml:space="preserve">
_xlfn.XLOOKUP(
tbl_encuesta[[#This Row],[Mi supervisor o jefe directo nos brinda charlas de 5 minutos y comunica las novedades relevantes a mi puesto de trabajo]],#REF!,#REF!
)</f>
        <v>#REF!</v>
      </c>
      <c r="S292" t="s">
        <v>18</v>
      </c>
      <c r="W292" t="s">
        <v>25</v>
      </c>
      <c r="X292" t="s">
        <v>23</v>
      </c>
      <c r="Y292" t="e">
        <f>+_xlfn.XLOOKUP(tbl_encuesta[[#This Row],[Considero a Limtek como un buen lugar para trabajar]],#REF!,#REF!)</f>
        <v>#REF!</v>
      </c>
      <c r="Z292" t="s">
        <v>797</v>
      </c>
      <c r="AA292" t="s">
        <v>798</v>
      </c>
      <c r="AB292" t="s">
        <v>581</v>
      </c>
      <c r="AC292" s="3" t="s">
        <v>3716</v>
      </c>
      <c r="AD292" s="3" t="s">
        <v>814</v>
      </c>
      <c r="AE292" t="s">
        <v>29</v>
      </c>
    </row>
    <row r="293" spans="1:31" x14ac:dyDescent="0.25">
      <c r="A293">
        <v>119031389277</v>
      </c>
      <c r="B293">
        <v>462598545</v>
      </c>
      <c r="C293" s="1">
        <v>46027.842766203707</v>
      </c>
      <c r="D293" s="1">
        <v>46027.846296296295</v>
      </c>
      <c r="E293" t="s">
        <v>793</v>
      </c>
      <c r="F293" t="s">
        <v>23</v>
      </c>
      <c r="G293" t="e">
        <f>+_xlfn.XLOOKUP(tbl_encuesta[[#This Row],[Me siento a gusto con el ambiente de trabajo que se genera en mi equipo.]],#REF!,#REF!)</f>
        <v>#REF!</v>
      </c>
      <c r="H293" t="s">
        <v>23</v>
      </c>
      <c r="I293" t="e">
        <f>+_xlfn.XLOOKUP(tbl_encuesta[[#This Row],[Me siento motivado a dar lo mejor de mí y hacer un buen trabajo]],#REF!,#REF!)</f>
        <v>#REF!</v>
      </c>
      <c r="J293" t="s">
        <v>23</v>
      </c>
      <c r="K293" t="e">
        <f>+_xlfn.XLOOKUP(tbl_encuesta[[#This Row],[Mi supervisor o jefe directo me otorga el soporte que necesito para afrontar cualquier problema que afecte mi trabajo]],#REF!,#REF!)</f>
        <v>#REF!</v>
      </c>
      <c r="L293" t="s">
        <v>23</v>
      </c>
      <c r="M293" t="e">
        <f>+_xlfn.XLOOKUP(tbl_encuesta[[#This Row],[Mi supervisor o jefe directo fomenta que nos apoyemos entre todos en el equipo]],#REF!,#REF!)</f>
        <v>#REF!</v>
      </c>
      <c r="N293" t="s">
        <v>23</v>
      </c>
      <c r="O293" t="e">
        <f>+_xlfn.XLOOKUP(tbl_encuesta[[#This Row],[Siento que mi trabajo es reconocido por mi supervisor o jefe directo.]],#REF!,#REF!)</f>
        <v>#REF!</v>
      </c>
      <c r="P293" t="s">
        <v>31</v>
      </c>
      <c r="Q293" t="e">
        <f xml:space="preserve">
_xlfn.XLOOKUP(
tbl_encuesta[[#This Row],[Mi supervisor o jefe directo nos brinda charlas de 5 minutos y comunica las novedades relevantes a mi puesto de trabajo]],#REF!,#REF!
)</f>
        <v>#REF!</v>
      </c>
      <c r="R293" t="s">
        <v>17</v>
      </c>
      <c r="S293" t="s">
        <v>18</v>
      </c>
      <c r="W293" t="s">
        <v>25</v>
      </c>
      <c r="X293" t="s">
        <v>23</v>
      </c>
      <c r="Y293" t="e">
        <f>+_xlfn.XLOOKUP(tbl_encuesta[[#This Row],[Considero a Limtek como un buen lugar para trabajar]],#REF!,#REF!)</f>
        <v>#REF!</v>
      </c>
      <c r="Z293" t="s">
        <v>101</v>
      </c>
      <c r="AA293" t="s">
        <v>799</v>
      </c>
      <c r="AB293" t="s">
        <v>581</v>
      </c>
      <c r="AC293" s="3" t="s">
        <v>3716</v>
      </c>
      <c r="AD293" s="3" t="s">
        <v>814</v>
      </c>
      <c r="AE293" t="s">
        <v>29</v>
      </c>
    </row>
    <row r="294" spans="1:31" x14ac:dyDescent="0.25">
      <c r="A294">
        <v>119031388822</v>
      </c>
      <c r="B294">
        <v>462598545</v>
      </c>
      <c r="C294" s="1">
        <v>46027.843854166669</v>
      </c>
      <c r="D294" s="1">
        <v>46027.845451388886</v>
      </c>
      <c r="E294" t="s">
        <v>800</v>
      </c>
      <c r="F294" t="s">
        <v>22</v>
      </c>
      <c r="G294" t="e">
        <f>+_xlfn.XLOOKUP(tbl_encuesta[[#This Row],[Me siento a gusto con el ambiente de trabajo que se genera en mi equipo.]],#REF!,#REF!)</f>
        <v>#REF!</v>
      </c>
      <c r="H294" t="s">
        <v>22</v>
      </c>
      <c r="I294" t="e">
        <f>+_xlfn.XLOOKUP(tbl_encuesta[[#This Row],[Me siento motivado a dar lo mejor de mí y hacer un buen trabajo]],#REF!,#REF!)</f>
        <v>#REF!</v>
      </c>
      <c r="J294" t="s">
        <v>22</v>
      </c>
      <c r="K294" t="e">
        <f>+_xlfn.XLOOKUP(tbl_encuesta[[#This Row],[Mi supervisor o jefe directo me otorga el soporte que necesito para afrontar cualquier problema que afecte mi trabajo]],#REF!,#REF!)</f>
        <v>#REF!</v>
      </c>
      <c r="L294" t="s">
        <v>22</v>
      </c>
      <c r="M294" t="e">
        <f>+_xlfn.XLOOKUP(tbl_encuesta[[#This Row],[Mi supervisor o jefe directo fomenta que nos apoyemos entre todos en el equipo]],#REF!,#REF!)</f>
        <v>#REF!</v>
      </c>
      <c r="N294" t="s">
        <v>22</v>
      </c>
      <c r="O294" t="e">
        <f>+_xlfn.XLOOKUP(tbl_encuesta[[#This Row],[Siento que mi trabajo es reconocido por mi supervisor o jefe directo.]],#REF!,#REF!)</f>
        <v>#REF!</v>
      </c>
      <c r="P294" t="s">
        <v>24</v>
      </c>
      <c r="Q294" t="e">
        <f xml:space="preserve">
_xlfn.XLOOKUP(
tbl_encuesta[[#This Row],[Mi supervisor o jefe directo nos brinda charlas de 5 minutos y comunica las novedades relevantes a mi puesto de trabajo]],#REF!,#REF!
)</f>
        <v>#REF!</v>
      </c>
      <c r="S294" t="s">
        <v>18</v>
      </c>
      <c r="W294" t="s">
        <v>25</v>
      </c>
      <c r="X294" t="s">
        <v>22</v>
      </c>
      <c r="Y294" t="e">
        <f>+_xlfn.XLOOKUP(tbl_encuesta[[#This Row],[Considero a Limtek como un buen lugar para trabajar]],#REF!,#REF!)</f>
        <v>#REF!</v>
      </c>
      <c r="Z294" t="s">
        <v>576</v>
      </c>
      <c r="AA294" t="s">
        <v>44</v>
      </c>
      <c r="AB294" t="s">
        <v>567</v>
      </c>
      <c r="AC294" t="s">
        <v>3744</v>
      </c>
      <c r="AD294" t="s">
        <v>3744</v>
      </c>
      <c r="AE294" t="s">
        <v>34</v>
      </c>
    </row>
    <row r="295" spans="1:31" x14ac:dyDescent="0.25">
      <c r="A295">
        <v>119031387096</v>
      </c>
      <c r="B295">
        <v>462598545</v>
      </c>
      <c r="C295" s="1">
        <v>46027.834120370368</v>
      </c>
      <c r="D295" s="1">
        <v>46027.84233796296</v>
      </c>
      <c r="E295" t="s">
        <v>801</v>
      </c>
      <c r="F295" t="s">
        <v>23</v>
      </c>
      <c r="G295" t="e">
        <f>+_xlfn.XLOOKUP(tbl_encuesta[[#This Row],[Me siento a gusto con el ambiente de trabajo que se genera en mi equipo.]],#REF!,#REF!)</f>
        <v>#REF!</v>
      </c>
      <c r="H295" t="s">
        <v>23</v>
      </c>
      <c r="I295" t="e">
        <f>+_xlfn.XLOOKUP(tbl_encuesta[[#This Row],[Me siento motivado a dar lo mejor de mí y hacer un buen trabajo]],#REF!,#REF!)</f>
        <v>#REF!</v>
      </c>
      <c r="J295" t="s">
        <v>22</v>
      </c>
      <c r="K295" t="e">
        <f>+_xlfn.XLOOKUP(tbl_encuesta[[#This Row],[Mi supervisor o jefe directo me otorga el soporte que necesito para afrontar cualquier problema que afecte mi trabajo]],#REF!,#REF!)</f>
        <v>#REF!</v>
      </c>
      <c r="L295" t="s">
        <v>22</v>
      </c>
      <c r="M295" t="e">
        <f>+_xlfn.XLOOKUP(tbl_encuesta[[#This Row],[Mi supervisor o jefe directo fomenta que nos apoyemos entre todos en el equipo]],#REF!,#REF!)</f>
        <v>#REF!</v>
      </c>
      <c r="N295" t="s">
        <v>23</v>
      </c>
      <c r="O295" t="e">
        <f>+_xlfn.XLOOKUP(tbl_encuesta[[#This Row],[Siento que mi trabajo es reconocido por mi supervisor o jefe directo.]],#REF!,#REF!)</f>
        <v>#REF!</v>
      </c>
      <c r="P295" t="s">
        <v>31</v>
      </c>
      <c r="Q295" t="e">
        <f xml:space="preserve">
_xlfn.XLOOKUP(
tbl_encuesta[[#This Row],[Mi supervisor o jefe directo nos brinda charlas de 5 minutos y comunica las novedades relevantes a mi puesto de trabajo]],#REF!,#REF!
)</f>
        <v>#REF!</v>
      </c>
      <c r="S295" t="s">
        <v>18</v>
      </c>
      <c r="U295" t="s">
        <v>20</v>
      </c>
      <c r="W295" t="s">
        <v>25</v>
      </c>
      <c r="X295" t="s">
        <v>23</v>
      </c>
      <c r="Y295" t="e">
        <f>+_xlfn.XLOOKUP(tbl_encuesta[[#This Row],[Considero a Limtek como un buen lugar para trabajar]],#REF!,#REF!)</f>
        <v>#REF!</v>
      </c>
      <c r="Z295" t="s">
        <v>802</v>
      </c>
      <c r="AA295" t="s">
        <v>803</v>
      </c>
      <c r="AB295" t="s">
        <v>581</v>
      </c>
      <c r="AC295" s="3" t="s">
        <v>3716</v>
      </c>
      <c r="AD295" s="3" t="s">
        <v>814</v>
      </c>
      <c r="AE295" t="s">
        <v>29</v>
      </c>
    </row>
    <row r="296" spans="1:31" x14ac:dyDescent="0.25">
      <c r="A296">
        <v>119031386077</v>
      </c>
      <c r="B296">
        <v>462598545</v>
      </c>
      <c r="C296" s="1">
        <v>46027.83390046296</v>
      </c>
      <c r="D296" s="1">
        <v>46027.840555555558</v>
      </c>
      <c r="E296" t="s">
        <v>790</v>
      </c>
      <c r="F296" t="s">
        <v>23</v>
      </c>
      <c r="G296" t="e">
        <f>+_xlfn.XLOOKUP(tbl_encuesta[[#This Row],[Me siento a gusto con el ambiente de trabajo que se genera en mi equipo.]],#REF!,#REF!)</f>
        <v>#REF!</v>
      </c>
      <c r="H296" t="s">
        <v>23</v>
      </c>
      <c r="I296" t="e">
        <f>+_xlfn.XLOOKUP(tbl_encuesta[[#This Row],[Me siento motivado a dar lo mejor de mí y hacer un buen trabajo]],#REF!,#REF!)</f>
        <v>#REF!</v>
      </c>
      <c r="J296" t="s">
        <v>23</v>
      </c>
      <c r="K296" t="e">
        <f>+_xlfn.XLOOKUP(tbl_encuesta[[#This Row],[Mi supervisor o jefe directo me otorga el soporte que necesito para afrontar cualquier problema que afecte mi trabajo]],#REF!,#REF!)</f>
        <v>#REF!</v>
      </c>
      <c r="L296" t="s">
        <v>23</v>
      </c>
      <c r="M296" t="e">
        <f>+_xlfn.XLOOKUP(tbl_encuesta[[#This Row],[Mi supervisor o jefe directo fomenta que nos apoyemos entre todos en el equipo]],#REF!,#REF!)</f>
        <v>#REF!</v>
      </c>
      <c r="N296" t="s">
        <v>23</v>
      </c>
      <c r="O296" t="e">
        <f>+_xlfn.XLOOKUP(tbl_encuesta[[#This Row],[Siento que mi trabajo es reconocido por mi supervisor o jefe directo.]],#REF!,#REF!)</f>
        <v>#REF!</v>
      </c>
      <c r="P296" t="s">
        <v>31</v>
      </c>
      <c r="Q296" t="e">
        <f xml:space="preserve">
_xlfn.XLOOKUP(
tbl_encuesta[[#This Row],[Mi supervisor o jefe directo nos brinda charlas de 5 minutos y comunica las novedades relevantes a mi puesto de trabajo]],#REF!,#REF!
)</f>
        <v>#REF!</v>
      </c>
      <c r="R296" t="s">
        <v>17</v>
      </c>
      <c r="U296" t="s">
        <v>20</v>
      </c>
      <c r="W296" t="s">
        <v>25</v>
      </c>
      <c r="X296" t="s">
        <v>23</v>
      </c>
      <c r="Y296" t="e">
        <f>+_xlfn.XLOOKUP(tbl_encuesta[[#This Row],[Considero a Limtek como un buen lugar para trabajar]],#REF!,#REF!)</f>
        <v>#REF!</v>
      </c>
      <c r="Z296" t="s">
        <v>804</v>
      </c>
      <c r="AA296" t="s">
        <v>805</v>
      </c>
      <c r="AB296" t="s">
        <v>581</v>
      </c>
      <c r="AC296" s="3" t="s">
        <v>3716</v>
      </c>
      <c r="AD296" s="3" t="s">
        <v>814</v>
      </c>
      <c r="AE296" t="s">
        <v>29</v>
      </c>
    </row>
    <row r="297" spans="1:31" x14ac:dyDescent="0.25">
      <c r="A297">
        <v>119031386050</v>
      </c>
      <c r="B297">
        <v>462598545</v>
      </c>
      <c r="C297" s="1">
        <v>46027.83697916667</v>
      </c>
      <c r="D297" s="1">
        <v>46027.840497685182</v>
      </c>
      <c r="E297" t="s">
        <v>806</v>
      </c>
      <c r="F297" t="s">
        <v>23</v>
      </c>
      <c r="G297" t="e">
        <f>+_xlfn.XLOOKUP(tbl_encuesta[[#This Row],[Me siento a gusto con el ambiente de trabajo que se genera en mi equipo.]],#REF!,#REF!)</f>
        <v>#REF!</v>
      </c>
      <c r="H297" t="s">
        <v>23</v>
      </c>
      <c r="I297" t="e">
        <f>+_xlfn.XLOOKUP(tbl_encuesta[[#This Row],[Me siento motivado a dar lo mejor de mí y hacer un buen trabajo]],#REF!,#REF!)</f>
        <v>#REF!</v>
      </c>
      <c r="J297" t="s">
        <v>23</v>
      </c>
      <c r="K297" t="e">
        <f>+_xlfn.XLOOKUP(tbl_encuesta[[#This Row],[Mi supervisor o jefe directo me otorga el soporte que necesito para afrontar cualquier problema que afecte mi trabajo]],#REF!,#REF!)</f>
        <v>#REF!</v>
      </c>
      <c r="L297" t="s">
        <v>23</v>
      </c>
      <c r="M297" t="e">
        <f>+_xlfn.XLOOKUP(tbl_encuesta[[#This Row],[Mi supervisor o jefe directo fomenta que nos apoyemos entre todos en el equipo]],#REF!,#REF!)</f>
        <v>#REF!</v>
      </c>
      <c r="N297" t="s">
        <v>23</v>
      </c>
      <c r="O297" t="e">
        <f>+_xlfn.XLOOKUP(tbl_encuesta[[#This Row],[Siento que mi trabajo es reconocido por mi supervisor o jefe directo.]],#REF!,#REF!)</f>
        <v>#REF!</v>
      </c>
      <c r="P297" t="s">
        <v>67</v>
      </c>
      <c r="Q297" t="e">
        <f xml:space="preserve">
_xlfn.XLOOKUP(
tbl_encuesta[[#This Row],[Mi supervisor o jefe directo nos brinda charlas de 5 minutos y comunica las novedades relevantes a mi puesto de trabajo]],#REF!,#REF!
)</f>
        <v>#REF!</v>
      </c>
      <c r="R297" t="s">
        <v>17</v>
      </c>
      <c r="T297" t="s">
        <v>19</v>
      </c>
      <c r="W297" t="s">
        <v>25</v>
      </c>
      <c r="X297" t="s">
        <v>23</v>
      </c>
      <c r="Y297" t="e">
        <f>+_xlfn.XLOOKUP(tbl_encuesta[[#This Row],[Considero a Limtek como un buen lugar para trabajar]],#REF!,#REF!)</f>
        <v>#REF!</v>
      </c>
      <c r="Z297" t="s">
        <v>351</v>
      </c>
      <c r="AA297" t="s">
        <v>807</v>
      </c>
      <c r="AB297" t="s">
        <v>581</v>
      </c>
      <c r="AC297" s="3" t="s">
        <v>3716</v>
      </c>
      <c r="AD297" s="3" t="s">
        <v>3716</v>
      </c>
      <c r="AE297" t="s">
        <v>29</v>
      </c>
    </row>
    <row r="298" spans="1:31" x14ac:dyDescent="0.25">
      <c r="A298">
        <v>119031385283</v>
      </c>
      <c r="B298">
        <v>462598545</v>
      </c>
      <c r="C298" s="1">
        <v>46027.83697916667</v>
      </c>
      <c r="D298" s="1">
        <v>46027.839236111111</v>
      </c>
      <c r="E298" t="s">
        <v>808</v>
      </c>
      <c r="F298" t="s">
        <v>23</v>
      </c>
      <c r="G298" t="e">
        <f>+_xlfn.XLOOKUP(tbl_encuesta[[#This Row],[Me siento a gusto con el ambiente de trabajo que se genera en mi equipo.]],#REF!,#REF!)</f>
        <v>#REF!</v>
      </c>
      <c r="H298" t="s">
        <v>23</v>
      </c>
      <c r="I298" t="e">
        <f>+_xlfn.XLOOKUP(tbl_encuesta[[#This Row],[Me siento motivado a dar lo mejor de mí y hacer un buen trabajo]],#REF!,#REF!)</f>
        <v>#REF!</v>
      </c>
      <c r="J298" t="s">
        <v>23</v>
      </c>
      <c r="K298" t="e">
        <f>+_xlfn.XLOOKUP(tbl_encuesta[[#This Row],[Mi supervisor o jefe directo me otorga el soporte que necesito para afrontar cualquier problema que afecte mi trabajo]],#REF!,#REF!)</f>
        <v>#REF!</v>
      </c>
      <c r="L298" t="s">
        <v>23</v>
      </c>
      <c r="M298" t="e">
        <f>+_xlfn.XLOOKUP(tbl_encuesta[[#This Row],[Mi supervisor o jefe directo fomenta que nos apoyemos entre todos en el equipo]],#REF!,#REF!)</f>
        <v>#REF!</v>
      </c>
      <c r="N298" t="s">
        <v>23</v>
      </c>
      <c r="O298" t="e">
        <f>+_xlfn.XLOOKUP(tbl_encuesta[[#This Row],[Siento que mi trabajo es reconocido por mi supervisor o jefe directo.]],#REF!,#REF!)</f>
        <v>#REF!</v>
      </c>
      <c r="P298" t="s">
        <v>31</v>
      </c>
      <c r="Q298" t="e">
        <f xml:space="preserve">
_xlfn.XLOOKUP(
tbl_encuesta[[#This Row],[Mi supervisor o jefe directo nos brinda charlas de 5 minutos y comunica las novedades relevantes a mi puesto de trabajo]],#REF!,#REF!
)</f>
        <v>#REF!</v>
      </c>
      <c r="R298" t="s">
        <v>17</v>
      </c>
      <c r="T298" t="s">
        <v>19</v>
      </c>
      <c r="W298" t="s">
        <v>25</v>
      </c>
      <c r="X298" t="s">
        <v>23</v>
      </c>
      <c r="Y298" t="e">
        <f>+_xlfn.XLOOKUP(tbl_encuesta[[#This Row],[Considero a Limtek como un buen lugar para trabajar]],#REF!,#REF!)</f>
        <v>#REF!</v>
      </c>
      <c r="Z298" t="s">
        <v>809</v>
      </c>
      <c r="AA298" t="s">
        <v>810</v>
      </c>
      <c r="AB298" t="s">
        <v>553</v>
      </c>
      <c r="AC298" s="3" t="s">
        <v>3610</v>
      </c>
      <c r="AD298" s="3" t="s">
        <v>3634</v>
      </c>
      <c r="AE298" t="s">
        <v>55</v>
      </c>
    </row>
    <row r="299" spans="1:31" x14ac:dyDescent="0.25">
      <c r="A299">
        <v>119031381434</v>
      </c>
      <c r="B299">
        <v>462598545</v>
      </c>
      <c r="C299" s="1">
        <v>46027.829687500001</v>
      </c>
      <c r="D299" s="1">
        <v>46027.832118055558</v>
      </c>
      <c r="E299" t="s">
        <v>811</v>
      </c>
      <c r="F299" t="s">
        <v>23</v>
      </c>
      <c r="G299" t="e">
        <f>+_xlfn.XLOOKUP(tbl_encuesta[[#This Row],[Me siento a gusto con el ambiente de trabajo que se genera en mi equipo.]],#REF!,#REF!)</f>
        <v>#REF!</v>
      </c>
      <c r="H299" t="s">
        <v>23</v>
      </c>
      <c r="I299" t="e">
        <f>+_xlfn.XLOOKUP(tbl_encuesta[[#This Row],[Me siento motivado a dar lo mejor de mí y hacer un buen trabajo]],#REF!,#REF!)</f>
        <v>#REF!</v>
      </c>
      <c r="J299" t="s">
        <v>23</v>
      </c>
      <c r="K299" t="e">
        <f>+_xlfn.XLOOKUP(tbl_encuesta[[#This Row],[Mi supervisor o jefe directo me otorga el soporte que necesito para afrontar cualquier problema que afecte mi trabajo]],#REF!,#REF!)</f>
        <v>#REF!</v>
      </c>
      <c r="L299" t="s">
        <v>23</v>
      </c>
      <c r="M299" t="e">
        <f>+_xlfn.XLOOKUP(tbl_encuesta[[#This Row],[Mi supervisor o jefe directo fomenta que nos apoyemos entre todos en el equipo]],#REF!,#REF!)</f>
        <v>#REF!</v>
      </c>
      <c r="N299" t="s">
        <v>23</v>
      </c>
      <c r="O299" t="e">
        <f>+_xlfn.XLOOKUP(tbl_encuesta[[#This Row],[Siento que mi trabajo es reconocido por mi supervisor o jefe directo.]],#REF!,#REF!)</f>
        <v>#REF!</v>
      </c>
      <c r="P299" t="s">
        <v>31</v>
      </c>
      <c r="Q299" t="e">
        <f xml:space="preserve">
_xlfn.XLOOKUP(
tbl_encuesta[[#This Row],[Mi supervisor o jefe directo nos brinda charlas de 5 minutos y comunica las novedades relevantes a mi puesto de trabajo]],#REF!,#REF!
)</f>
        <v>#REF!</v>
      </c>
      <c r="R299" t="s">
        <v>17</v>
      </c>
      <c r="S299" t="s">
        <v>18</v>
      </c>
      <c r="W299" t="s">
        <v>25</v>
      </c>
      <c r="X299" t="s">
        <v>23</v>
      </c>
      <c r="Y299" t="e">
        <f>+_xlfn.XLOOKUP(tbl_encuesta[[#This Row],[Considero a Limtek como un buen lugar para trabajar]],#REF!,#REF!)</f>
        <v>#REF!</v>
      </c>
      <c r="Z299" t="s">
        <v>812</v>
      </c>
      <c r="AA299" t="s">
        <v>813</v>
      </c>
      <c r="AB299" t="s">
        <v>581</v>
      </c>
      <c r="AC299" s="3" t="s">
        <v>3716</v>
      </c>
      <c r="AD299" s="3" t="s">
        <v>814</v>
      </c>
      <c r="AE299" t="s">
        <v>29</v>
      </c>
    </row>
    <row r="300" spans="1:31" x14ac:dyDescent="0.25">
      <c r="A300">
        <v>119031381409</v>
      </c>
      <c r="B300">
        <v>462598545</v>
      </c>
      <c r="C300" s="1">
        <v>46027.82980324074</v>
      </c>
      <c r="D300" s="1">
        <v>46027.832083333335</v>
      </c>
      <c r="E300" t="s">
        <v>815</v>
      </c>
      <c r="F300" t="s">
        <v>23</v>
      </c>
      <c r="G300" t="e">
        <f>+_xlfn.XLOOKUP(tbl_encuesta[[#This Row],[Me siento a gusto con el ambiente de trabajo que se genera en mi equipo.]],#REF!,#REF!)</f>
        <v>#REF!</v>
      </c>
      <c r="H300" t="s">
        <v>23</v>
      </c>
      <c r="I300" t="e">
        <f>+_xlfn.XLOOKUP(tbl_encuesta[[#This Row],[Me siento motivado a dar lo mejor de mí y hacer un buen trabajo]],#REF!,#REF!)</f>
        <v>#REF!</v>
      </c>
      <c r="J300" t="s">
        <v>23</v>
      </c>
      <c r="K300" t="e">
        <f>+_xlfn.XLOOKUP(tbl_encuesta[[#This Row],[Mi supervisor o jefe directo me otorga el soporte que necesito para afrontar cualquier problema que afecte mi trabajo]],#REF!,#REF!)</f>
        <v>#REF!</v>
      </c>
      <c r="L300" t="s">
        <v>23</v>
      </c>
      <c r="M300" t="e">
        <f>+_xlfn.XLOOKUP(tbl_encuesta[[#This Row],[Mi supervisor o jefe directo fomenta que nos apoyemos entre todos en el equipo]],#REF!,#REF!)</f>
        <v>#REF!</v>
      </c>
      <c r="N300" t="s">
        <v>23</v>
      </c>
      <c r="O300" t="e">
        <f>+_xlfn.XLOOKUP(tbl_encuesta[[#This Row],[Siento que mi trabajo es reconocido por mi supervisor o jefe directo.]],#REF!,#REF!)</f>
        <v>#REF!</v>
      </c>
      <c r="P300" t="s">
        <v>31</v>
      </c>
      <c r="Q300" t="e">
        <f xml:space="preserve">
_xlfn.XLOOKUP(
tbl_encuesta[[#This Row],[Mi supervisor o jefe directo nos brinda charlas de 5 minutos y comunica las novedades relevantes a mi puesto de trabajo]],#REF!,#REF!
)</f>
        <v>#REF!</v>
      </c>
      <c r="S300" t="s">
        <v>18</v>
      </c>
      <c r="W300" t="s">
        <v>25</v>
      </c>
      <c r="X300" t="s">
        <v>23</v>
      </c>
      <c r="Y300" t="e">
        <f>+_xlfn.XLOOKUP(tbl_encuesta[[#This Row],[Considero a Limtek como un buen lugar para trabajar]],#REF!,#REF!)</f>
        <v>#REF!</v>
      </c>
      <c r="Z300" t="s">
        <v>816</v>
      </c>
      <c r="AA300" t="s">
        <v>817</v>
      </c>
      <c r="AB300" t="s">
        <v>581</v>
      </c>
      <c r="AC300" s="3" t="s">
        <v>3716</v>
      </c>
      <c r="AD300" s="3" t="s">
        <v>3716</v>
      </c>
      <c r="AE300" t="s">
        <v>29</v>
      </c>
    </row>
    <row r="301" spans="1:31" x14ac:dyDescent="0.25">
      <c r="A301">
        <v>119031379305</v>
      </c>
      <c r="B301">
        <v>462598545</v>
      </c>
      <c r="C301" s="1">
        <v>46027.821620370371</v>
      </c>
      <c r="D301" s="1">
        <v>46027.827928240738</v>
      </c>
      <c r="E301" t="s">
        <v>818</v>
      </c>
      <c r="F301" t="s">
        <v>23</v>
      </c>
      <c r="G301" t="e">
        <f>+_xlfn.XLOOKUP(tbl_encuesta[[#This Row],[Me siento a gusto con el ambiente de trabajo que se genera en mi equipo.]],#REF!,#REF!)</f>
        <v>#REF!</v>
      </c>
      <c r="H301" t="s">
        <v>23</v>
      </c>
      <c r="I301" t="e">
        <f>+_xlfn.XLOOKUP(tbl_encuesta[[#This Row],[Me siento motivado a dar lo mejor de mí y hacer un buen trabajo]],#REF!,#REF!)</f>
        <v>#REF!</v>
      </c>
      <c r="J301" t="s">
        <v>23</v>
      </c>
      <c r="K301" t="e">
        <f>+_xlfn.XLOOKUP(tbl_encuesta[[#This Row],[Mi supervisor o jefe directo me otorga el soporte que necesito para afrontar cualquier problema que afecte mi trabajo]],#REF!,#REF!)</f>
        <v>#REF!</v>
      </c>
      <c r="L301" t="s">
        <v>23</v>
      </c>
      <c r="M301" t="e">
        <f>+_xlfn.XLOOKUP(tbl_encuesta[[#This Row],[Mi supervisor o jefe directo fomenta que nos apoyemos entre todos en el equipo]],#REF!,#REF!)</f>
        <v>#REF!</v>
      </c>
      <c r="N301" t="s">
        <v>23</v>
      </c>
      <c r="O301" t="e">
        <f>+_xlfn.XLOOKUP(tbl_encuesta[[#This Row],[Siento que mi trabajo es reconocido por mi supervisor o jefe directo.]],#REF!,#REF!)</f>
        <v>#REF!</v>
      </c>
      <c r="P301" t="s">
        <v>31</v>
      </c>
      <c r="Q301" t="e">
        <f xml:space="preserve">
_xlfn.XLOOKUP(
tbl_encuesta[[#This Row],[Mi supervisor o jefe directo nos brinda charlas de 5 minutos y comunica las novedades relevantes a mi puesto de trabajo]],#REF!,#REF!
)</f>
        <v>#REF!</v>
      </c>
      <c r="R301" t="s">
        <v>17</v>
      </c>
      <c r="T301" t="s">
        <v>19</v>
      </c>
      <c r="W301" t="s">
        <v>25</v>
      </c>
      <c r="X301" t="s">
        <v>23</v>
      </c>
      <c r="Y301" t="e">
        <f>+_xlfn.XLOOKUP(tbl_encuesta[[#This Row],[Considero a Limtek como un buen lugar para trabajar]],#REF!,#REF!)</f>
        <v>#REF!</v>
      </c>
      <c r="Z301" t="s">
        <v>819</v>
      </c>
      <c r="AA301" t="s">
        <v>820</v>
      </c>
      <c r="AB301" t="s">
        <v>581</v>
      </c>
      <c r="AC301" t="s">
        <v>3610</v>
      </c>
      <c r="AD301" s="3" t="s">
        <v>3610</v>
      </c>
      <c r="AE301" t="s">
        <v>34</v>
      </c>
    </row>
    <row r="302" spans="1:31" x14ac:dyDescent="0.25">
      <c r="A302">
        <v>119031377162</v>
      </c>
      <c r="B302">
        <v>462598545</v>
      </c>
      <c r="C302" s="1">
        <v>46027.822326388887</v>
      </c>
      <c r="D302" s="1">
        <v>46027.823958333334</v>
      </c>
      <c r="E302" t="s">
        <v>821</v>
      </c>
      <c r="F302" t="s">
        <v>23</v>
      </c>
      <c r="G302" t="e">
        <f>+_xlfn.XLOOKUP(tbl_encuesta[[#This Row],[Me siento a gusto con el ambiente de trabajo que se genera en mi equipo.]],#REF!,#REF!)</f>
        <v>#REF!</v>
      </c>
      <c r="H302" t="s">
        <v>23</v>
      </c>
      <c r="I302" t="e">
        <f>+_xlfn.XLOOKUP(tbl_encuesta[[#This Row],[Me siento motivado a dar lo mejor de mí y hacer un buen trabajo]],#REF!,#REF!)</f>
        <v>#REF!</v>
      </c>
      <c r="J302" t="s">
        <v>23</v>
      </c>
      <c r="K302" t="e">
        <f>+_xlfn.XLOOKUP(tbl_encuesta[[#This Row],[Mi supervisor o jefe directo me otorga el soporte que necesito para afrontar cualquier problema que afecte mi trabajo]],#REF!,#REF!)</f>
        <v>#REF!</v>
      </c>
      <c r="L302" t="s">
        <v>23</v>
      </c>
      <c r="M302" t="e">
        <f>+_xlfn.XLOOKUP(tbl_encuesta[[#This Row],[Mi supervisor o jefe directo fomenta que nos apoyemos entre todos en el equipo]],#REF!,#REF!)</f>
        <v>#REF!</v>
      </c>
      <c r="N302" t="s">
        <v>23</v>
      </c>
      <c r="O302" t="e">
        <f>+_xlfn.XLOOKUP(tbl_encuesta[[#This Row],[Siento que mi trabajo es reconocido por mi supervisor o jefe directo.]],#REF!,#REF!)</f>
        <v>#REF!</v>
      </c>
      <c r="P302" t="s">
        <v>31</v>
      </c>
      <c r="Q302" t="e">
        <f xml:space="preserve">
_xlfn.XLOOKUP(
tbl_encuesta[[#This Row],[Mi supervisor o jefe directo nos brinda charlas de 5 minutos y comunica las novedades relevantes a mi puesto de trabajo]],#REF!,#REF!
)</f>
        <v>#REF!</v>
      </c>
      <c r="T302" t="s">
        <v>19</v>
      </c>
      <c r="W302" t="s">
        <v>25</v>
      </c>
      <c r="X302" t="s">
        <v>23</v>
      </c>
      <c r="Y302" t="e">
        <f>+_xlfn.XLOOKUP(tbl_encuesta[[#This Row],[Considero a Limtek como un buen lugar para trabajar]],#REF!,#REF!)</f>
        <v>#REF!</v>
      </c>
      <c r="Z302" t="s">
        <v>822</v>
      </c>
      <c r="AA302" t="s">
        <v>54</v>
      </c>
      <c r="AB302" t="s">
        <v>553</v>
      </c>
      <c r="AC302" s="3" t="s">
        <v>3755</v>
      </c>
      <c r="AD302" s="3" t="s">
        <v>3798</v>
      </c>
      <c r="AE302" t="s">
        <v>29</v>
      </c>
    </row>
    <row r="303" spans="1:31" x14ac:dyDescent="0.25">
      <c r="A303">
        <v>119031374988</v>
      </c>
      <c r="B303">
        <v>462598545</v>
      </c>
      <c r="C303" s="1">
        <v>46027.81753472222</v>
      </c>
      <c r="D303" s="1">
        <v>46027.820289351854</v>
      </c>
      <c r="E303" t="s">
        <v>568</v>
      </c>
      <c r="F303" t="s">
        <v>22</v>
      </c>
      <c r="G303" t="e">
        <f>+_xlfn.XLOOKUP(tbl_encuesta[[#This Row],[Me siento a gusto con el ambiente de trabajo que se genera en mi equipo.]],#REF!,#REF!)</f>
        <v>#REF!</v>
      </c>
      <c r="H303" t="s">
        <v>23</v>
      </c>
      <c r="I303" t="e">
        <f>+_xlfn.XLOOKUP(tbl_encuesta[[#This Row],[Me siento motivado a dar lo mejor de mí y hacer un buen trabajo]],#REF!,#REF!)</f>
        <v>#REF!</v>
      </c>
      <c r="J303" t="s">
        <v>23</v>
      </c>
      <c r="K303" t="e">
        <f>+_xlfn.XLOOKUP(tbl_encuesta[[#This Row],[Mi supervisor o jefe directo me otorga el soporte que necesito para afrontar cualquier problema que afecte mi trabajo]],#REF!,#REF!)</f>
        <v>#REF!</v>
      </c>
      <c r="L303" t="s">
        <v>23</v>
      </c>
      <c r="M303" t="e">
        <f>+_xlfn.XLOOKUP(tbl_encuesta[[#This Row],[Mi supervisor o jefe directo fomenta que nos apoyemos entre todos en el equipo]],#REF!,#REF!)</f>
        <v>#REF!</v>
      </c>
      <c r="N303" t="s">
        <v>23</v>
      </c>
      <c r="O303" t="e">
        <f>+_xlfn.XLOOKUP(tbl_encuesta[[#This Row],[Siento que mi trabajo es reconocido por mi supervisor o jefe directo.]],#REF!,#REF!)</f>
        <v>#REF!</v>
      </c>
      <c r="P303" t="s">
        <v>31</v>
      </c>
      <c r="Q303" t="e">
        <f xml:space="preserve">
_xlfn.XLOOKUP(
tbl_encuesta[[#This Row],[Mi supervisor o jefe directo nos brinda charlas de 5 minutos y comunica las novedades relevantes a mi puesto de trabajo]],#REF!,#REF!
)</f>
        <v>#REF!</v>
      </c>
      <c r="S303" t="s">
        <v>18</v>
      </c>
      <c r="W303" t="s">
        <v>25</v>
      </c>
      <c r="X303" t="s">
        <v>23</v>
      </c>
      <c r="Y303" t="e">
        <f>+_xlfn.XLOOKUP(tbl_encuesta[[#This Row],[Considero a Limtek como un buen lugar para trabajar]],#REF!,#REF!)</f>
        <v>#REF!</v>
      </c>
      <c r="Z303" t="s">
        <v>574</v>
      </c>
      <c r="AA303" t="s">
        <v>527</v>
      </c>
      <c r="AB303" t="s">
        <v>563</v>
      </c>
      <c r="AC303" s="3" t="s">
        <v>3716</v>
      </c>
      <c r="AD303" s="3" t="s">
        <v>1595</v>
      </c>
      <c r="AE303" t="s">
        <v>29</v>
      </c>
    </row>
    <row r="304" spans="1:31" x14ac:dyDescent="0.25">
      <c r="A304">
        <v>119031369890</v>
      </c>
      <c r="B304">
        <v>462598545</v>
      </c>
      <c r="C304" s="1">
        <v>46027.807546296295</v>
      </c>
      <c r="D304" s="1">
        <v>46027.811099537037</v>
      </c>
      <c r="E304" t="s">
        <v>823</v>
      </c>
      <c r="F304" t="s">
        <v>23</v>
      </c>
      <c r="G304" t="e">
        <f>+_xlfn.XLOOKUP(tbl_encuesta[[#This Row],[Me siento a gusto con el ambiente de trabajo que se genera en mi equipo.]],#REF!,#REF!)</f>
        <v>#REF!</v>
      </c>
      <c r="H304" t="s">
        <v>23</v>
      </c>
      <c r="I304" t="e">
        <f>+_xlfn.XLOOKUP(tbl_encuesta[[#This Row],[Me siento motivado a dar lo mejor de mí y hacer un buen trabajo]],#REF!,#REF!)</f>
        <v>#REF!</v>
      </c>
      <c r="J304" t="s">
        <v>97</v>
      </c>
      <c r="K304" t="e">
        <f>+_xlfn.XLOOKUP(tbl_encuesta[[#This Row],[Mi supervisor o jefe directo me otorga el soporte que necesito para afrontar cualquier problema que afecte mi trabajo]],#REF!,#REF!)</f>
        <v>#REF!</v>
      </c>
      <c r="L304" t="s">
        <v>23</v>
      </c>
      <c r="M304" t="e">
        <f>+_xlfn.XLOOKUP(tbl_encuesta[[#This Row],[Mi supervisor o jefe directo fomenta que nos apoyemos entre todos en el equipo]],#REF!,#REF!)</f>
        <v>#REF!</v>
      </c>
      <c r="N304" t="s">
        <v>97</v>
      </c>
      <c r="O304" t="e">
        <f>+_xlfn.XLOOKUP(tbl_encuesta[[#This Row],[Siento que mi trabajo es reconocido por mi supervisor o jefe directo.]],#REF!,#REF!)</f>
        <v>#REF!</v>
      </c>
      <c r="P304" t="s">
        <v>31</v>
      </c>
      <c r="Q304" t="e">
        <f xml:space="preserve">
_xlfn.XLOOKUP(
tbl_encuesta[[#This Row],[Mi supervisor o jefe directo nos brinda charlas de 5 minutos y comunica las novedades relevantes a mi puesto de trabajo]],#REF!,#REF!
)</f>
        <v>#REF!</v>
      </c>
      <c r="R304" t="s">
        <v>17</v>
      </c>
      <c r="W304" t="s">
        <v>25</v>
      </c>
      <c r="X304" t="s">
        <v>23</v>
      </c>
      <c r="Y304" t="e">
        <f>+_xlfn.XLOOKUP(tbl_encuesta[[#This Row],[Considero a Limtek como un buen lugar para trabajar]],#REF!,#REF!)</f>
        <v>#REF!</v>
      </c>
      <c r="Z304" t="s">
        <v>824</v>
      </c>
      <c r="AA304" t="s">
        <v>825</v>
      </c>
      <c r="AB304" t="s">
        <v>567</v>
      </c>
      <c r="AC304" s="3" t="s">
        <v>3817</v>
      </c>
      <c r="AD304" s="3" t="s">
        <v>3818</v>
      </c>
      <c r="AE304" t="s">
        <v>34</v>
      </c>
    </row>
    <row r="305" spans="1:31" x14ac:dyDescent="0.25">
      <c r="A305">
        <v>119031369581</v>
      </c>
      <c r="B305">
        <v>462598545</v>
      </c>
      <c r="C305" s="1">
        <v>46027.80605324074</v>
      </c>
      <c r="D305" s="1">
        <v>46027.810520833336</v>
      </c>
      <c r="E305" t="s">
        <v>826</v>
      </c>
      <c r="F305" t="s">
        <v>23</v>
      </c>
      <c r="G305" t="e">
        <f>+_xlfn.XLOOKUP(tbl_encuesta[[#This Row],[Me siento a gusto con el ambiente de trabajo que se genera en mi equipo.]],#REF!,#REF!)</f>
        <v>#REF!</v>
      </c>
      <c r="H305" t="s">
        <v>23</v>
      </c>
      <c r="I305" t="e">
        <f>+_xlfn.XLOOKUP(tbl_encuesta[[#This Row],[Me siento motivado a dar lo mejor de mí y hacer un buen trabajo]],#REF!,#REF!)</f>
        <v>#REF!</v>
      </c>
      <c r="J305" t="s">
        <v>22</v>
      </c>
      <c r="K305" t="e">
        <f>+_xlfn.XLOOKUP(tbl_encuesta[[#This Row],[Mi supervisor o jefe directo me otorga el soporte que necesito para afrontar cualquier problema que afecte mi trabajo]],#REF!,#REF!)</f>
        <v>#REF!</v>
      </c>
      <c r="L305" t="s">
        <v>23</v>
      </c>
      <c r="M305" t="e">
        <f>+_xlfn.XLOOKUP(tbl_encuesta[[#This Row],[Mi supervisor o jefe directo fomenta que nos apoyemos entre todos en el equipo]],#REF!,#REF!)</f>
        <v>#REF!</v>
      </c>
      <c r="N305" t="s">
        <v>23</v>
      </c>
      <c r="O305" t="e">
        <f>+_xlfn.XLOOKUP(tbl_encuesta[[#This Row],[Siento que mi trabajo es reconocido por mi supervisor o jefe directo.]],#REF!,#REF!)</f>
        <v>#REF!</v>
      </c>
      <c r="P305" t="s">
        <v>67</v>
      </c>
      <c r="Q305" t="e">
        <f xml:space="preserve">
_xlfn.XLOOKUP(
tbl_encuesta[[#This Row],[Mi supervisor o jefe directo nos brinda charlas de 5 minutos y comunica las novedades relevantes a mi puesto de trabajo]],#REF!,#REF!
)</f>
        <v>#REF!</v>
      </c>
      <c r="R305" t="s">
        <v>17</v>
      </c>
      <c r="T305" t="s">
        <v>19</v>
      </c>
      <c r="W305" t="s">
        <v>25</v>
      </c>
      <c r="X305" t="s">
        <v>23</v>
      </c>
      <c r="Y305" t="e">
        <f>+_xlfn.XLOOKUP(tbl_encuesta[[#This Row],[Considero a Limtek como un buen lugar para trabajar]],#REF!,#REF!)</f>
        <v>#REF!</v>
      </c>
      <c r="Z305" t="s">
        <v>827</v>
      </c>
      <c r="AA305" t="s">
        <v>828</v>
      </c>
      <c r="AB305" t="s">
        <v>553</v>
      </c>
      <c r="AC305" s="3" t="s">
        <v>3755</v>
      </c>
      <c r="AD305" s="3" t="s">
        <v>3756</v>
      </c>
      <c r="AE305" t="s">
        <v>55</v>
      </c>
    </row>
    <row r="306" spans="1:31" x14ac:dyDescent="0.25">
      <c r="A306">
        <v>119031368240</v>
      </c>
      <c r="B306">
        <v>462598545</v>
      </c>
      <c r="C306" s="1">
        <v>46027.806747685187</v>
      </c>
      <c r="D306" s="1">
        <v>46027.808055555557</v>
      </c>
      <c r="E306" t="s">
        <v>829</v>
      </c>
      <c r="F306" t="s">
        <v>23</v>
      </c>
      <c r="G306" t="e">
        <f>+_xlfn.XLOOKUP(tbl_encuesta[[#This Row],[Me siento a gusto con el ambiente de trabajo que se genera en mi equipo.]],#REF!,#REF!)</f>
        <v>#REF!</v>
      </c>
      <c r="H306" t="s">
        <v>23</v>
      </c>
      <c r="I306" t="e">
        <f>+_xlfn.XLOOKUP(tbl_encuesta[[#This Row],[Me siento motivado a dar lo mejor de mí y hacer un buen trabajo]],#REF!,#REF!)</f>
        <v>#REF!</v>
      </c>
      <c r="J306" t="s">
        <v>22</v>
      </c>
      <c r="K306" t="e">
        <f>+_xlfn.XLOOKUP(tbl_encuesta[[#This Row],[Mi supervisor o jefe directo me otorga el soporte que necesito para afrontar cualquier problema que afecte mi trabajo]],#REF!,#REF!)</f>
        <v>#REF!</v>
      </c>
      <c r="L306" t="s">
        <v>23</v>
      </c>
      <c r="M306" t="e">
        <f>+_xlfn.XLOOKUP(tbl_encuesta[[#This Row],[Mi supervisor o jefe directo fomenta que nos apoyemos entre todos en el equipo]],#REF!,#REF!)</f>
        <v>#REF!</v>
      </c>
      <c r="N306" t="s">
        <v>22</v>
      </c>
      <c r="O306" t="e">
        <f>+_xlfn.XLOOKUP(tbl_encuesta[[#This Row],[Siento que mi trabajo es reconocido por mi supervisor o jefe directo.]],#REF!,#REF!)</f>
        <v>#REF!</v>
      </c>
      <c r="P306" t="s">
        <v>31</v>
      </c>
      <c r="Q306" t="e">
        <f xml:space="preserve">
_xlfn.XLOOKUP(
tbl_encuesta[[#This Row],[Mi supervisor o jefe directo nos brinda charlas de 5 minutos y comunica las novedades relevantes a mi puesto de trabajo]],#REF!,#REF!
)</f>
        <v>#REF!</v>
      </c>
      <c r="R306" t="s">
        <v>17</v>
      </c>
      <c r="W306" t="s">
        <v>25</v>
      </c>
      <c r="X306" t="s">
        <v>22</v>
      </c>
      <c r="Y306" t="e">
        <f>+_xlfn.XLOOKUP(tbl_encuesta[[#This Row],[Considero a Limtek como un buen lugar para trabajar]],#REF!,#REF!)</f>
        <v>#REF!</v>
      </c>
      <c r="Z306" t="s">
        <v>830</v>
      </c>
      <c r="AA306" t="s">
        <v>831</v>
      </c>
      <c r="AB306" t="s">
        <v>59</v>
      </c>
      <c r="AC306" s="3" t="s">
        <v>3610</v>
      </c>
      <c r="AD306" s="3" t="s">
        <v>3635</v>
      </c>
      <c r="AE306" t="s">
        <v>55</v>
      </c>
    </row>
    <row r="307" spans="1:31" x14ac:dyDescent="0.25">
      <c r="A307">
        <v>119031368137</v>
      </c>
      <c r="B307">
        <v>462598545</v>
      </c>
      <c r="C307" s="1">
        <v>46027.802928240744</v>
      </c>
      <c r="D307" s="1">
        <v>46027.807905092595</v>
      </c>
      <c r="E307" t="s">
        <v>832</v>
      </c>
      <c r="F307" t="s">
        <v>22</v>
      </c>
      <c r="G307" t="e">
        <f>+_xlfn.XLOOKUP(tbl_encuesta[[#This Row],[Me siento a gusto con el ambiente de trabajo que se genera en mi equipo.]],#REF!,#REF!)</f>
        <v>#REF!</v>
      </c>
      <c r="H307" t="s">
        <v>23</v>
      </c>
      <c r="I307" t="e">
        <f>+_xlfn.XLOOKUP(tbl_encuesta[[#This Row],[Me siento motivado a dar lo mejor de mí y hacer un buen trabajo]],#REF!,#REF!)</f>
        <v>#REF!</v>
      </c>
      <c r="J307" t="s">
        <v>23</v>
      </c>
      <c r="K307" t="e">
        <f>+_xlfn.XLOOKUP(tbl_encuesta[[#This Row],[Mi supervisor o jefe directo me otorga el soporte que necesito para afrontar cualquier problema que afecte mi trabajo]],#REF!,#REF!)</f>
        <v>#REF!</v>
      </c>
      <c r="L307" t="s">
        <v>23</v>
      </c>
      <c r="M307" t="e">
        <f>+_xlfn.XLOOKUP(tbl_encuesta[[#This Row],[Mi supervisor o jefe directo fomenta que nos apoyemos entre todos en el equipo]],#REF!,#REF!)</f>
        <v>#REF!</v>
      </c>
      <c r="N307" t="s">
        <v>23</v>
      </c>
      <c r="O307" t="e">
        <f>+_xlfn.XLOOKUP(tbl_encuesta[[#This Row],[Siento que mi trabajo es reconocido por mi supervisor o jefe directo.]],#REF!,#REF!)</f>
        <v>#REF!</v>
      </c>
      <c r="P307" t="s">
        <v>67</v>
      </c>
      <c r="Q307" t="e">
        <f xml:space="preserve">
_xlfn.XLOOKUP(
tbl_encuesta[[#This Row],[Mi supervisor o jefe directo nos brinda charlas de 5 minutos y comunica las novedades relevantes a mi puesto de trabajo]],#REF!,#REF!
)</f>
        <v>#REF!</v>
      </c>
      <c r="R307" t="s">
        <v>17</v>
      </c>
      <c r="W307" t="s">
        <v>25</v>
      </c>
      <c r="X307" t="s">
        <v>23</v>
      </c>
      <c r="Y307" t="e">
        <f>+_xlfn.XLOOKUP(tbl_encuesta[[#This Row],[Considero a Limtek como un buen lugar para trabajar]],#REF!,#REF!)</f>
        <v>#REF!</v>
      </c>
      <c r="Z307" t="s">
        <v>833</v>
      </c>
      <c r="AA307" t="s">
        <v>834</v>
      </c>
      <c r="AB307" t="s">
        <v>28</v>
      </c>
      <c r="AC307" s="3" t="s">
        <v>3845</v>
      </c>
      <c r="AD307" s="3" t="s">
        <v>3846</v>
      </c>
      <c r="AE307" t="s">
        <v>55</v>
      </c>
    </row>
    <row r="308" spans="1:31" x14ac:dyDescent="0.25">
      <c r="A308">
        <v>119031364934</v>
      </c>
      <c r="B308">
        <v>462598545</v>
      </c>
      <c r="C308" s="1">
        <v>46027.780057870368</v>
      </c>
      <c r="D308" s="1">
        <v>46027.802499999998</v>
      </c>
      <c r="E308" t="s">
        <v>826</v>
      </c>
      <c r="F308" t="s">
        <v>23</v>
      </c>
      <c r="G308" t="e">
        <f>+_xlfn.XLOOKUP(tbl_encuesta[[#This Row],[Me siento a gusto con el ambiente de trabajo que se genera en mi equipo.]],#REF!,#REF!)</f>
        <v>#REF!</v>
      </c>
      <c r="H308" t="s">
        <v>23</v>
      </c>
      <c r="I308" t="e">
        <f>+_xlfn.XLOOKUP(tbl_encuesta[[#This Row],[Me siento motivado a dar lo mejor de mí y hacer un buen trabajo]],#REF!,#REF!)</f>
        <v>#REF!</v>
      </c>
      <c r="J308" t="s">
        <v>22</v>
      </c>
      <c r="K308" t="e">
        <f>+_xlfn.XLOOKUP(tbl_encuesta[[#This Row],[Mi supervisor o jefe directo me otorga el soporte que necesito para afrontar cualquier problema que afecte mi trabajo]],#REF!,#REF!)</f>
        <v>#REF!</v>
      </c>
      <c r="L308" t="s">
        <v>23</v>
      </c>
      <c r="M308" t="e">
        <f>+_xlfn.XLOOKUP(tbl_encuesta[[#This Row],[Mi supervisor o jefe directo fomenta que nos apoyemos entre todos en el equipo]],#REF!,#REF!)</f>
        <v>#REF!</v>
      </c>
      <c r="N308" t="s">
        <v>23</v>
      </c>
      <c r="O308" t="e">
        <f>+_xlfn.XLOOKUP(tbl_encuesta[[#This Row],[Siento que mi trabajo es reconocido por mi supervisor o jefe directo.]],#REF!,#REF!)</f>
        <v>#REF!</v>
      </c>
      <c r="P308" t="s">
        <v>31</v>
      </c>
      <c r="Q308" t="e">
        <f xml:space="preserve">
_xlfn.XLOOKUP(
tbl_encuesta[[#This Row],[Mi supervisor o jefe directo nos brinda charlas de 5 minutos y comunica las novedades relevantes a mi puesto de trabajo]],#REF!,#REF!
)</f>
        <v>#REF!</v>
      </c>
      <c r="R308" t="s">
        <v>17</v>
      </c>
      <c r="T308" t="s">
        <v>19</v>
      </c>
      <c r="W308" t="s">
        <v>25</v>
      </c>
      <c r="X308" t="s">
        <v>23</v>
      </c>
      <c r="Y308" t="e">
        <f>+_xlfn.XLOOKUP(tbl_encuesta[[#This Row],[Considero a Limtek como un buen lugar para trabajar]],#REF!,#REF!)</f>
        <v>#REF!</v>
      </c>
      <c r="Z308" t="s">
        <v>835</v>
      </c>
      <c r="AA308" t="s">
        <v>836</v>
      </c>
      <c r="AB308" t="s">
        <v>553</v>
      </c>
      <c r="AC308" t="s">
        <v>3744</v>
      </c>
      <c r="AD308" t="s">
        <v>3744</v>
      </c>
      <c r="AE308" t="s">
        <v>55</v>
      </c>
    </row>
    <row r="309" spans="1:31" x14ac:dyDescent="0.25">
      <c r="A309">
        <v>119031363407</v>
      </c>
      <c r="B309">
        <v>462598545</v>
      </c>
      <c r="C309" s="1">
        <v>46027.790312500001</v>
      </c>
      <c r="D309" s="1">
        <v>46027.799953703703</v>
      </c>
      <c r="E309" t="s">
        <v>837</v>
      </c>
      <c r="F309" t="s">
        <v>22</v>
      </c>
      <c r="G309" t="e">
        <f>+_xlfn.XLOOKUP(tbl_encuesta[[#This Row],[Me siento a gusto con el ambiente de trabajo que se genera en mi equipo.]],#REF!,#REF!)</f>
        <v>#REF!</v>
      </c>
      <c r="H309" t="s">
        <v>23</v>
      </c>
      <c r="I309" t="e">
        <f>+_xlfn.XLOOKUP(tbl_encuesta[[#This Row],[Me siento motivado a dar lo mejor de mí y hacer un buen trabajo]],#REF!,#REF!)</f>
        <v>#REF!</v>
      </c>
      <c r="J309" t="s">
        <v>22</v>
      </c>
      <c r="K309" t="e">
        <f>+_xlfn.XLOOKUP(tbl_encuesta[[#This Row],[Mi supervisor o jefe directo me otorga el soporte que necesito para afrontar cualquier problema que afecte mi trabajo]],#REF!,#REF!)</f>
        <v>#REF!</v>
      </c>
      <c r="L309" t="s">
        <v>22</v>
      </c>
      <c r="M309" t="e">
        <f>+_xlfn.XLOOKUP(tbl_encuesta[[#This Row],[Mi supervisor o jefe directo fomenta que nos apoyemos entre todos en el equipo]],#REF!,#REF!)</f>
        <v>#REF!</v>
      </c>
      <c r="N309" t="s">
        <v>23</v>
      </c>
      <c r="O309" t="e">
        <f>+_xlfn.XLOOKUP(tbl_encuesta[[#This Row],[Siento que mi trabajo es reconocido por mi supervisor o jefe directo.]],#REF!,#REF!)</f>
        <v>#REF!</v>
      </c>
      <c r="P309" t="s">
        <v>31</v>
      </c>
      <c r="Q309" t="e">
        <f xml:space="preserve">
_xlfn.XLOOKUP(
tbl_encuesta[[#This Row],[Mi supervisor o jefe directo nos brinda charlas de 5 minutos y comunica las novedades relevantes a mi puesto de trabajo]],#REF!,#REF!
)</f>
        <v>#REF!</v>
      </c>
      <c r="S309" t="s">
        <v>18</v>
      </c>
      <c r="W309" t="s">
        <v>25</v>
      </c>
      <c r="X309" t="s">
        <v>23</v>
      </c>
      <c r="Y309" t="e">
        <f>+_xlfn.XLOOKUP(tbl_encuesta[[#This Row],[Considero a Limtek como un buen lugar para trabajar]],#REF!,#REF!)</f>
        <v>#REF!</v>
      </c>
      <c r="Z309" t="s">
        <v>838</v>
      </c>
      <c r="AA309" t="s">
        <v>37</v>
      </c>
      <c r="AB309" t="s">
        <v>563</v>
      </c>
      <c r="AC309" s="3" t="s">
        <v>3716</v>
      </c>
      <c r="AD309" s="3" t="s">
        <v>1595</v>
      </c>
      <c r="AE309" t="s">
        <v>69</v>
      </c>
    </row>
    <row r="310" spans="1:31" x14ac:dyDescent="0.25">
      <c r="A310">
        <v>119031359102</v>
      </c>
      <c r="B310">
        <v>462598545</v>
      </c>
      <c r="C310" s="1">
        <v>46027.79047453704</v>
      </c>
      <c r="D310" s="1">
        <v>46027.793483796297</v>
      </c>
      <c r="E310" t="s">
        <v>839</v>
      </c>
      <c r="F310" t="s">
        <v>23</v>
      </c>
      <c r="G310" t="e">
        <f>+_xlfn.XLOOKUP(tbl_encuesta[[#This Row],[Me siento a gusto con el ambiente de trabajo que se genera en mi equipo.]],#REF!,#REF!)</f>
        <v>#REF!</v>
      </c>
      <c r="H310" t="s">
        <v>23</v>
      </c>
      <c r="I310" t="e">
        <f>+_xlfn.XLOOKUP(tbl_encuesta[[#This Row],[Me siento motivado a dar lo mejor de mí y hacer un buen trabajo]],#REF!,#REF!)</f>
        <v>#REF!</v>
      </c>
      <c r="J310" t="s">
        <v>23</v>
      </c>
      <c r="K310" t="e">
        <f>+_xlfn.XLOOKUP(tbl_encuesta[[#This Row],[Mi supervisor o jefe directo me otorga el soporte que necesito para afrontar cualquier problema que afecte mi trabajo]],#REF!,#REF!)</f>
        <v>#REF!</v>
      </c>
      <c r="L310" t="s">
        <v>23</v>
      </c>
      <c r="M310" t="e">
        <f>+_xlfn.XLOOKUP(tbl_encuesta[[#This Row],[Mi supervisor o jefe directo fomenta que nos apoyemos entre todos en el equipo]],#REF!,#REF!)</f>
        <v>#REF!</v>
      </c>
      <c r="N310" t="s">
        <v>23</v>
      </c>
      <c r="O310" t="e">
        <f>+_xlfn.XLOOKUP(tbl_encuesta[[#This Row],[Siento que mi trabajo es reconocido por mi supervisor o jefe directo.]],#REF!,#REF!)</f>
        <v>#REF!</v>
      </c>
      <c r="P310" t="s">
        <v>67</v>
      </c>
      <c r="Q310" t="e">
        <f xml:space="preserve">
_xlfn.XLOOKUP(
tbl_encuesta[[#This Row],[Mi supervisor o jefe directo nos brinda charlas de 5 minutos y comunica las novedades relevantes a mi puesto de trabajo]],#REF!,#REF!
)</f>
        <v>#REF!</v>
      </c>
      <c r="R310" t="s">
        <v>17</v>
      </c>
      <c r="W310" t="s">
        <v>25</v>
      </c>
      <c r="X310" t="s">
        <v>23</v>
      </c>
      <c r="Y310" t="e">
        <f>+_xlfn.XLOOKUP(tbl_encuesta[[#This Row],[Considero a Limtek como un buen lugar para trabajar]],#REF!,#REF!)</f>
        <v>#REF!</v>
      </c>
      <c r="Z310" t="s">
        <v>840</v>
      </c>
      <c r="AA310" t="s">
        <v>841</v>
      </c>
      <c r="AB310" t="s">
        <v>553</v>
      </c>
      <c r="AC310" t="s">
        <v>3744</v>
      </c>
      <c r="AD310" t="s">
        <v>3744</v>
      </c>
      <c r="AE310" t="s">
        <v>61</v>
      </c>
    </row>
    <row r="311" spans="1:31" x14ac:dyDescent="0.25">
      <c r="A311">
        <v>119031357567</v>
      </c>
      <c r="B311">
        <v>462598545</v>
      </c>
      <c r="C311" s="1">
        <v>46027.772002314814</v>
      </c>
      <c r="D311" s="1">
        <v>46027.791064814817</v>
      </c>
      <c r="E311" t="s">
        <v>842</v>
      </c>
      <c r="F311" t="s">
        <v>23</v>
      </c>
      <c r="G311" t="e">
        <f>+_xlfn.XLOOKUP(tbl_encuesta[[#This Row],[Me siento a gusto con el ambiente de trabajo que se genera en mi equipo.]],#REF!,#REF!)</f>
        <v>#REF!</v>
      </c>
      <c r="H311" t="s">
        <v>23</v>
      </c>
      <c r="I311" t="e">
        <f>+_xlfn.XLOOKUP(tbl_encuesta[[#This Row],[Me siento motivado a dar lo mejor de mí y hacer un buen trabajo]],#REF!,#REF!)</f>
        <v>#REF!</v>
      </c>
      <c r="J311" t="s">
        <v>23</v>
      </c>
      <c r="K311" t="e">
        <f>+_xlfn.XLOOKUP(tbl_encuesta[[#This Row],[Mi supervisor o jefe directo me otorga el soporte que necesito para afrontar cualquier problema que afecte mi trabajo]],#REF!,#REF!)</f>
        <v>#REF!</v>
      </c>
      <c r="L311" t="s">
        <v>23</v>
      </c>
      <c r="M311" t="e">
        <f>+_xlfn.XLOOKUP(tbl_encuesta[[#This Row],[Mi supervisor o jefe directo fomenta que nos apoyemos entre todos en el equipo]],#REF!,#REF!)</f>
        <v>#REF!</v>
      </c>
      <c r="N311" t="s">
        <v>23</v>
      </c>
      <c r="O311" t="e">
        <f>+_xlfn.XLOOKUP(tbl_encuesta[[#This Row],[Siento que mi trabajo es reconocido por mi supervisor o jefe directo.]],#REF!,#REF!)</f>
        <v>#REF!</v>
      </c>
      <c r="P311" t="s">
        <v>67</v>
      </c>
      <c r="Q311" t="e">
        <f xml:space="preserve">
_xlfn.XLOOKUP(
tbl_encuesta[[#This Row],[Mi supervisor o jefe directo nos brinda charlas de 5 minutos y comunica las novedades relevantes a mi puesto de trabajo]],#REF!,#REF!
)</f>
        <v>#REF!</v>
      </c>
      <c r="R311" t="s">
        <v>17</v>
      </c>
      <c r="W311" t="s">
        <v>25</v>
      </c>
      <c r="X311" t="s">
        <v>23</v>
      </c>
      <c r="Y311" t="e">
        <f>+_xlfn.XLOOKUP(tbl_encuesta[[#This Row],[Considero a Limtek como un buen lugar para trabajar]],#REF!,#REF!)</f>
        <v>#REF!</v>
      </c>
      <c r="Z311" t="s">
        <v>740</v>
      </c>
      <c r="AA311" t="s">
        <v>741</v>
      </c>
      <c r="AB311" t="s">
        <v>28</v>
      </c>
      <c r="AC311" s="3" t="s">
        <v>3845</v>
      </c>
      <c r="AD311" s="3" t="s">
        <v>3846</v>
      </c>
      <c r="AE311" t="s">
        <v>29</v>
      </c>
    </row>
    <row r="312" spans="1:31" x14ac:dyDescent="0.25">
      <c r="A312">
        <v>119031355800</v>
      </c>
      <c r="B312">
        <v>462598545</v>
      </c>
      <c r="C312" s="1">
        <v>46027.778715277775</v>
      </c>
      <c r="D312" s="1">
        <v>46027.787662037037</v>
      </c>
      <c r="E312" t="s">
        <v>843</v>
      </c>
      <c r="F312" t="s">
        <v>22</v>
      </c>
      <c r="G312" t="e">
        <f>+_xlfn.XLOOKUP(tbl_encuesta[[#This Row],[Me siento a gusto con el ambiente de trabajo que se genera en mi equipo.]],#REF!,#REF!)</f>
        <v>#REF!</v>
      </c>
      <c r="H312" t="s">
        <v>23</v>
      </c>
      <c r="I312" t="e">
        <f>+_xlfn.XLOOKUP(tbl_encuesta[[#This Row],[Me siento motivado a dar lo mejor de mí y hacer un buen trabajo]],#REF!,#REF!)</f>
        <v>#REF!</v>
      </c>
      <c r="J312" t="s">
        <v>23</v>
      </c>
      <c r="K312" t="e">
        <f>+_xlfn.XLOOKUP(tbl_encuesta[[#This Row],[Mi supervisor o jefe directo me otorga el soporte que necesito para afrontar cualquier problema que afecte mi trabajo]],#REF!,#REF!)</f>
        <v>#REF!</v>
      </c>
      <c r="L312" t="s">
        <v>23</v>
      </c>
      <c r="M312" t="e">
        <f>+_xlfn.XLOOKUP(tbl_encuesta[[#This Row],[Mi supervisor o jefe directo fomenta que nos apoyemos entre todos en el equipo]],#REF!,#REF!)</f>
        <v>#REF!</v>
      </c>
      <c r="N312" t="s">
        <v>22</v>
      </c>
      <c r="O312" t="e">
        <f>+_xlfn.XLOOKUP(tbl_encuesta[[#This Row],[Siento que mi trabajo es reconocido por mi supervisor o jefe directo.]],#REF!,#REF!)</f>
        <v>#REF!</v>
      </c>
      <c r="P312" t="s">
        <v>67</v>
      </c>
      <c r="Q312" t="e">
        <f xml:space="preserve">
_xlfn.XLOOKUP(
tbl_encuesta[[#This Row],[Mi supervisor o jefe directo nos brinda charlas de 5 minutos y comunica las novedades relevantes a mi puesto de trabajo]],#REF!,#REF!
)</f>
        <v>#REF!</v>
      </c>
      <c r="R312" t="s">
        <v>17</v>
      </c>
      <c r="S312" t="s">
        <v>18</v>
      </c>
      <c r="W312" t="s">
        <v>25</v>
      </c>
      <c r="X312" t="s">
        <v>22</v>
      </c>
      <c r="Y312" t="e">
        <f>+_xlfn.XLOOKUP(tbl_encuesta[[#This Row],[Considero a Limtek como un buen lugar para trabajar]],#REF!,#REF!)</f>
        <v>#REF!</v>
      </c>
      <c r="Z312" t="s">
        <v>844</v>
      </c>
      <c r="AA312" t="s">
        <v>845</v>
      </c>
      <c r="AB312" t="s">
        <v>28</v>
      </c>
      <c r="AC312" s="3" t="s">
        <v>3845</v>
      </c>
      <c r="AD312" s="3" t="s">
        <v>3846</v>
      </c>
      <c r="AE312" t="s">
        <v>69</v>
      </c>
    </row>
    <row r="313" spans="1:31" x14ac:dyDescent="0.25">
      <c r="A313">
        <v>119031352905</v>
      </c>
      <c r="B313">
        <v>462598545</v>
      </c>
      <c r="C313" s="1">
        <v>46027.779027777775</v>
      </c>
      <c r="D313" s="1">
        <v>46027.782592592594</v>
      </c>
      <c r="E313" t="s">
        <v>846</v>
      </c>
      <c r="F313" t="s">
        <v>23</v>
      </c>
      <c r="G313" t="e">
        <f>+_xlfn.XLOOKUP(tbl_encuesta[[#This Row],[Me siento a gusto con el ambiente de trabajo que se genera en mi equipo.]],#REF!,#REF!)</f>
        <v>#REF!</v>
      </c>
      <c r="H313" t="s">
        <v>23</v>
      </c>
      <c r="I313" t="e">
        <f>+_xlfn.XLOOKUP(tbl_encuesta[[#This Row],[Me siento motivado a dar lo mejor de mí y hacer un buen trabajo]],#REF!,#REF!)</f>
        <v>#REF!</v>
      </c>
      <c r="J313" t="s">
        <v>23</v>
      </c>
      <c r="K313" t="e">
        <f>+_xlfn.XLOOKUP(tbl_encuesta[[#This Row],[Mi supervisor o jefe directo me otorga el soporte que necesito para afrontar cualquier problema que afecte mi trabajo]],#REF!,#REF!)</f>
        <v>#REF!</v>
      </c>
      <c r="L313" t="s">
        <v>23</v>
      </c>
      <c r="M313" t="e">
        <f>+_xlfn.XLOOKUP(tbl_encuesta[[#This Row],[Mi supervisor o jefe directo fomenta que nos apoyemos entre todos en el equipo]],#REF!,#REF!)</f>
        <v>#REF!</v>
      </c>
      <c r="N313" t="s">
        <v>23</v>
      </c>
      <c r="O313" t="e">
        <f>+_xlfn.XLOOKUP(tbl_encuesta[[#This Row],[Siento que mi trabajo es reconocido por mi supervisor o jefe directo.]],#REF!,#REF!)</f>
        <v>#REF!</v>
      </c>
      <c r="P313" t="s">
        <v>31</v>
      </c>
      <c r="Q313" t="e">
        <f xml:space="preserve">
_xlfn.XLOOKUP(
tbl_encuesta[[#This Row],[Mi supervisor o jefe directo nos brinda charlas de 5 minutos y comunica las novedades relevantes a mi puesto de trabajo]],#REF!,#REF!
)</f>
        <v>#REF!</v>
      </c>
      <c r="R313" t="s">
        <v>17</v>
      </c>
      <c r="T313" t="s">
        <v>19</v>
      </c>
      <c r="W313" t="s">
        <v>25</v>
      </c>
      <c r="X313" t="s">
        <v>23</v>
      </c>
      <c r="Y313" t="e">
        <f>+_xlfn.XLOOKUP(tbl_encuesta[[#This Row],[Considero a Limtek como un buen lugar para trabajar]],#REF!,#REF!)</f>
        <v>#REF!</v>
      </c>
      <c r="Z313" t="s">
        <v>847</v>
      </c>
      <c r="AA313" t="s">
        <v>848</v>
      </c>
      <c r="AB313" t="s">
        <v>567</v>
      </c>
      <c r="AC313" s="3" t="s">
        <v>3610</v>
      </c>
      <c r="AD313" s="3" t="s">
        <v>3636</v>
      </c>
      <c r="AE313" t="s">
        <v>61</v>
      </c>
    </row>
    <row r="314" spans="1:31" x14ac:dyDescent="0.25">
      <c r="A314">
        <v>119031352385</v>
      </c>
      <c r="B314">
        <v>462598545</v>
      </c>
      <c r="C314" s="1">
        <v>46027.779097222221</v>
      </c>
      <c r="D314" s="1">
        <v>46027.781666666669</v>
      </c>
      <c r="E314" t="s">
        <v>849</v>
      </c>
      <c r="F314" t="s">
        <v>23</v>
      </c>
      <c r="G314" t="e">
        <f>+_xlfn.XLOOKUP(tbl_encuesta[[#This Row],[Me siento a gusto con el ambiente de trabajo que se genera en mi equipo.]],#REF!,#REF!)</f>
        <v>#REF!</v>
      </c>
      <c r="H314" t="s">
        <v>23</v>
      </c>
      <c r="I314" t="e">
        <f>+_xlfn.XLOOKUP(tbl_encuesta[[#This Row],[Me siento motivado a dar lo mejor de mí y hacer un buen trabajo]],#REF!,#REF!)</f>
        <v>#REF!</v>
      </c>
      <c r="J314" t="s">
        <v>23</v>
      </c>
      <c r="K314" t="e">
        <f>+_xlfn.XLOOKUP(tbl_encuesta[[#This Row],[Mi supervisor o jefe directo me otorga el soporte que necesito para afrontar cualquier problema que afecte mi trabajo]],#REF!,#REF!)</f>
        <v>#REF!</v>
      </c>
      <c r="L314" t="s">
        <v>23</v>
      </c>
      <c r="M314" t="e">
        <f>+_xlfn.XLOOKUP(tbl_encuesta[[#This Row],[Mi supervisor o jefe directo fomenta que nos apoyemos entre todos en el equipo]],#REF!,#REF!)</f>
        <v>#REF!</v>
      </c>
      <c r="N314" t="s">
        <v>23</v>
      </c>
      <c r="O314" t="e">
        <f>+_xlfn.XLOOKUP(tbl_encuesta[[#This Row],[Siento que mi trabajo es reconocido por mi supervisor o jefe directo.]],#REF!,#REF!)</f>
        <v>#REF!</v>
      </c>
      <c r="P314" t="s">
        <v>31</v>
      </c>
      <c r="Q314" t="e">
        <f xml:space="preserve">
_xlfn.XLOOKUP(
tbl_encuesta[[#This Row],[Mi supervisor o jefe directo nos brinda charlas de 5 minutos y comunica las novedades relevantes a mi puesto de trabajo]],#REF!,#REF!
)</f>
        <v>#REF!</v>
      </c>
      <c r="U314" t="s">
        <v>20</v>
      </c>
      <c r="W314" t="s">
        <v>25</v>
      </c>
      <c r="X314" t="s">
        <v>23</v>
      </c>
      <c r="Y314" t="e">
        <f>+_xlfn.XLOOKUP(tbl_encuesta[[#This Row],[Considero a Limtek como un buen lugar para trabajar]],#REF!,#REF!)</f>
        <v>#REF!</v>
      </c>
      <c r="Z314" t="s">
        <v>850</v>
      </c>
      <c r="AA314" t="s">
        <v>851</v>
      </c>
      <c r="AB314" t="s">
        <v>59</v>
      </c>
      <c r="AC314" s="3" t="s">
        <v>3610</v>
      </c>
      <c r="AD314" s="3" t="s">
        <v>3637</v>
      </c>
      <c r="AE314" t="s">
        <v>55</v>
      </c>
    </row>
    <row r="315" spans="1:31" x14ac:dyDescent="0.25">
      <c r="A315">
        <v>119031349346</v>
      </c>
      <c r="B315">
        <v>462598545</v>
      </c>
      <c r="C315" s="1">
        <v>46027.7734837963</v>
      </c>
      <c r="D315" s="1">
        <v>46027.776087962964</v>
      </c>
      <c r="E315" t="s">
        <v>852</v>
      </c>
      <c r="F315" t="s">
        <v>23</v>
      </c>
      <c r="G315" t="e">
        <f>+_xlfn.XLOOKUP(tbl_encuesta[[#This Row],[Me siento a gusto con el ambiente de trabajo que se genera en mi equipo.]],#REF!,#REF!)</f>
        <v>#REF!</v>
      </c>
      <c r="H315" t="s">
        <v>23</v>
      </c>
      <c r="I315" t="e">
        <f>+_xlfn.XLOOKUP(tbl_encuesta[[#This Row],[Me siento motivado a dar lo mejor de mí y hacer un buen trabajo]],#REF!,#REF!)</f>
        <v>#REF!</v>
      </c>
      <c r="J315" t="s">
        <v>23</v>
      </c>
      <c r="K315" t="e">
        <f>+_xlfn.XLOOKUP(tbl_encuesta[[#This Row],[Mi supervisor o jefe directo me otorga el soporte que necesito para afrontar cualquier problema que afecte mi trabajo]],#REF!,#REF!)</f>
        <v>#REF!</v>
      </c>
      <c r="L315" t="s">
        <v>23</v>
      </c>
      <c r="M315" t="e">
        <f>+_xlfn.XLOOKUP(tbl_encuesta[[#This Row],[Mi supervisor o jefe directo fomenta que nos apoyemos entre todos en el equipo]],#REF!,#REF!)</f>
        <v>#REF!</v>
      </c>
      <c r="N315" t="s">
        <v>23</v>
      </c>
      <c r="O315" t="e">
        <f>+_xlfn.XLOOKUP(tbl_encuesta[[#This Row],[Siento que mi trabajo es reconocido por mi supervisor o jefe directo.]],#REF!,#REF!)</f>
        <v>#REF!</v>
      </c>
      <c r="P315" t="s">
        <v>31</v>
      </c>
      <c r="Q315" t="e">
        <f xml:space="preserve">
_xlfn.XLOOKUP(
tbl_encuesta[[#This Row],[Mi supervisor o jefe directo nos brinda charlas de 5 minutos y comunica las novedades relevantes a mi puesto de trabajo]],#REF!,#REF!
)</f>
        <v>#REF!</v>
      </c>
      <c r="R315" t="s">
        <v>17</v>
      </c>
      <c r="T315" t="s">
        <v>19</v>
      </c>
      <c r="W315" t="s">
        <v>25</v>
      </c>
      <c r="X315" t="s">
        <v>23</v>
      </c>
      <c r="Y315" t="e">
        <f>+_xlfn.XLOOKUP(tbl_encuesta[[#This Row],[Considero a Limtek como un buen lugar para trabajar]],#REF!,#REF!)</f>
        <v>#REF!</v>
      </c>
      <c r="Z315" t="s">
        <v>193</v>
      </c>
      <c r="AA315" t="s">
        <v>630</v>
      </c>
      <c r="AB315" t="s">
        <v>28</v>
      </c>
      <c r="AC315" s="3" t="s">
        <v>3845</v>
      </c>
      <c r="AD315" s="3" t="s">
        <v>3846</v>
      </c>
      <c r="AE315" t="s">
        <v>29</v>
      </c>
    </row>
    <row r="316" spans="1:31" x14ac:dyDescent="0.25">
      <c r="A316">
        <v>119031348142</v>
      </c>
      <c r="B316">
        <v>462598545</v>
      </c>
      <c r="C316" s="1">
        <v>46027.766099537039</v>
      </c>
      <c r="D316" s="1">
        <v>46027.774004629631</v>
      </c>
      <c r="E316" t="s">
        <v>853</v>
      </c>
      <c r="F316" t="s">
        <v>23</v>
      </c>
      <c r="G316" t="e">
        <f>+_xlfn.XLOOKUP(tbl_encuesta[[#This Row],[Me siento a gusto con el ambiente de trabajo que se genera en mi equipo.]],#REF!,#REF!)</f>
        <v>#REF!</v>
      </c>
      <c r="H316" t="s">
        <v>23</v>
      </c>
      <c r="I316" t="e">
        <f>+_xlfn.XLOOKUP(tbl_encuesta[[#This Row],[Me siento motivado a dar lo mejor de mí y hacer un buen trabajo]],#REF!,#REF!)</f>
        <v>#REF!</v>
      </c>
      <c r="J316" t="s">
        <v>23</v>
      </c>
      <c r="K316" t="e">
        <f>+_xlfn.XLOOKUP(tbl_encuesta[[#This Row],[Mi supervisor o jefe directo me otorga el soporte que necesito para afrontar cualquier problema que afecte mi trabajo]],#REF!,#REF!)</f>
        <v>#REF!</v>
      </c>
      <c r="L316" t="s">
        <v>23</v>
      </c>
      <c r="M316" t="e">
        <f>+_xlfn.XLOOKUP(tbl_encuesta[[#This Row],[Mi supervisor o jefe directo fomenta que nos apoyemos entre todos en el equipo]],#REF!,#REF!)</f>
        <v>#REF!</v>
      </c>
      <c r="N316" t="s">
        <v>23</v>
      </c>
      <c r="O316" t="e">
        <f>+_xlfn.XLOOKUP(tbl_encuesta[[#This Row],[Siento que mi trabajo es reconocido por mi supervisor o jefe directo.]],#REF!,#REF!)</f>
        <v>#REF!</v>
      </c>
      <c r="P316" t="s">
        <v>67</v>
      </c>
      <c r="Q316" t="e">
        <f xml:space="preserve">
_xlfn.XLOOKUP(
tbl_encuesta[[#This Row],[Mi supervisor o jefe directo nos brinda charlas de 5 minutos y comunica las novedades relevantes a mi puesto de trabajo]],#REF!,#REF!
)</f>
        <v>#REF!</v>
      </c>
      <c r="R316" t="s">
        <v>17</v>
      </c>
      <c r="U316" t="s">
        <v>20</v>
      </c>
      <c r="W316" t="s">
        <v>25</v>
      </c>
      <c r="X316" t="s">
        <v>23</v>
      </c>
      <c r="Y316" t="e">
        <f>+_xlfn.XLOOKUP(tbl_encuesta[[#This Row],[Considero a Limtek como un buen lugar para trabajar]],#REF!,#REF!)</f>
        <v>#REF!</v>
      </c>
      <c r="Z316" t="s">
        <v>854</v>
      </c>
      <c r="AA316" t="s">
        <v>855</v>
      </c>
      <c r="AB316" t="s">
        <v>28</v>
      </c>
      <c r="AC316" s="3" t="s">
        <v>3845</v>
      </c>
      <c r="AD316" s="3" t="s">
        <v>3846</v>
      </c>
      <c r="AE316" t="s">
        <v>69</v>
      </c>
    </row>
    <row r="317" spans="1:31" x14ac:dyDescent="0.25">
      <c r="A317">
        <v>119031344871</v>
      </c>
      <c r="B317">
        <v>462598545</v>
      </c>
      <c r="C317" s="1">
        <v>46027.763599537036</v>
      </c>
      <c r="D317" s="1">
        <v>46027.768587962964</v>
      </c>
      <c r="E317" t="s">
        <v>728</v>
      </c>
      <c r="F317" t="s">
        <v>23</v>
      </c>
      <c r="G317" t="e">
        <f>+_xlfn.XLOOKUP(tbl_encuesta[[#This Row],[Me siento a gusto con el ambiente de trabajo que se genera en mi equipo.]],#REF!,#REF!)</f>
        <v>#REF!</v>
      </c>
      <c r="H317" t="s">
        <v>23</v>
      </c>
      <c r="I317" t="e">
        <f>+_xlfn.XLOOKUP(tbl_encuesta[[#This Row],[Me siento motivado a dar lo mejor de mí y hacer un buen trabajo]],#REF!,#REF!)</f>
        <v>#REF!</v>
      </c>
      <c r="J317" t="s">
        <v>22</v>
      </c>
      <c r="K317" t="e">
        <f>+_xlfn.XLOOKUP(tbl_encuesta[[#This Row],[Mi supervisor o jefe directo me otorga el soporte que necesito para afrontar cualquier problema que afecte mi trabajo]],#REF!,#REF!)</f>
        <v>#REF!</v>
      </c>
      <c r="L317" t="s">
        <v>22</v>
      </c>
      <c r="M317" t="e">
        <f>+_xlfn.XLOOKUP(tbl_encuesta[[#This Row],[Mi supervisor o jefe directo fomenta que nos apoyemos entre todos en el equipo]],#REF!,#REF!)</f>
        <v>#REF!</v>
      </c>
      <c r="N317" t="s">
        <v>23</v>
      </c>
      <c r="O317" t="e">
        <f>+_xlfn.XLOOKUP(tbl_encuesta[[#This Row],[Siento que mi trabajo es reconocido por mi supervisor o jefe directo.]],#REF!,#REF!)</f>
        <v>#REF!</v>
      </c>
      <c r="P317" t="s">
        <v>24</v>
      </c>
      <c r="Q317" t="e">
        <f xml:space="preserve">
_xlfn.XLOOKUP(
tbl_encuesta[[#This Row],[Mi supervisor o jefe directo nos brinda charlas de 5 minutos y comunica las novedades relevantes a mi puesto de trabajo]],#REF!,#REF!
)</f>
        <v>#REF!</v>
      </c>
      <c r="S317" t="s">
        <v>18</v>
      </c>
      <c r="W317" t="s">
        <v>25</v>
      </c>
      <c r="X317" t="s">
        <v>23</v>
      </c>
      <c r="Y317" t="e">
        <f>+_xlfn.XLOOKUP(tbl_encuesta[[#This Row],[Considero a Limtek como un buen lugar para trabajar]],#REF!,#REF!)</f>
        <v>#REF!</v>
      </c>
      <c r="Z317" t="s">
        <v>856</v>
      </c>
      <c r="AA317" t="s">
        <v>857</v>
      </c>
      <c r="AB317" t="s">
        <v>567</v>
      </c>
      <c r="AC317" s="3" t="s">
        <v>3716</v>
      </c>
      <c r="AD317" s="3" t="s">
        <v>814</v>
      </c>
      <c r="AE317" t="s">
        <v>29</v>
      </c>
    </row>
    <row r="318" spans="1:31" x14ac:dyDescent="0.25">
      <c r="A318">
        <v>119031344682</v>
      </c>
      <c r="B318">
        <v>462598545</v>
      </c>
      <c r="C318" s="1">
        <v>46027.764189814814</v>
      </c>
      <c r="D318" s="1">
        <v>46027.768263888887</v>
      </c>
      <c r="E318" t="s">
        <v>858</v>
      </c>
      <c r="F318" t="s">
        <v>23</v>
      </c>
      <c r="G318" t="e">
        <f>+_xlfn.XLOOKUP(tbl_encuesta[[#This Row],[Me siento a gusto con el ambiente de trabajo que se genera en mi equipo.]],#REF!,#REF!)</f>
        <v>#REF!</v>
      </c>
      <c r="H318" t="s">
        <v>23</v>
      </c>
      <c r="I318" t="e">
        <f>+_xlfn.XLOOKUP(tbl_encuesta[[#This Row],[Me siento motivado a dar lo mejor de mí y hacer un buen trabajo]],#REF!,#REF!)</f>
        <v>#REF!</v>
      </c>
      <c r="J318" t="s">
        <v>23</v>
      </c>
      <c r="K318" t="e">
        <f>+_xlfn.XLOOKUP(tbl_encuesta[[#This Row],[Mi supervisor o jefe directo me otorga el soporte que necesito para afrontar cualquier problema que afecte mi trabajo]],#REF!,#REF!)</f>
        <v>#REF!</v>
      </c>
      <c r="L318" t="s">
        <v>23</v>
      </c>
      <c r="M318" t="e">
        <f>+_xlfn.XLOOKUP(tbl_encuesta[[#This Row],[Mi supervisor o jefe directo fomenta que nos apoyemos entre todos en el equipo]],#REF!,#REF!)</f>
        <v>#REF!</v>
      </c>
      <c r="N318" t="s">
        <v>23</v>
      </c>
      <c r="O318" t="e">
        <f>+_xlfn.XLOOKUP(tbl_encuesta[[#This Row],[Siento que mi trabajo es reconocido por mi supervisor o jefe directo.]],#REF!,#REF!)</f>
        <v>#REF!</v>
      </c>
      <c r="P318" t="s">
        <v>31</v>
      </c>
      <c r="Q318" t="e">
        <f xml:space="preserve">
_xlfn.XLOOKUP(
tbl_encuesta[[#This Row],[Mi supervisor o jefe directo nos brinda charlas de 5 minutos y comunica las novedades relevantes a mi puesto de trabajo]],#REF!,#REF!
)</f>
        <v>#REF!</v>
      </c>
      <c r="S318" t="s">
        <v>18</v>
      </c>
      <c r="W318" t="s">
        <v>25</v>
      </c>
      <c r="X318" t="s">
        <v>23</v>
      </c>
      <c r="Y318" t="e">
        <f>+_xlfn.XLOOKUP(tbl_encuesta[[#This Row],[Considero a Limtek como un buen lugar para trabajar]],#REF!,#REF!)</f>
        <v>#REF!</v>
      </c>
      <c r="Z318" t="s">
        <v>859</v>
      </c>
      <c r="AA318" t="s">
        <v>860</v>
      </c>
      <c r="AB318" t="s">
        <v>726</v>
      </c>
      <c r="AC318" s="3" t="s">
        <v>3705</v>
      </c>
      <c r="AD318" s="3" t="s">
        <v>3708</v>
      </c>
      <c r="AE318" t="s">
        <v>69</v>
      </c>
    </row>
    <row r="319" spans="1:31" x14ac:dyDescent="0.25">
      <c r="A319">
        <v>119031343652</v>
      </c>
      <c r="B319">
        <v>462598545</v>
      </c>
      <c r="C319" s="1">
        <v>46027.763761574075</v>
      </c>
      <c r="D319" s="1">
        <v>46027.766585648147</v>
      </c>
      <c r="E319" t="s">
        <v>861</v>
      </c>
      <c r="F319" t="s">
        <v>43</v>
      </c>
      <c r="G319" t="e">
        <f>+_xlfn.XLOOKUP(tbl_encuesta[[#This Row],[Me siento a gusto con el ambiente de trabajo que se genera en mi equipo.]],#REF!,#REF!)</f>
        <v>#REF!</v>
      </c>
      <c r="H319" t="s">
        <v>43</v>
      </c>
      <c r="I319" t="e">
        <f>+_xlfn.XLOOKUP(tbl_encuesta[[#This Row],[Me siento motivado a dar lo mejor de mí y hacer un buen trabajo]],#REF!,#REF!)</f>
        <v>#REF!</v>
      </c>
      <c r="J319" t="s">
        <v>97</v>
      </c>
      <c r="K319" t="e">
        <f>+_xlfn.XLOOKUP(tbl_encuesta[[#This Row],[Mi supervisor o jefe directo me otorga el soporte que necesito para afrontar cualquier problema que afecte mi trabajo]],#REF!,#REF!)</f>
        <v>#REF!</v>
      </c>
      <c r="L319" t="s">
        <v>97</v>
      </c>
      <c r="M319" t="e">
        <f>+_xlfn.XLOOKUP(tbl_encuesta[[#This Row],[Mi supervisor o jefe directo fomenta que nos apoyemos entre todos en el equipo]],#REF!,#REF!)</f>
        <v>#REF!</v>
      </c>
      <c r="N319" t="s">
        <v>97</v>
      </c>
      <c r="O319" t="e">
        <f>+_xlfn.XLOOKUP(tbl_encuesta[[#This Row],[Siento que mi trabajo es reconocido por mi supervisor o jefe directo.]],#REF!,#REF!)</f>
        <v>#REF!</v>
      </c>
      <c r="P319" t="s">
        <v>175</v>
      </c>
      <c r="Q319" t="e">
        <f xml:space="preserve">
_xlfn.XLOOKUP(
tbl_encuesta[[#This Row],[Mi supervisor o jefe directo nos brinda charlas de 5 minutos y comunica las novedades relevantes a mi puesto de trabajo]],#REF!,#REF!
)</f>
        <v>#REF!</v>
      </c>
      <c r="S319" t="s">
        <v>18</v>
      </c>
      <c r="W319" t="s">
        <v>25</v>
      </c>
      <c r="X319" t="s">
        <v>22</v>
      </c>
      <c r="Y319" t="e">
        <f>+_xlfn.XLOOKUP(tbl_encuesta[[#This Row],[Considero a Limtek como un buen lugar para trabajar]],#REF!,#REF!)</f>
        <v>#REF!</v>
      </c>
      <c r="Z319" t="s">
        <v>862</v>
      </c>
      <c r="AA319" t="s">
        <v>863</v>
      </c>
      <c r="AB319" t="s">
        <v>567</v>
      </c>
      <c r="AC319" s="3" t="s">
        <v>3716</v>
      </c>
      <c r="AD319" s="3" t="s">
        <v>3718</v>
      </c>
      <c r="AE319" t="s">
        <v>69</v>
      </c>
    </row>
    <row r="320" spans="1:31" x14ac:dyDescent="0.25">
      <c r="A320">
        <v>119031343444</v>
      </c>
      <c r="B320">
        <v>462598545</v>
      </c>
      <c r="C320" s="1">
        <v>46027.763344907406</v>
      </c>
      <c r="D320" s="1">
        <v>46027.766261574077</v>
      </c>
      <c r="E320" t="s">
        <v>864</v>
      </c>
      <c r="F320" t="s">
        <v>23</v>
      </c>
      <c r="G320" t="e">
        <f>+_xlfn.XLOOKUP(tbl_encuesta[[#This Row],[Me siento a gusto con el ambiente de trabajo que se genera en mi equipo.]],#REF!,#REF!)</f>
        <v>#REF!</v>
      </c>
      <c r="H320" t="s">
        <v>23</v>
      </c>
      <c r="I320" t="e">
        <f>+_xlfn.XLOOKUP(tbl_encuesta[[#This Row],[Me siento motivado a dar lo mejor de mí y hacer un buen trabajo]],#REF!,#REF!)</f>
        <v>#REF!</v>
      </c>
      <c r="J320" t="s">
        <v>23</v>
      </c>
      <c r="K320" t="e">
        <f>+_xlfn.XLOOKUP(tbl_encuesta[[#This Row],[Mi supervisor o jefe directo me otorga el soporte que necesito para afrontar cualquier problema que afecte mi trabajo]],#REF!,#REF!)</f>
        <v>#REF!</v>
      </c>
      <c r="L320" t="s">
        <v>23</v>
      </c>
      <c r="M320" t="e">
        <f>+_xlfn.XLOOKUP(tbl_encuesta[[#This Row],[Mi supervisor o jefe directo fomenta que nos apoyemos entre todos en el equipo]],#REF!,#REF!)</f>
        <v>#REF!</v>
      </c>
      <c r="N320" t="s">
        <v>23</v>
      </c>
      <c r="O320" t="e">
        <f>+_xlfn.XLOOKUP(tbl_encuesta[[#This Row],[Siento que mi trabajo es reconocido por mi supervisor o jefe directo.]],#REF!,#REF!)</f>
        <v>#REF!</v>
      </c>
      <c r="P320" t="s">
        <v>31</v>
      </c>
      <c r="Q320" t="e">
        <f xml:space="preserve">
_xlfn.XLOOKUP(
tbl_encuesta[[#This Row],[Mi supervisor o jefe directo nos brinda charlas de 5 minutos y comunica las novedades relevantes a mi puesto de trabajo]],#REF!,#REF!
)</f>
        <v>#REF!</v>
      </c>
      <c r="R320" t="s">
        <v>17</v>
      </c>
      <c r="T320" t="s">
        <v>19</v>
      </c>
      <c r="W320" t="s">
        <v>25</v>
      </c>
      <c r="X320" t="s">
        <v>23</v>
      </c>
      <c r="Y320" t="e">
        <f>+_xlfn.XLOOKUP(tbl_encuesta[[#This Row],[Considero a Limtek como un buen lugar para trabajar]],#REF!,#REF!)</f>
        <v>#REF!</v>
      </c>
      <c r="Z320" t="s">
        <v>865</v>
      </c>
      <c r="AA320" t="s">
        <v>866</v>
      </c>
      <c r="AB320" t="s">
        <v>867</v>
      </c>
      <c r="AC320" s="3" t="s">
        <v>3755</v>
      </c>
      <c r="AD320" s="3" t="s">
        <v>3799</v>
      </c>
      <c r="AE320" t="s">
        <v>34</v>
      </c>
    </row>
    <row r="321" spans="1:31" x14ac:dyDescent="0.25">
      <c r="A321">
        <v>119031340171</v>
      </c>
      <c r="B321">
        <v>462598545</v>
      </c>
      <c r="C321" s="1">
        <v>46027.755439814813</v>
      </c>
      <c r="D321" s="1">
        <v>46027.760752314818</v>
      </c>
      <c r="E321" t="s">
        <v>868</v>
      </c>
      <c r="F321" t="s">
        <v>23</v>
      </c>
      <c r="G321" t="e">
        <f>+_xlfn.XLOOKUP(tbl_encuesta[[#This Row],[Me siento a gusto con el ambiente de trabajo que se genera en mi equipo.]],#REF!,#REF!)</f>
        <v>#REF!</v>
      </c>
      <c r="H321" t="s">
        <v>23</v>
      </c>
      <c r="I321" t="e">
        <f>+_xlfn.XLOOKUP(tbl_encuesta[[#This Row],[Me siento motivado a dar lo mejor de mí y hacer un buen trabajo]],#REF!,#REF!)</f>
        <v>#REF!</v>
      </c>
      <c r="J321" t="s">
        <v>23</v>
      </c>
      <c r="K321" t="e">
        <f>+_xlfn.XLOOKUP(tbl_encuesta[[#This Row],[Mi supervisor o jefe directo me otorga el soporte que necesito para afrontar cualquier problema que afecte mi trabajo]],#REF!,#REF!)</f>
        <v>#REF!</v>
      </c>
      <c r="L321" t="s">
        <v>23</v>
      </c>
      <c r="M321" t="e">
        <f>+_xlfn.XLOOKUP(tbl_encuesta[[#This Row],[Mi supervisor o jefe directo fomenta que nos apoyemos entre todos en el equipo]],#REF!,#REF!)</f>
        <v>#REF!</v>
      </c>
      <c r="N321" t="s">
        <v>23</v>
      </c>
      <c r="O321" t="e">
        <f>+_xlfn.XLOOKUP(tbl_encuesta[[#This Row],[Siento que mi trabajo es reconocido por mi supervisor o jefe directo.]],#REF!,#REF!)</f>
        <v>#REF!</v>
      </c>
      <c r="P321" t="s">
        <v>31</v>
      </c>
      <c r="Q321" t="e">
        <f xml:space="preserve">
_xlfn.XLOOKUP(
tbl_encuesta[[#This Row],[Mi supervisor o jefe directo nos brinda charlas de 5 minutos y comunica las novedades relevantes a mi puesto de trabajo]],#REF!,#REF!
)</f>
        <v>#REF!</v>
      </c>
      <c r="R321" t="s">
        <v>17</v>
      </c>
      <c r="T321" t="s">
        <v>19</v>
      </c>
      <c r="W321" t="s">
        <v>25</v>
      </c>
      <c r="X321" t="s">
        <v>23</v>
      </c>
      <c r="Y321" t="e">
        <f>+_xlfn.XLOOKUP(tbl_encuesta[[#This Row],[Considero a Limtek como un buen lugar para trabajar]],#REF!,#REF!)</f>
        <v>#REF!</v>
      </c>
      <c r="Z321" t="s">
        <v>869</v>
      </c>
      <c r="AA321" t="s">
        <v>870</v>
      </c>
      <c r="AB321" t="s">
        <v>563</v>
      </c>
      <c r="AC321" s="3" t="s">
        <v>3831</v>
      </c>
      <c r="AD321" s="3" t="s">
        <v>3831</v>
      </c>
      <c r="AE321" t="s">
        <v>61</v>
      </c>
    </row>
    <row r="322" spans="1:31" x14ac:dyDescent="0.25">
      <c r="A322">
        <v>119031339106</v>
      </c>
      <c r="B322">
        <v>462598545</v>
      </c>
      <c r="C322" s="1">
        <v>46027.756712962961</v>
      </c>
      <c r="D322" s="1">
        <v>46027.758981481478</v>
      </c>
      <c r="E322" t="s">
        <v>871</v>
      </c>
      <c r="F322" t="s">
        <v>97</v>
      </c>
      <c r="G322" t="e">
        <f>+_xlfn.XLOOKUP(tbl_encuesta[[#This Row],[Me siento a gusto con el ambiente de trabajo que se genera en mi equipo.]],#REF!,#REF!)</f>
        <v>#REF!</v>
      </c>
      <c r="H322" t="s">
        <v>97</v>
      </c>
      <c r="I322" t="e">
        <f>+_xlfn.XLOOKUP(tbl_encuesta[[#This Row],[Me siento motivado a dar lo mejor de mí y hacer un buen trabajo]],#REF!,#REF!)</f>
        <v>#REF!</v>
      </c>
      <c r="J322" t="s">
        <v>43</v>
      </c>
      <c r="K322" t="e">
        <f>+_xlfn.XLOOKUP(tbl_encuesta[[#This Row],[Mi supervisor o jefe directo me otorga el soporte que necesito para afrontar cualquier problema que afecte mi trabajo]],#REF!,#REF!)</f>
        <v>#REF!</v>
      </c>
      <c r="L322" t="s">
        <v>43</v>
      </c>
      <c r="M322" t="e">
        <f>+_xlfn.XLOOKUP(tbl_encuesta[[#This Row],[Mi supervisor o jefe directo fomenta que nos apoyemos entre todos en el equipo]],#REF!,#REF!)</f>
        <v>#REF!</v>
      </c>
      <c r="N322" t="s">
        <v>43</v>
      </c>
      <c r="O322" t="e">
        <f>+_xlfn.XLOOKUP(tbl_encuesta[[#This Row],[Siento que mi trabajo es reconocido por mi supervisor o jefe directo.]],#REF!,#REF!)</f>
        <v>#REF!</v>
      </c>
      <c r="P322" t="s">
        <v>175</v>
      </c>
      <c r="Q322" t="e">
        <f xml:space="preserve">
_xlfn.XLOOKUP(
tbl_encuesta[[#This Row],[Mi supervisor o jefe directo nos brinda charlas de 5 minutos y comunica las novedades relevantes a mi puesto de trabajo]],#REF!,#REF!
)</f>
        <v>#REF!</v>
      </c>
      <c r="S322" t="s">
        <v>18</v>
      </c>
      <c r="W322" t="s">
        <v>25</v>
      </c>
      <c r="X322" t="s">
        <v>43</v>
      </c>
      <c r="Y322" t="e">
        <f>+_xlfn.XLOOKUP(tbl_encuesta[[#This Row],[Considero a Limtek como un buen lugar para trabajar]],#REF!,#REF!)</f>
        <v>#REF!</v>
      </c>
      <c r="Z322" t="s">
        <v>872</v>
      </c>
      <c r="AA322" t="s">
        <v>873</v>
      </c>
      <c r="AB322" t="s">
        <v>567</v>
      </c>
      <c r="AC322" s="3" t="s">
        <v>3716</v>
      </c>
      <c r="AD322" s="3" t="s">
        <v>3716</v>
      </c>
      <c r="AE322" t="s">
        <v>29</v>
      </c>
    </row>
    <row r="323" spans="1:31" x14ac:dyDescent="0.25">
      <c r="A323">
        <v>119031338856</v>
      </c>
      <c r="B323">
        <v>462598545</v>
      </c>
      <c r="C323" s="1">
        <v>46027.757824074077</v>
      </c>
      <c r="D323" s="1">
        <v>46027.758564814816</v>
      </c>
      <c r="E323" t="s">
        <v>874</v>
      </c>
      <c r="F323" t="s">
        <v>22</v>
      </c>
      <c r="G323" t="e">
        <f>+_xlfn.XLOOKUP(tbl_encuesta[[#This Row],[Me siento a gusto con el ambiente de trabajo que se genera en mi equipo.]],#REF!,#REF!)</f>
        <v>#REF!</v>
      </c>
      <c r="H323" t="s">
        <v>22</v>
      </c>
      <c r="I323" t="e">
        <f>+_xlfn.XLOOKUP(tbl_encuesta[[#This Row],[Me siento motivado a dar lo mejor de mí y hacer un buen trabajo]],#REF!,#REF!)</f>
        <v>#REF!</v>
      </c>
      <c r="J323" t="s">
        <v>22</v>
      </c>
      <c r="K323" t="e">
        <f>+_xlfn.XLOOKUP(tbl_encuesta[[#This Row],[Mi supervisor o jefe directo me otorga el soporte que necesito para afrontar cualquier problema que afecte mi trabajo]],#REF!,#REF!)</f>
        <v>#REF!</v>
      </c>
      <c r="L323" t="s">
        <v>22</v>
      </c>
      <c r="M323" t="e">
        <f>+_xlfn.XLOOKUP(tbl_encuesta[[#This Row],[Mi supervisor o jefe directo fomenta que nos apoyemos entre todos en el equipo]],#REF!,#REF!)</f>
        <v>#REF!</v>
      </c>
      <c r="N323" t="s">
        <v>22</v>
      </c>
      <c r="O323" t="e">
        <f>+_xlfn.XLOOKUP(tbl_encuesta[[#This Row],[Siento que mi trabajo es reconocido por mi supervisor o jefe directo.]],#REF!,#REF!)</f>
        <v>#REF!</v>
      </c>
      <c r="P323" t="s">
        <v>24</v>
      </c>
      <c r="Q323" t="e">
        <f xml:space="preserve">
_xlfn.XLOOKUP(
tbl_encuesta[[#This Row],[Mi supervisor o jefe directo nos brinda charlas de 5 minutos y comunica las novedades relevantes a mi puesto de trabajo]],#REF!,#REF!
)</f>
        <v>#REF!</v>
      </c>
      <c r="S323" t="s">
        <v>18</v>
      </c>
      <c r="W323" t="s">
        <v>46</v>
      </c>
      <c r="X323" t="s">
        <v>23</v>
      </c>
      <c r="Y323" t="e">
        <f>+_xlfn.XLOOKUP(tbl_encuesta[[#This Row],[Considero a Limtek como un buen lugar para trabajar]],#REF!,#REF!)</f>
        <v>#REF!</v>
      </c>
      <c r="Z323" t="s">
        <v>98</v>
      </c>
      <c r="AA323" t="s">
        <v>99</v>
      </c>
      <c r="AB323" t="s">
        <v>567</v>
      </c>
      <c r="AC323" s="3" t="s">
        <v>3768</v>
      </c>
      <c r="AD323" s="3" t="s">
        <v>3768</v>
      </c>
      <c r="AE323" t="s">
        <v>61</v>
      </c>
    </row>
    <row r="324" spans="1:31" x14ac:dyDescent="0.25">
      <c r="A324">
        <v>119031338074</v>
      </c>
      <c r="B324">
        <v>462598545</v>
      </c>
      <c r="C324" s="1">
        <v>46027.753553240742</v>
      </c>
      <c r="D324" s="1">
        <v>46027.757233796299</v>
      </c>
      <c r="E324" t="s">
        <v>875</v>
      </c>
      <c r="F324" t="s">
        <v>22</v>
      </c>
      <c r="G324" t="e">
        <f>+_xlfn.XLOOKUP(tbl_encuesta[[#This Row],[Me siento a gusto con el ambiente de trabajo que se genera en mi equipo.]],#REF!,#REF!)</f>
        <v>#REF!</v>
      </c>
      <c r="H324" t="s">
        <v>22</v>
      </c>
      <c r="I324" t="e">
        <f>+_xlfn.XLOOKUP(tbl_encuesta[[#This Row],[Me siento motivado a dar lo mejor de mí y hacer un buen trabajo]],#REF!,#REF!)</f>
        <v>#REF!</v>
      </c>
      <c r="J324" t="s">
        <v>22</v>
      </c>
      <c r="K324" t="e">
        <f>+_xlfn.XLOOKUP(tbl_encuesta[[#This Row],[Mi supervisor o jefe directo me otorga el soporte que necesito para afrontar cualquier problema que afecte mi trabajo]],#REF!,#REF!)</f>
        <v>#REF!</v>
      </c>
      <c r="L324" t="s">
        <v>23</v>
      </c>
      <c r="M324" t="e">
        <f>+_xlfn.XLOOKUP(tbl_encuesta[[#This Row],[Mi supervisor o jefe directo fomenta que nos apoyemos entre todos en el equipo]],#REF!,#REF!)</f>
        <v>#REF!</v>
      </c>
      <c r="N324" t="s">
        <v>22</v>
      </c>
      <c r="O324" t="e">
        <f>+_xlfn.XLOOKUP(tbl_encuesta[[#This Row],[Siento que mi trabajo es reconocido por mi supervisor o jefe directo.]],#REF!,#REF!)</f>
        <v>#REF!</v>
      </c>
      <c r="P324" t="s">
        <v>31</v>
      </c>
      <c r="Q324" t="e">
        <f xml:space="preserve">
_xlfn.XLOOKUP(
tbl_encuesta[[#This Row],[Mi supervisor o jefe directo nos brinda charlas de 5 minutos y comunica las novedades relevantes a mi puesto de trabajo]],#REF!,#REF!
)</f>
        <v>#REF!</v>
      </c>
      <c r="R324" t="s">
        <v>17</v>
      </c>
      <c r="W324" t="s">
        <v>25</v>
      </c>
      <c r="X324" t="s">
        <v>23</v>
      </c>
      <c r="Y324" t="e">
        <f>+_xlfn.XLOOKUP(tbl_encuesta[[#This Row],[Considero a Limtek como un buen lugar para trabajar]],#REF!,#REF!)</f>
        <v>#REF!</v>
      </c>
      <c r="Z324" t="s">
        <v>876</v>
      </c>
      <c r="AA324" t="s">
        <v>877</v>
      </c>
      <c r="AB324" t="s">
        <v>563</v>
      </c>
      <c r="AC324" t="s">
        <v>3592</v>
      </c>
      <c r="AD324" t="s">
        <v>3592</v>
      </c>
      <c r="AE324" t="s">
        <v>61</v>
      </c>
    </row>
    <row r="325" spans="1:31" x14ac:dyDescent="0.25">
      <c r="A325">
        <v>119031331641</v>
      </c>
      <c r="B325">
        <v>462598545</v>
      </c>
      <c r="C325" s="1">
        <v>46027.745798611111</v>
      </c>
      <c r="D325" s="1">
        <v>46027.746817129628</v>
      </c>
      <c r="E325" t="s">
        <v>878</v>
      </c>
      <c r="F325" t="s">
        <v>22</v>
      </c>
      <c r="G325" t="e">
        <f>+_xlfn.XLOOKUP(tbl_encuesta[[#This Row],[Me siento a gusto con el ambiente de trabajo que se genera en mi equipo.]],#REF!,#REF!)</f>
        <v>#REF!</v>
      </c>
      <c r="H325" t="s">
        <v>22</v>
      </c>
      <c r="I325" t="e">
        <f>+_xlfn.XLOOKUP(tbl_encuesta[[#This Row],[Me siento motivado a dar lo mejor de mí y hacer un buen trabajo]],#REF!,#REF!)</f>
        <v>#REF!</v>
      </c>
      <c r="J325" t="s">
        <v>22</v>
      </c>
      <c r="K325" t="e">
        <f>+_xlfn.XLOOKUP(tbl_encuesta[[#This Row],[Mi supervisor o jefe directo me otorga el soporte que necesito para afrontar cualquier problema que afecte mi trabajo]],#REF!,#REF!)</f>
        <v>#REF!</v>
      </c>
      <c r="L325" t="s">
        <v>23</v>
      </c>
      <c r="M325" t="e">
        <f>+_xlfn.XLOOKUP(tbl_encuesta[[#This Row],[Mi supervisor o jefe directo fomenta que nos apoyemos entre todos en el equipo]],#REF!,#REF!)</f>
        <v>#REF!</v>
      </c>
      <c r="N325" t="s">
        <v>22</v>
      </c>
      <c r="O325" t="e">
        <f>+_xlfn.XLOOKUP(tbl_encuesta[[#This Row],[Siento que mi trabajo es reconocido por mi supervisor o jefe directo.]],#REF!,#REF!)</f>
        <v>#REF!</v>
      </c>
      <c r="P325" t="s">
        <v>24</v>
      </c>
      <c r="Q325" t="e">
        <f xml:space="preserve">
_xlfn.XLOOKUP(
tbl_encuesta[[#This Row],[Mi supervisor o jefe directo nos brinda charlas de 5 minutos y comunica las novedades relevantes a mi puesto de trabajo]],#REF!,#REF!
)</f>
        <v>#REF!</v>
      </c>
      <c r="R325" t="s">
        <v>17</v>
      </c>
      <c r="W325" t="s">
        <v>25</v>
      </c>
      <c r="X325" t="s">
        <v>22</v>
      </c>
      <c r="Y325" t="e">
        <f>+_xlfn.XLOOKUP(tbl_encuesta[[#This Row],[Considero a Limtek como un buen lugar para trabajar]],#REF!,#REF!)</f>
        <v>#REF!</v>
      </c>
      <c r="Z325" t="s">
        <v>461</v>
      </c>
      <c r="AA325" t="s">
        <v>879</v>
      </c>
      <c r="AB325" t="s">
        <v>567</v>
      </c>
      <c r="AC325" s="3" t="s">
        <v>3811</v>
      </c>
      <c r="AD325" s="3" t="s">
        <v>3812</v>
      </c>
      <c r="AE325" t="s">
        <v>69</v>
      </c>
    </row>
    <row r="326" spans="1:31" x14ac:dyDescent="0.25">
      <c r="A326">
        <v>119031330240</v>
      </c>
      <c r="B326">
        <v>462598545</v>
      </c>
      <c r="C326" s="1">
        <v>46027.738969907405</v>
      </c>
      <c r="D326" s="1">
        <v>46027.744675925926</v>
      </c>
      <c r="E326" t="s">
        <v>880</v>
      </c>
      <c r="F326" t="s">
        <v>23</v>
      </c>
      <c r="G326" t="e">
        <f>+_xlfn.XLOOKUP(tbl_encuesta[[#This Row],[Me siento a gusto con el ambiente de trabajo que se genera en mi equipo.]],#REF!,#REF!)</f>
        <v>#REF!</v>
      </c>
      <c r="H326" t="s">
        <v>23</v>
      </c>
      <c r="I326" t="e">
        <f>+_xlfn.XLOOKUP(tbl_encuesta[[#This Row],[Me siento motivado a dar lo mejor de mí y hacer un buen trabajo]],#REF!,#REF!)</f>
        <v>#REF!</v>
      </c>
      <c r="J326" t="s">
        <v>23</v>
      </c>
      <c r="K326" t="e">
        <f>+_xlfn.XLOOKUP(tbl_encuesta[[#This Row],[Mi supervisor o jefe directo me otorga el soporte que necesito para afrontar cualquier problema que afecte mi trabajo]],#REF!,#REF!)</f>
        <v>#REF!</v>
      </c>
      <c r="L326" t="s">
        <v>23</v>
      </c>
      <c r="M326" t="e">
        <f>+_xlfn.XLOOKUP(tbl_encuesta[[#This Row],[Mi supervisor o jefe directo fomenta que nos apoyemos entre todos en el equipo]],#REF!,#REF!)</f>
        <v>#REF!</v>
      </c>
      <c r="N326" t="s">
        <v>22</v>
      </c>
      <c r="O326" t="e">
        <f>+_xlfn.XLOOKUP(tbl_encuesta[[#This Row],[Siento que mi trabajo es reconocido por mi supervisor o jefe directo.]],#REF!,#REF!)</f>
        <v>#REF!</v>
      </c>
      <c r="P326" t="s">
        <v>31</v>
      </c>
      <c r="Q326" t="e">
        <f xml:space="preserve">
_xlfn.XLOOKUP(
tbl_encuesta[[#This Row],[Mi supervisor o jefe directo nos brinda charlas de 5 minutos y comunica las novedades relevantes a mi puesto de trabajo]],#REF!,#REF!
)</f>
        <v>#REF!</v>
      </c>
      <c r="R326" t="s">
        <v>17</v>
      </c>
      <c r="U326" t="s">
        <v>20</v>
      </c>
      <c r="W326" t="s">
        <v>25</v>
      </c>
      <c r="X326" t="s">
        <v>23</v>
      </c>
      <c r="Y326" t="e">
        <f>+_xlfn.XLOOKUP(tbl_encuesta[[#This Row],[Considero a Limtek como un buen lugar para trabajar]],#REF!,#REF!)</f>
        <v>#REF!</v>
      </c>
      <c r="Z326" t="s">
        <v>881</v>
      </c>
      <c r="AA326" t="s">
        <v>882</v>
      </c>
      <c r="AB326" t="s">
        <v>883</v>
      </c>
      <c r="AC326" s="3" t="s">
        <v>3716</v>
      </c>
      <c r="AD326" s="3" t="s">
        <v>3719</v>
      </c>
      <c r="AE326" t="s">
        <v>69</v>
      </c>
    </row>
    <row r="327" spans="1:31" x14ac:dyDescent="0.25">
      <c r="A327">
        <v>119031330207</v>
      </c>
      <c r="B327">
        <v>462598545</v>
      </c>
      <c r="C327" s="1">
        <v>46027.743831018517</v>
      </c>
      <c r="D327" s="1">
        <v>46027.744629629633</v>
      </c>
      <c r="E327" t="s">
        <v>884</v>
      </c>
      <c r="F327" t="s">
        <v>23</v>
      </c>
      <c r="G327" t="e">
        <f>+_xlfn.XLOOKUP(tbl_encuesta[[#This Row],[Me siento a gusto con el ambiente de trabajo que se genera en mi equipo.]],#REF!,#REF!)</f>
        <v>#REF!</v>
      </c>
      <c r="H327" t="s">
        <v>23</v>
      </c>
      <c r="I327" t="e">
        <f>+_xlfn.XLOOKUP(tbl_encuesta[[#This Row],[Me siento motivado a dar lo mejor de mí y hacer un buen trabajo]],#REF!,#REF!)</f>
        <v>#REF!</v>
      </c>
      <c r="J327" t="s">
        <v>23</v>
      </c>
      <c r="K327" t="e">
        <f>+_xlfn.XLOOKUP(tbl_encuesta[[#This Row],[Mi supervisor o jefe directo me otorga el soporte que necesito para afrontar cualquier problema que afecte mi trabajo]],#REF!,#REF!)</f>
        <v>#REF!</v>
      </c>
      <c r="L327" t="s">
        <v>23</v>
      </c>
      <c r="M327" t="e">
        <f>+_xlfn.XLOOKUP(tbl_encuesta[[#This Row],[Mi supervisor o jefe directo fomenta que nos apoyemos entre todos en el equipo]],#REF!,#REF!)</f>
        <v>#REF!</v>
      </c>
      <c r="N327" t="s">
        <v>23</v>
      </c>
      <c r="O327" t="e">
        <f>+_xlfn.XLOOKUP(tbl_encuesta[[#This Row],[Siento que mi trabajo es reconocido por mi supervisor o jefe directo.]],#REF!,#REF!)</f>
        <v>#REF!</v>
      </c>
      <c r="P327" t="s">
        <v>31</v>
      </c>
      <c r="Q327" t="e">
        <f xml:space="preserve">
_xlfn.XLOOKUP(
tbl_encuesta[[#This Row],[Mi supervisor o jefe directo nos brinda charlas de 5 minutos y comunica las novedades relevantes a mi puesto de trabajo]],#REF!,#REF!
)</f>
        <v>#REF!</v>
      </c>
      <c r="S327" t="s">
        <v>18</v>
      </c>
      <c r="W327" t="s">
        <v>46</v>
      </c>
      <c r="X327" t="s">
        <v>23</v>
      </c>
      <c r="Y327" t="e">
        <f>+_xlfn.XLOOKUP(tbl_encuesta[[#This Row],[Considero a Limtek como un buen lugar para trabajar]],#REF!,#REF!)</f>
        <v>#REF!</v>
      </c>
      <c r="Z327" t="s">
        <v>885</v>
      </c>
      <c r="AA327" t="s">
        <v>577</v>
      </c>
      <c r="AB327" t="s">
        <v>567</v>
      </c>
      <c r="AC327" t="s">
        <v>3744</v>
      </c>
      <c r="AD327" t="s">
        <v>3744</v>
      </c>
      <c r="AE327" t="s">
        <v>69</v>
      </c>
    </row>
    <row r="328" spans="1:31" x14ac:dyDescent="0.25">
      <c r="A328">
        <v>119031328944</v>
      </c>
      <c r="B328">
        <v>462598545</v>
      </c>
      <c r="C328" s="1">
        <v>46027.738541666666</v>
      </c>
      <c r="D328" s="1">
        <v>46027.742800925924</v>
      </c>
      <c r="E328" t="s">
        <v>880</v>
      </c>
      <c r="F328" t="s">
        <v>23</v>
      </c>
      <c r="G328" t="e">
        <f>+_xlfn.XLOOKUP(tbl_encuesta[[#This Row],[Me siento a gusto con el ambiente de trabajo que se genera en mi equipo.]],#REF!,#REF!)</f>
        <v>#REF!</v>
      </c>
      <c r="H328" t="s">
        <v>23</v>
      </c>
      <c r="I328" t="e">
        <f>+_xlfn.XLOOKUP(tbl_encuesta[[#This Row],[Me siento motivado a dar lo mejor de mí y hacer un buen trabajo]],#REF!,#REF!)</f>
        <v>#REF!</v>
      </c>
      <c r="J328" t="s">
        <v>23</v>
      </c>
      <c r="K328" t="e">
        <f>+_xlfn.XLOOKUP(tbl_encuesta[[#This Row],[Mi supervisor o jefe directo me otorga el soporte que necesito para afrontar cualquier problema que afecte mi trabajo]],#REF!,#REF!)</f>
        <v>#REF!</v>
      </c>
      <c r="L328" t="s">
        <v>23</v>
      </c>
      <c r="M328" t="e">
        <f>+_xlfn.XLOOKUP(tbl_encuesta[[#This Row],[Mi supervisor o jefe directo fomenta que nos apoyemos entre todos en el equipo]],#REF!,#REF!)</f>
        <v>#REF!</v>
      </c>
      <c r="N328" t="s">
        <v>22</v>
      </c>
      <c r="O328" t="e">
        <f>+_xlfn.XLOOKUP(tbl_encuesta[[#This Row],[Siento que mi trabajo es reconocido por mi supervisor o jefe directo.]],#REF!,#REF!)</f>
        <v>#REF!</v>
      </c>
      <c r="P328" t="s">
        <v>31</v>
      </c>
      <c r="Q328" t="e">
        <f xml:space="preserve">
_xlfn.XLOOKUP(
tbl_encuesta[[#This Row],[Mi supervisor o jefe directo nos brinda charlas de 5 minutos y comunica las novedades relevantes a mi puesto de trabajo]],#REF!,#REF!
)</f>
        <v>#REF!</v>
      </c>
      <c r="S328" t="s">
        <v>18</v>
      </c>
      <c r="T328" t="s">
        <v>19</v>
      </c>
      <c r="W328" t="s">
        <v>25</v>
      </c>
      <c r="X328" t="s">
        <v>23</v>
      </c>
      <c r="Y328" t="e">
        <f>+_xlfn.XLOOKUP(tbl_encuesta[[#This Row],[Considero a Limtek como un buen lugar para trabajar]],#REF!,#REF!)</f>
        <v>#REF!</v>
      </c>
      <c r="Z328" t="s">
        <v>886</v>
      </c>
      <c r="AA328" t="s">
        <v>887</v>
      </c>
      <c r="AB328" t="s">
        <v>883</v>
      </c>
      <c r="AC328" s="3" t="s">
        <v>3716</v>
      </c>
      <c r="AD328" s="3" t="s">
        <v>3719</v>
      </c>
      <c r="AE328" t="s">
        <v>69</v>
      </c>
    </row>
    <row r="329" spans="1:31" x14ac:dyDescent="0.25">
      <c r="A329">
        <v>119031327696</v>
      </c>
      <c r="B329">
        <v>462598545</v>
      </c>
      <c r="C329" s="1">
        <v>46027.73778935185</v>
      </c>
      <c r="D329" s="1">
        <v>46027.740868055553</v>
      </c>
      <c r="E329" t="s">
        <v>888</v>
      </c>
      <c r="F329" t="s">
        <v>23</v>
      </c>
      <c r="G329" t="e">
        <f>+_xlfn.XLOOKUP(tbl_encuesta[[#This Row],[Me siento a gusto con el ambiente de trabajo que se genera en mi equipo.]],#REF!,#REF!)</f>
        <v>#REF!</v>
      </c>
      <c r="H329" t="s">
        <v>23</v>
      </c>
      <c r="I329" t="e">
        <f>+_xlfn.XLOOKUP(tbl_encuesta[[#This Row],[Me siento motivado a dar lo mejor de mí y hacer un buen trabajo]],#REF!,#REF!)</f>
        <v>#REF!</v>
      </c>
      <c r="J329" t="s">
        <v>23</v>
      </c>
      <c r="K329" t="e">
        <f>+_xlfn.XLOOKUP(tbl_encuesta[[#This Row],[Mi supervisor o jefe directo me otorga el soporte que necesito para afrontar cualquier problema que afecte mi trabajo]],#REF!,#REF!)</f>
        <v>#REF!</v>
      </c>
      <c r="L329" t="s">
        <v>23</v>
      </c>
      <c r="M329" t="e">
        <f>+_xlfn.XLOOKUP(tbl_encuesta[[#This Row],[Mi supervisor o jefe directo fomenta que nos apoyemos entre todos en el equipo]],#REF!,#REF!)</f>
        <v>#REF!</v>
      </c>
      <c r="N329" t="s">
        <v>23</v>
      </c>
      <c r="O329" t="e">
        <f>+_xlfn.XLOOKUP(tbl_encuesta[[#This Row],[Siento que mi trabajo es reconocido por mi supervisor o jefe directo.]],#REF!,#REF!)</f>
        <v>#REF!</v>
      </c>
      <c r="P329" t="s">
        <v>31</v>
      </c>
      <c r="Q329" t="e">
        <f xml:space="preserve">
_xlfn.XLOOKUP(
tbl_encuesta[[#This Row],[Mi supervisor o jefe directo nos brinda charlas de 5 minutos y comunica las novedades relevantes a mi puesto de trabajo]],#REF!,#REF!
)</f>
        <v>#REF!</v>
      </c>
      <c r="R329" t="s">
        <v>17</v>
      </c>
      <c r="W329" t="s">
        <v>25</v>
      </c>
      <c r="X329" t="s">
        <v>23</v>
      </c>
      <c r="Y329" t="e">
        <f>+_xlfn.XLOOKUP(tbl_encuesta[[#This Row],[Considero a Limtek como un buen lugar para trabajar]],#REF!,#REF!)</f>
        <v>#REF!</v>
      </c>
      <c r="Z329" t="s">
        <v>889</v>
      </c>
      <c r="AA329" t="s">
        <v>890</v>
      </c>
      <c r="AB329" t="s">
        <v>619</v>
      </c>
      <c r="AC329" s="3" t="s">
        <v>3610</v>
      </c>
      <c r="AD329" s="3" t="s">
        <v>3638</v>
      </c>
      <c r="AE329" t="s">
        <v>55</v>
      </c>
    </row>
    <row r="330" spans="1:31" x14ac:dyDescent="0.25">
      <c r="A330">
        <v>119031327679</v>
      </c>
      <c r="B330">
        <v>462598545</v>
      </c>
      <c r="C330" s="1">
        <v>46027.740034722221</v>
      </c>
      <c r="D330" s="1">
        <v>46027.740833333337</v>
      </c>
      <c r="E330" t="s">
        <v>891</v>
      </c>
      <c r="F330" t="s">
        <v>23</v>
      </c>
      <c r="G330" t="e">
        <f>+_xlfn.XLOOKUP(tbl_encuesta[[#This Row],[Me siento a gusto con el ambiente de trabajo que se genera en mi equipo.]],#REF!,#REF!)</f>
        <v>#REF!</v>
      </c>
      <c r="H330" t="s">
        <v>23</v>
      </c>
      <c r="I330" t="e">
        <f>+_xlfn.XLOOKUP(tbl_encuesta[[#This Row],[Me siento motivado a dar lo mejor de mí y hacer un buen trabajo]],#REF!,#REF!)</f>
        <v>#REF!</v>
      </c>
      <c r="J330" t="s">
        <v>23</v>
      </c>
      <c r="K330" t="e">
        <f>+_xlfn.XLOOKUP(tbl_encuesta[[#This Row],[Mi supervisor o jefe directo me otorga el soporte que necesito para afrontar cualquier problema que afecte mi trabajo]],#REF!,#REF!)</f>
        <v>#REF!</v>
      </c>
      <c r="L330" t="s">
        <v>23</v>
      </c>
      <c r="M330" t="e">
        <f>+_xlfn.XLOOKUP(tbl_encuesta[[#This Row],[Mi supervisor o jefe directo fomenta que nos apoyemos entre todos en el equipo]],#REF!,#REF!)</f>
        <v>#REF!</v>
      </c>
      <c r="N330" t="s">
        <v>23</v>
      </c>
      <c r="O330" t="e">
        <f>+_xlfn.XLOOKUP(tbl_encuesta[[#This Row],[Siento que mi trabajo es reconocido por mi supervisor o jefe directo.]],#REF!,#REF!)</f>
        <v>#REF!</v>
      </c>
      <c r="P330" t="s">
        <v>31</v>
      </c>
      <c r="Q330" t="e">
        <f xml:space="preserve">
_xlfn.XLOOKUP(
tbl_encuesta[[#This Row],[Mi supervisor o jefe directo nos brinda charlas de 5 minutos y comunica las novedades relevantes a mi puesto de trabajo]],#REF!,#REF!
)</f>
        <v>#REF!</v>
      </c>
      <c r="R330" t="s">
        <v>17</v>
      </c>
      <c r="T330" t="s">
        <v>19</v>
      </c>
      <c r="W330" t="s">
        <v>25</v>
      </c>
      <c r="X330" t="s">
        <v>23</v>
      </c>
      <c r="Y330" t="e">
        <f>+_xlfn.XLOOKUP(tbl_encuesta[[#This Row],[Considero a Limtek como un buen lugar para trabajar]],#REF!,#REF!)</f>
        <v>#REF!</v>
      </c>
      <c r="Z330" t="s">
        <v>892</v>
      </c>
      <c r="AA330" t="s">
        <v>122</v>
      </c>
      <c r="AB330" t="s">
        <v>567</v>
      </c>
      <c r="AC330" t="s">
        <v>3758</v>
      </c>
      <c r="AD330" t="s">
        <v>3758</v>
      </c>
      <c r="AE330" t="s">
        <v>69</v>
      </c>
    </row>
    <row r="331" spans="1:31" x14ac:dyDescent="0.25">
      <c r="A331">
        <v>119031327500</v>
      </c>
      <c r="B331">
        <v>462598545</v>
      </c>
      <c r="C331" s="1">
        <v>46027.739305555559</v>
      </c>
      <c r="D331" s="1">
        <v>46027.740555555552</v>
      </c>
      <c r="E331" t="s">
        <v>893</v>
      </c>
      <c r="F331" t="s">
        <v>23</v>
      </c>
      <c r="G331" t="e">
        <f>+_xlfn.XLOOKUP(tbl_encuesta[[#This Row],[Me siento a gusto con el ambiente de trabajo que se genera en mi equipo.]],#REF!,#REF!)</f>
        <v>#REF!</v>
      </c>
      <c r="H331" t="s">
        <v>23</v>
      </c>
      <c r="I331" t="e">
        <f>+_xlfn.XLOOKUP(tbl_encuesta[[#This Row],[Me siento motivado a dar lo mejor de mí y hacer un buen trabajo]],#REF!,#REF!)</f>
        <v>#REF!</v>
      </c>
      <c r="J331" t="s">
        <v>23</v>
      </c>
      <c r="K331" t="e">
        <f>+_xlfn.XLOOKUP(tbl_encuesta[[#This Row],[Mi supervisor o jefe directo me otorga el soporte que necesito para afrontar cualquier problema que afecte mi trabajo]],#REF!,#REF!)</f>
        <v>#REF!</v>
      </c>
      <c r="L331" t="s">
        <v>23</v>
      </c>
      <c r="M331" t="e">
        <f>+_xlfn.XLOOKUP(tbl_encuesta[[#This Row],[Mi supervisor o jefe directo fomenta que nos apoyemos entre todos en el equipo]],#REF!,#REF!)</f>
        <v>#REF!</v>
      </c>
      <c r="N331" t="s">
        <v>23</v>
      </c>
      <c r="O331" t="e">
        <f>+_xlfn.XLOOKUP(tbl_encuesta[[#This Row],[Siento que mi trabajo es reconocido por mi supervisor o jefe directo.]],#REF!,#REF!)</f>
        <v>#REF!</v>
      </c>
      <c r="P331" t="s">
        <v>31</v>
      </c>
      <c r="Q331" t="e">
        <f xml:space="preserve">
_xlfn.XLOOKUP(
tbl_encuesta[[#This Row],[Mi supervisor o jefe directo nos brinda charlas de 5 minutos y comunica las novedades relevantes a mi puesto de trabajo]],#REF!,#REF!
)</f>
        <v>#REF!</v>
      </c>
      <c r="R331" t="s">
        <v>17</v>
      </c>
      <c r="U331" t="s">
        <v>20</v>
      </c>
      <c r="W331" t="s">
        <v>25</v>
      </c>
      <c r="X331" t="s">
        <v>23</v>
      </c>
      <c r="Y331" t="e">
        <f>+_xlfn.XLOOKUP(tbl_encuesta[[#This Row],[Considero a Limtek como un buen lugar para trabajar]],#REF!,#REF!)</f>
        <v>#REF!</v>
      </c>
      <c r="Z331" t="s">
        <v>894</v>
      </c>
      <c r="AA331" t="s">
        <v>895</v>
      </c>
      <c r="AB331" t="s">
        <v>581</v>
      </c>
      <c r="AC331" s="3" t="s">
        <v>3834</v>
      </c>
      <c r="AD331" s="3" t="s">
        <v>3834</v>
      </c>
      <c r="AE331" t="s">
        <v>29</v>
      </c>
    </row>
    <row r="332" spans="1:31" x14ac:dyDescent="0.25">
      <c r="A332">
        <v>119031326314</v>
      </c>
      <c r="B332">
        <v>462598545</v>
      </c>
      <c r="C332" s="1">
        <v>46027.70758101852</v>
      </c>
      <c r="D332" s="1">
        <v>46027.738726851851</v>
      </c>
      <c r="E332" t="s">
        <v>896</v>
      </c>
      <c r="F332" t="s">
        <v>23</v>
      </c>
      <c r="G332" t="e">
        <f>+_xlfn.XLOOKUP(tbl_encuesta[[#This Row],[Me siento a gusto con el ambiente de trabajo que se genera en mi equipo.]],#REF!,#REF!)</f>
        <v>#REF!</v>
      </c>
      <c r="H332" t="s">
        <v>23</v>
      </c>
      <c r="I332" t="e">
        <f>+_xlfn.XLOOKUP(tbl_encuesta[[#This Row],[Me siento motivado a dar lo mejor de mí y hacer un buen trabajo]],#REF!,#REF!)</f>
        <v>#REF!</v>
      </c>
      <c r="J332" t="s">
        <v>23</v>
      </c>
      <c r="K332" t="e">
        <f>+_xlfn.XLOOKUP(tbl_encuesta[[#This Row],[Mi supervisor o jefe directo me otorga el soporte que necesito para afrontar cualquier problema que afecte mi trabajo]],#REF!,#REF!)</f>
        <v>#REF!</v>
      </c>
      <c r="L332" t="s">
        <v>23</v>
      </c>
      <c r="M332" t="e">
        <f>+_xlfn.XLOOKUP(tbl_encuesta[[#This Row],[Mi supervisor o jefe directo fomenta que nos apoyemos entre todos en el equipo]],#REF!,#REF!)</f>
        <v>#REF!</v>
      </c>
      <c r="N332" t="s">
        <v>23</v>
      </c>
      <c r="O332" t="e">
        <f>+_xlfn.XLOOKUP(tbl_encuesta[[#This Row],[Siento que mi trabajo es reconocido por mi supervisor o jefe directo.]],#REF!,#REF!)</f>
        <v>#REF!</v>
      </c>
      <c r="P332" t="s">
        <v>31</v>
      </c>
      <c r="Q332" t="e">
        <f xml:space="preserve">
_xlfn.XLOOKUP(
tbl_encuesta[[#This Row],[Mi supervisor o jefe directo nos brinda charlas de 5 minutos y comunica las novedades relevantes a mi puesto de trabajo]],#REF!,#REF!
)</f>
        <v>#REF!</v>
      </c>
      <c r="R332" t="s">
        <v>17</v>
      </c>
      <c r="S332" t="s">
        <v>18</v>
      </c>
      <c r="W332" t="s">
        <v>25</v>
      </c>
      <c r="X332" t="s">
        <v>23</v>
      </c>
      <c r="Y332" t="e">
        <f>+_xlfn.XLOOKUP(tbl_encuesta[[#This Row],[Considero a Limtek como un buen lugar para trabajar]],#REF!,#REF!)</f>
        <v>#REF!</v>
      </c>
      <c r="Z332" t="s">
        <v>897</v>
      </c>
      <c r="AA332" t="s">
        <v>898</v>
      </c>
      <c r="AB332" t="s">
        <v>883</v>
      </c>
      <c r="AC332" t="s">
        <v>3610</v>
      </c>
      <c r="AD332" t="s">
        <v>3610</v>
      </c>
      <c r="AE332" t="s">
        <v>34</v>
      </c>
    </row>
    <row r="333" spans="1:31" x14ac:dyDescent="0.25">
      <c r="A333">
        <v>119031325929</v>
      </c>
      <c r="B333">
        <v>462598545</v>
      </c>
      <c r="C333" s="1">
        <v>46027.736585648148</v>
      </c>
      <c r="D333" s="1">
        <v>46027.738136574073</v>
      </c>
      <c r="E333" t="s">
        <v>899</v>
      </c>
      <c r="F333" t="s">
        <v>23</v>
      </c>
      <c r="G333" t="e">
        <f>+_xlfn.XLOOKUP(tbl_encuesta[[#This Row],[Me siento a gusto con el ambiente de trabajo que se genera en mi equipo.]],#REF!,#REF!)</f>
        <v>#REF!</v>
      </c>
      <c r="H333" t="s">
        <v>23</v>
      </c>
      <c r="I333" t="e">
        <f>+_xlfn.XLOOKUP(tbl_encuesta[[#This Row],[Me siento motivado a dar lo mejor de mí y hacer un buen trabajo]],#REF!,#REF!)</f>
        <v>#REF!</v>
      </c>
      <c r="J333" t="s">
        <v>23</v>
      </c>
      <c r="K333" t="e">
        <f>+_xlfn.XLOOKUP(tbl_encuesta[[#This Row],[Mi supervisor o jefe directo me otorga el soporte que necesito para afrontar cualquier problema que afecte mi trabajo]],#REF!,#REF!)</f>
        <v>#REF!</v>
      </c>
      <c r="L333" t="s">
        <v>23</v>
      </c>
      <c r="M333" t="e">
        <f>+_xlfn.XLOOKUP(tbl_encuesta[[#This Row],[Mi supervisor o jefe directo fomenta que nos apoyemos entre todos en el equipo]],#REF!,#REF!)</f>
        <v>#REF!</v>
      </c>
      <c r="N333" t="s">
        <v>23</v>
      </c>
      <c r="O333" t="e">
        <f>+_xlfn.XLOOKUP(tbl_encuesta[[#This Row],[Siento que mi trabajo es reconocido por mi supervisor o jefe directo.]],#REF!,#REF!)</f>
        <v>#REF!</v>
      </c>
      <c r="P333" t="s">
        <v>31</v>
      </c>
      <c r="Q333" t="e">
        <f xml:space="preserve">
_xlfn.XLOOKUP(
tbl_encuesta[[#This Row],[Mi supervisor o jefe directo nos brinda charlas de 5 minutos y comunica las novedades relevantes a mi puesto de trabajo]],#REF!,#REF!
)</f>
        <v>#REF!</v>
      </c>
      <c r="R333" t="s">
        <v>17</v>
      </c>
      <c r="T333" t="s">
        <v>19</v>
      </c>
      <c r="W333" t="s">
        <v>25</v>
      </c>
      <c r="X333" t="s">
        <v>23</v>
      </c>
      <c r="Y333" t="e">
        <f>+_xlfn.XLOOKUP(tbl_encuesta[[#This Row],[Considero a Limtek como un buen lugar para trabajar]],#REF!,#REF!)</f>
        <v>#REF!</v>
      </c>
      <c r="Z333" t="s">
        <v>900</v>
      </c>
      <c r="AA333" t="s">
        <v>901</v>
      </c>
      <c r="AB333" t="s">
        <v>567</v>
      </c>
      <c r="AC333" s="3" t="s">
        <v>3758</v>
      </c>
      <c r="AD333" s="3" t="s">
        <v>3786</v>
      </c>
      <c r="AE333" t="s">
        <v>61</v>
      </c>
    </row>
    <row r="334" spans="1:31" x14ac:dyDescent="0.25">
      <c r="A334">
        <v>119031325560</v>
      </c>
      <c r="B334">
        <v>462598545</v>
      </c>
      <c r="C334" s="1">
        <v>46027.735682870371</v>
      </c>
      <c r="D334" s="1">
        <v>46027.737604166665</v>
      </c>
      <c r="E334" t="s">
        <v>902</v>
      </c>
      <c r="F334" t="s">
        <v>23</v>
      </c>
      <c r="G334" t="e">
        <f>+_xlfn.XLOOKUP(tbl_encuesta[[#This Row],[Me siento a gusto con el ambiente de trabajo que se genera en mi equipo.]],#REF!,#REF!)</f>
        <v>#REF!</v>
      </c>
      <c r="H334" t="s">
        <v>23</v>
      </c>
      <c r="I334" t="e">
        <f>+_xlfn.XLOOKUP(tbl_encuesta[[#This Row],[Me siento motivado a dar lo mejor de mí y hacer un buen trabajo]],#REF!,#REF!)</f>
        <v>#REF!</v>
      </c>
      <c r="J334" t="s">
        <v>23</v>
      </c>
      <c r="K334" t="e">
        <f>+_xlfn.XLOOKUP(tbl_encuesta[[#This Row],[Mi supervisor o jefe directo me otorga el soporte que necesito para afrontar cualquier problema que afecte mi trabajo]],#REF!,#REF!)</f>
        <v>#REF!</v>
      </c>
      <c r="L334" t="s">
        <v>23</v>
      </c>
      <c r="M334" t="e">
        <f>+_xlfn.XLOOKUP(tbl_encuesta[[#This Row],[Mi supervisor o jefe directo fomenta que nos apoyemos entre todos en el equipo]],#REF!,#REF!)</f>
        <v>#REF!</v>
      </c>
      <c r="N334" t="s">
        <v>23</v>
      </c>
      <c r="O334" t="e">
        <f>+_xlfn.XLOOKUP(tbl_encuesta[[#This Row],[Siento que mi trabajo es reconocido por mi supervisor o jefe directo.]],#REF!,#REF!)</f>
        <v>#REF!</v>
      </c>
      <c r="P334" t="s">
        <v>67</v>
      </c>
      <c r="Q334" t="e">
        <f xml:space="preserve">
_xlfn.XLOOKUP(
tbl_encuesta[[#This Row],[Mi supervisor o jefe directo nos brinda charlas de 5 minutos y comunica las novedades relevantes a mi puesto de trabajo]],#REF!,#REF!
)</f>
        <v>#REF!</v>
      </c>
      <c r="S334" t="s">
        <v>18</v>
      </c>
      <c r="W334" t="s">
        <v>25</v>
      </c>
      <c r="X334" t="s">
        <v>23</v>
      </c>
      <c r="Y334" t="e">
        <f>+_xlfn.XLOOKUP(tbl_encuesta[[#This Row],[Considero a Limtek como un buen lugar para trabajar]],#REF!,#REF!)</f>
        <v>#REF!</v>
      </c>
      <c r="Z334" t="s">
        <v>113</v>
      </c>
      <c r="AA334" t="s">
        <v>903</v>
      </c>
      <c r="AB334" t="s">
        <v>567</v>
      </c>
      <c r="AC334" t="s">
        <v>3758</v>
      </c>
      <c r="AD334" t="s">
        <v>3758</v>
      </c>
      <c r="AE334" t="s">
        <v>55</v>
      </c>
    </row>
    <row r="335" spans="1:31" x14ac:dyDescent="0.25">
      <c r="A335">
        <v>119031324963</v>
      </c>
      <c r="B335">
        <v>462598545</v>
      </c>
      <c r="C335" s="1">
        <v>46027.735532407409</v>
      </c>
      <c r="D335" s="1">
        <v>46027.736678240741</v>
      </c>
      <c r="E335" t="s">
        <v>904</v>
      </c>
      <c r="F335" t="s">
        <v>23</v>
      </c>
      <c r="G335" t="e">
        <f>+_xlfn.XLOOKUP(tbl_encuesta[[#This Row],[Me siento a gusto con el ambiente de trabajo que se genera en mi equipo.]],#REF!,#REF!)</f>
        <v>#REF!</v>
      </c>
      <c r="H335" t="s">
        <v>23</v>
      </c>
      <c r="I335" t="e">
        <f>+_xlfn.XLOOKUP(tbl_encuesta[[#This Row],[Me siento motivado a dar lo mejor de mí y hacer un buen trabajo]],#REF!,#REF!)</f>
        <v>#REF!</v>
      </c>
      <c r="J335" t="s">
        <v>23</v>
      </c>
      <c r="K335" t="e">
        <f>+_xlfn.XLOOKUP(tbl_encuesta[[#This Row],[Mi supervisor o jefe directo me otorga el soporte que necesito para afrontar cualquier problema que afecte mi trabajo]],#REF!,#REF!)</f>
        <v>#REF!</v>
      </c>
      <c r="L335" t="s">
        <v>23</v>
      </c>
      <c r="M335" t="e">
        <f>+_xlfn.XLOOKUP(tbl_encuesta[[#This Row],[Mi supervisor o jefe directo fomenta que nos apoyemos entre todos en el equipo]],#REF!,#REF!)</f>
        <v>#REF!</v>
      </c>
      <c r="N335" t="s">
        <v>23</v>
      </c>
      <c r="O335" t="e">
        <f>+_xlfn.XLOOKUP(tbl_encuesta[[#This Row],[Siento que mi trabajo es reconocido por mi supervisor o jefe directo.]],#REF!,#REF!)</f>
        <v>#REF!</v>
      </c>
      <c r="P335" t="s">
        <v>31</v>
      </c>
      <c r="Q335" t="e">
        <f xml:space="preserve">
_xlfn.XLOOKUP(
tbl_encuesta[[#This Row],[Mi supervisor o jefe directo nos brinda charlas de 5 minutos y comunica las novedades relevantes a mi puesto de trabajo]],#REF!,#REF!
)</f>
        <v>#REF!</v>
      </c>
      <c r="R335" t="s">
        <v>17</v>
      </c>
      <c r="T335" t="s">
        <v>19</v>
      </c>
      <c r="W335" t="s">
        <v>25</v>
      </c>
      <c r="X335" t="s">
        <v>23</v>
      </c>
      <c r="Y335" t="e">
        <f>+_xlfn.XLOOKUP(tbl_encuesta[[#This Row],[Considero a Limtek como un buen lugar para trabajar]],#REF!,#REF!)</f>
        <v>#REF!</v>
      </c>
      <c r="Z335" t="s">
        <v>576</v>
      </c>
      <c r="AA335" t="s">
        <v>905</v>
      </c>
      <c r="AB335" t="s">
        <v>619</v>
      </c>
      <c r="AC335" s="3" t="s">
        <v>3768</v>
      </c>
      <c r="AD335" s="3" t="s">
        <v>3768</v>
      </c>
      <c r="AE335" t="s">
        <v>29</v>
      </c>
    </row>
    <row r="336" spans="1:31" x14ac:dyDescent="0.25">
      <c r="A336">
        <v>119031324432</v>
      </c>
      <c r="B336">
        <v>462598545</v>
      </c>
      <c r="C336" s="1">
        <v>46027.735324074078</v>
      </c>
      <c r="D336" s="1">
        <v>46027.735891203702</v>
      </c>
      <c r="E336" t="s">
        <v>906</v>
      </c>
      <c r="F336" t="s">
        <v>23</v>
      </c>
      <c r="G336" t="e">
        <f>+_xlfn.XLOOKUP(tbl_encuesta[[#This Row],[Me siento a gusto con el ambiente de trabajo que se genera en mi equipo.]],#REF!,#REF!)</f>
        <v>#REF!</v>
      </c>
      <c r="H336" t="s">
        <v>23</v>
      </c>
      <c r="I336" t="e">
        <f>+_xlfn.XLOOKUP(tbl_encuesta[[#This Row],[Me siento motivado a dar lo mejor de mí y hacer un buen trabajo]],#REF!,#REF!)</f>
        <v>#REF!</v>
      </c>
      <c r="J336" t="s">
        <v>23</v>
      </c>
      <c r="K336" t="e">
        <f>+_xlfn.XLOOKUP(tbl_encuesta[[#This Row],[Mi supervisor o jefe directo me otorga el soporte que necesito para afrontar cualquier problema que afecte mi trabajo]],#REF!,#REF!)</f>
        <v>#REF!</v>
      </c>
      <c r="L336" t="s">
        <v>23</v>
      </c>
      <c r="M336" t="e">
        <f>+_xlfn.XLOOKUP(tbl_encuesta[[#This Row],[Mi supervisor o jefe directo fomenta que nos apoyemos entre todos en el equipo]],#REF!,#REF!)</f>
        <v>#REF!</v>
      </c>
      <c r="N336" t="s">
        <v>23</v>
      </c>
      <c r="O336" t="e">
        <f>+_xlfn.XLOOKUP(tbl_encuesta[[#This Row],[Siento que mi trabajo es reconocido por mi supervisor o jefe directo.]],#REF!,#REF!)</f>
        <v>#REF!</v>
      </c>
      <c r="P336" t="s">
        <v>67</v>
      </c>
      <c r="Q336" t="e">
        <f xml:space="preserve">
_xlfn.XLOOKUP(
tbl_encuesta[[#This Row],[Mi supervisor o jefe directo nos brinda charlas de 5 minutos y comunica las novedades relevantes a mi puesto de trabajo]],#REF!,#REF!
)</f>
        <v>#REF!</v>
      </c>
      <c r="R336" t="s">
        <v>17</v>
      </c>
      <c r="W336" t="s">
        <v>25</v>
      </c>
      <c r="X336" t="s">
        <v>23</v>
      </c>
      <c r="Y336" t="e">
        <f>+_xlfn.XLOOKUP(tbl_encuesta[[#This Row],[Considero a Limtek como un buen lugar para trabajar]],#REF!,#REF!)</f>
        <v>#REF!</v>
      </c>
      <c r="Z336" t="s">
        <v>907</v>
      </c>
      <c r="AA336" t="s">
        <v>908</v>
      </c>
      <c r="AB336" t="s">
        <v>567</v>
      </c>
      <c r="AC336" s="3" t="s">
        <v>3811</v>
      </c>
      <c r="AD336" s="3" t="s">
        <v>3812</v>
      </c>
      <c r="AE336" t="s">
        <v>34</v>
      </c>
    </row>
    <row r="337" spans="1:31" x14ac:dyDescent="0.25">
      <c r="A337">
        <v>119031322781</v>
      </c>
      <c r="B337">
        <v>462598545</v>
      </c>
      <c r="C337" s="1">
        <v>46027.730243055557</v>
      </c>
      <c r="D337" s="1">
        <v>46027.73332175926</v>
      </c>
      <c r="E337" t="s">
        <v>909</v>
      </c>
      <c r="F337" t="s">
        <v>23</v>
      </c>
      <c r="G337" t="e">
        <f>+_xlfn.XLOOKUP(tbl_encuesta[[#This Row],[Me siento a gusto con el ambiente de trabajo que se genera en mi equipo.]],#REF!,#REF!)</f>
        <v>#REF!</v>
      </c>
      <c r="H337" t="s">
        <v>23</v>
      </c>
      <c r="I337" t="e">
        <f>+_xlfn.XLOOKUP(tbl_encuesta[[#This Row],[Me siento motivado a dar lo mejor de mí y hacer un buen trabajo]],#REF!,#REF!)</f>
        <v>#REF!</v>
      </c>
      <c r="J337" t="s">
        <v>23</v>
      </c>
      <c r="K337" t="e">
        <f>+_xlfn.XLOOKUP(tbl_encuesta[[#This Row],[Mi supervisor o jefe directo me otorga el soporte que necesito para afrontar cualquier problema que afecte mi trabajo]],#REF!,#REF!)</f>
        <v>#REF!</v>
      </c>
      <c r="L337" t="s">
        <v>23</v>
      </c>
      <c r="M337" t="e">
        <f>+_xlfn.XLOOKUP(tbl_encuesta[[#This Row],[Mi supervisor o jefe directo fomenta que nos apoyemos entre todos en el equipo]],#REF!,#REF!)</f>
        <v>#REF!</v>
      </c>
      <c r="N337" t="s">
        <v>22</v>
      </c>
      <c r="O337" t="e">
        <f>+_xlfn.XLOOKUP(tbl_encuesta[[#This Row],[Siento que mi trabajo es reconocido por mi supervisor o jefe directo.]],#REF!,#REF!)</f>
        <v>#REF!</v>
      </c>
      <c r="P337" t="s">
        <v>31</v>
      </c>
      <c r="Q337" t="e">
        <f xml:space="preserve">
_xlfn.XLOOKUP(
tbl_encuesta[[#This Row],[Mi supervisor o jefe directo nos brinda charlas de 5 minutos y comunica las novedades relevantes a mi puesto de trabajo]],#REF!,#REF!
)</f>
        <v>#REF!</v>
      </c>
      <c r="R337" t="s">
        <v>17</v>
      </c>
      <c r="S337" t="s">
        <v>18</v>
      </c>
      <c r="W337" t="s">
        <v>25</v>
      </c>
      <c r="X337" t="s">
        <v>23</v>
      </c>
      <c r="Y337" t="e">
        <f>+_xlfn.XLOOKUP(tbl_encuesta[[#This Row],[Considero a Limtek como un buen lugar para trabajar]],#REF!,#REF!)</f>
        <v>#REF!</v>
      </c>
      <c r="Z337" t="s">
        <v>910</v>
      </c>
      <c r="AA337" t="s">
        <v>911</v>
      </c>
      <c r="AB337" t="s">
        <v>28</v>
      </c>
      <c r="AC337" s="3" t="s">
        <v>3845</v>
      </c>
      <c r="AD337" s="3" t="s">
        <v>3846</v>
      </c>
      <c r="AE337" t="s">
        <v>34</v>
      </c>
    </row>
    <row r="338" spans="1:31" x14ac:dyDescent="0.25">
      <c r="A338">
        <v>119031322234</v>
      </c>
      <c r="B338">
        <v>462598545</v>
      </c>
      <c r="C338" s="1">
        <v>46027.731238425928</v>
      </c>
      <c r="D338" s="1">
        <v>46027.732499999998</v>
      </c>
      <c r="E338" t="s">
        <v>912</v>
      </c>
      <c r="F338" t="s">
        <v>23</v>
      </c>
      <c r="G338" t="e">
        <f>+_xlfn.XLOOKUP(tbl_encuesta[[#This Row],[Me siento a gusto con el ambiente de trabajo que se genera en mi equipo.]],#REF!,#REF!)</f>
        <v>#REF!</v>
      </c>
      <c r="H338" t="s">
        <v>23</v>
      </c>
      <c r="I338" t="e">
        <f>+_xlfn.XLOOKUP(tbl_encuesta[[#This Row],[Me siento motivado a dar lo mejor de mí y hacer un buen trabajo]],#REF!,#REF!)</f>
        <v>#REF!</v>
      </c>
      <c r="J338" t="s">
        <v>23</v>
      </c>
      <c r="K338" t="e">
        <f>+_xlfn.XLOOKUP(tbl_encuesta[[#This Row],[Mi supervisor o jefe directo me otorga el soporte que necesito para afrontar cualquier problema que afecte mi trabajo]],#REF!,#REF!)</f>
        <v>#REF!</v>
      </c>
      <c r="L338" t="s">
        <v>23</v>
      </c>
      <c r="M338" t="e">
        <f>+_xlfn.XLOOKUP(tbl_encuesta[[#This Row],[Mi supervisor o jefe directo fomenta que nos apoyemos entre todos en el equipo]],#REF!,#REF!)</f>
        <v>#REF!</v>
      </c>
      <c r="N338" t="s">
        <v>23</v>
      </c>
      <c r="O338" t="e">
        <f>+_xlfn.XLOOKUP(tbl_encuesta[[#This Row],[Siento que mi trabajo es reconocido por mi supervisor o jefe directo.]],#REF!,#REF!)</f>
        <v>#REF!</v>
      </c>
      <c r="P338" t="s">
        <v>67</v>
      </c>
      <c r="Q338" t="e">
        <f xml:space="preserve">
_xlfn.XLOOKUP(
tbl_encuesta[[#This Row],[Mi supervisor o jefe directo nos brinda charlas de 5 minutos y comunica las novedades relevantes a mi puesto de trabajo]],#REF!,#REF!
)</f>
        <v>#REF!</v>
      </c>
      <c r="R338" t="s">
        <v>17</v>
      </c>
      <c r="T338" t="s">
        <v>19</v>
      </c>
      <c r="W338" t="s">
        <v>25</v>
      </c>
      <c r="X338" t="s">
        <v>23</v>
      </c>
      <c r="Y338" t="e">
        <f>+_xlfn.XLOOKUP(tbl_encuesta[[#This Row],[Considero a Limtek como un buen lugar para trabajar]],#REF!,#REF!)</f>
        <v>#REF!</v>
      </c>
      <c r="Z338" t="s">
        <v>913</v>
      </c>
      <c r="AA338" t="s">
        <v>58</v>
      </c>
      <c r="AB338" t="s">
        <v>567</v>
      </c>
      <c r="AC338" s="3" t="s">
        <v>3758</v>
      </c>
      <c r="AD338" s="3" t="s">
        <v>3786</v>
      </c>
      <c r="AE338" t="s">
        <v>61</v>
      </c>
    </row>
    <row r="339" spans="1:31" x14ac:dyDescent="0.25">
      <c r="A339">
        <v>119031320890</v>
      </c>
      <c r="B339">
        <v>462598545</v>
      </c>
      <c r="C339" s="1">
        <v>46027.726400462961</v>
      </c>
      <c r="D339" s="1">
        <v>46027.730509259258</v>
      </c>
      <c r="E339" t="s">
        <v>914</v>
      </c>
      <c r="F339" t="s">
        <v>23</v>
      </c>
      <c r="G339" t="e">
        <f>+_xlfn.XLOOKUP(tbl_encuesta[[#This Row],[Me siento a gusto con el ambiente de trabajo que se genera en mi equipo.]],#REF!,#REF!)</f>
        <v>#REF!</v>
      </c>
      <c r="H339" t="s">
        <v>23</v>
      </c>
      <c r="I339" t="e">
        <f>+_xlfn.XLOOKUP(tbl_encuesta[[#This Row],[Me siento motivado a dar lo mejor de mí y hacer un buen trabajo]],#REF!,#REF!)</f>
        <v>#REF!</v>
      </c>
      <c r="J339" t="s">
        <v>23</v>
      </c>
      <c r="K339" t="e">
        <f>+_xlfn.XLOOKUP(tbl_encuesta[[#This Row],[Mi supervisor o jefe directo me otorga el soporte que necesito para afrontar cualquier problema que afecte mi trabajo]],#REF!,#REF!)</f>
        <v>#REF!</v>
      </c>
      <c r="L339" t="s">
        <v>23</v>
      </c>
      <c r="M339" t="e">
        <f>+_xlfn.XLOOKUP(tbl_encuesta[[#This Row],[Mi supervisor o jefe directo fomenta que nos apoyemos entre todos en el equipo]],#REF!,#REF!)</f>
        <v>#REF!</v>
      </c>
      <c r="N339" t="s">
        <v>23</v>
      </c>
      <c r="O339" t="e">
        <f>+_xlfn.XLOOKUP(tbl_encuesta[[#This Row],[Siento que mi trabajo es reconocido por mi supervisor o jefe directo.]],#REF!,#REF!)</f>
        <v>#REF!</v>
      </c>
      <c r="P339" t="s">
        <v>31</v>
      </c>
      <c r="Q339" t="e">
        <f xml:space="preserve">
_xlfn.XLOOKUP(
tbl_encuesta[[#This Row],[Mi supervisor o jefe directo nos brinda charlas de 5 minutos y comunica las novedades relevantes a mi puesto de trabajo]],#REF!,#REF!
)</f>
        <v>#REF!</v>
      </c>
      <c r="R339" t="s">
        <v>17</v>
      </c>
      <c r="S339" t="s">
        <v>18</v>
      </c>
      <c r="W339" t="s">
        <v>25</v>
      </c>
      <c r="X339" t="s">
        <v>23</v>
      </c>
      <c r="Y339" t="e">
        <f>+_xlfn.XLOOKUP(tbl_encuesta[[#This Row],[Considero a Limtek como un buen lugar para trabajar]],#REF!,#REF!)</f>
        <v>#REF!</v>
      </c>
      <c r="Z339" t="s">
        <v>915</v>
      </c>
      <c r="AA339" t="s">
        <v>916</v>
      </c>
      <c r="AB339" t="s">
        <v>567</v>
      </c>
      <c r="AC339" s="3" t="s">
        <v>3768</v>
      </c>
      <c r="AD339" s="3" t="s">
        <v>3768</v>
      </c>
      <c r="AE339" t="s">
        <v>61</v>
      </c>
    </row>
    <row r="340" spans="1:31" x14ac:dyDescent="0.25">
      <c r="A340">
        <v>119031320684</v>
      </c>
      <c r="B340">
        <v>462598545</v>
      </c>
      <c r="C340" s="1">
        <v>46027.72855324074</v>
      </c>
      <c r="D340" s="1">
        <v>46027.730208333334</v>
      </c>
      <c r="E340" t="s">
        <v>917</v>
      </c>
      <c r="F340" t="s">
        <v>23</v>
      </c>
      <c r="G340" t="e">
        <f>+_xlfn.XLOOKUP(tbl_encuesta[[#This Row],[Me siento a gusto con el ambiente de trabajo que se genera en mi equipo.]],#REF!,#REF!)</f>
        <v>#REF!</v>
      </c>
      <c r="H340" t="s">
        <v>23</v>
      </c>
      <c r="I340" t="e">
        <f>+_xlfn.XLOOKUP(tbl_encuesta[[#This Row],[Me siento motivado a dar lo mejor de mí y hacer un buen trabajo]],#REF!,#REF!)</f>
        <v>#REF!</v>
      </c>
      <c r="J340" t="s">
        <v>23</v>
      </c>
      <c r="K340" t="e">
        <f>+_xlfn.XLOOKUP(tbl_encuesta[[#This Row],[Mi supervisor o jefe directo me otorga el soporte que necesito para afrontar cualquier problema que afecte mi trabajo]],#REF!,#REF!)</f>
        <v>#REF!</v>
      </c>
      <c r="L340" t="s">
        <v>23</v>
      </c>
      <c r="M340" t="e">
        <f>+_xlfn.XLOOKUP(tbl_encuesta[[#This Row],[Mi supervisor o jefe directo fomenta que nos apoyemos entre todos en el equipo]],#REF!,#REF!)</f>
        <v>#REF!</v>
      </c>
      <c r="N340" t="s">
        <v>23</v>
      </c>
      <c r="O340" t="e">
        <f>+_xlfn.XLOOKUP(tbl_encuesta[[#This Row],[Siento que mi trabajo es reconocido por mi supervisor o jefe directo.]],#REF!,#REF!)</f>
        <v>#REF!</v>
      </c>
      <c r="P340" t="s">
        <v>67</v>
      </c>
      <c r="Q340" t="e">
        <f xml:space="preserve">
_xlfn.XLOOKUP(
tbl_encuesta[[#This Row],[Mi supervisor o jefe directo nos brinda charlas de 5 minutos y comunica las novedades relevantes a mi puesto de trabajo]],#REF!,#REF!
)</f>
        <v>#REF!</v>
      </c>
      <c r="R340" t="s">
        <v>17</v>
      </c>
      <c r="U340" t="s">
        <v>20</v>
      </c>
      <c r="W340" t="s">
        <v>25</v>
      </c>
      <c r="X340" t="s">
        <v>23</v>
      </c>
      <c r="Y340" t="e">
        <f>+_xlfn.XLOOKUP(tbl_encuesta[[#This Row],[Considero a Limtek como un buen lugar para trabajar]],#REF!,#REF!)</f>
        <v>#REF!</v>
      </c>
      <c r="Z340" t="s">
        <v>215</v>
      </c>
      <c r="AA340" t="s">
        <v>918</v>
      </c>
      <c r="AB340" t="s">
        <v>567</v>
      </c>
      <c r="AC340" s="3" t="s">
        <v>3610</v>
      </c>
      <c r="AD340" s="3" t="s">
        <v>3639</v>
      </c>
      <c r="AE340" t="s">
        <v>29</v>
      </c>
    </row>
    <row r="341" spans="1:31" x14ac:dyDescent="0.25">
      <c r="A341">
        <v>119031317851</v>
      </c>
      <c r="B341">
        <v>462598545</v>
      </c>
      <c r="C341" s="1">
        <v>46027.723807870374</v>
      </c>
      <c r="D341" s="1">
        <v>46027.725914351853</v>
      </c>
      <c r="E341" t="s">
        <v>919</v>
      </c>
      <c r="F341" t="s">
        <v>23</v>
      </c>
      <c r="G341" t="e">
        <f>+_xlfn.XLOOKUP(tbl_encuesta[[#This Row],[Me siento a gusto con el ambiente de trabajo que se genera en mi equipo.]],#REF!,#REF!)</f>
        <v>#REF!</v>
      </c>
      <c r="H341" t="s">
        <v>23</v>
      </c>
      <c r="I341" t="e">
        <f>+_xlfn.XLOOKUP(tbl_encuesta[[#This Row],[Me siento motivado a dar lo mejor de mí y hacer un buen trabajo]],#REF!,#REF!)</f>
        <v>#REF!</v>
      </c>
      <c r="J341" t="s">
        <v>23</v>
      </c>
      <c r="K341" t="e">
        <f>+_xlfn.XLOOKUP(tbl_encuesta[[#This Row],[Mi supervisor o jefe directo me otorga el soporte que necesito para afrontar cualquier problema que afecte mi trabajo]],#REF!,#REF!)</f>
        <v>#REF!</v>
      </c>
      <c r="L341" t="s">
        <v>23</v>
      </c>
      <c r="M341" t="e">
        <f>+_xlfn.XLOOKUP(tbl_encuesta[[#This Row],[Mi supervisor o jefe directo fomenta que nos apoyemos entre todos en el equipo]],#REF!,#REF!)</f>
        <v>#REF!</v>
      </c>
      <c r="N341" t="s">
        <v>22</v>
      </c>
      <c r="O341" t="e">
        <f>+_xlfn.XLOOKUP(tbl_encuesta[[#This Row],[Siento que mi trabajo es reconocido por mi supervisor o jefe directo.]],#REF!,#REF!)</f>
        <v>#REF!</v>
      </c>
      <c r="P341" t="s">
        <v>67</v>
      </c>
      <c r="Q341" t="e">
        <f xml:space="preserve">
_xlfn.XLOOKUP(
tbl_encuesta[[#This Row],[Mi supervisor o jefe directo nos brinda charlas de 5 minutos y comunica las novedades relevantes a mi puesto de trabajo]],#REF!,#REF!
)</f>
        <v>#REF!</v>
      </c>
      <c r="U341" t="s">
        <v>20</v>
      </c>
      <c r="W341" t="s">
        <v>25</v>
      </c>
      <c r="X341" t="s">
        <v>23</v>
      </c>
      <c r="Y341" t="e">
        <f>+_xlfn.XLOOKUP(tbl_encuesta[[#This Row],[Considero a Limtek como un buen lugar para trabajar]],#REF!,#REF!)</f>
        <v>#REF!</v>
      </c>
      <c r="Z341" t="s">
        <v>920</v>
      </c>
      <c r="AA341" t="s">
        <v>671</v>
      </c>
      <c r="AB341" t="s">
        <v>28</v>
      </c>
      <c r="AC341" s="3" t="s">
        <v>3845</v>
      </c>
      <c r="AD341" s="3" t="s">
        <v>3846</v>
      </c>
      <c r="AE341" t="s">
        <v>55</v>
      </c>
    </row>
    <row r="342" spans="1:31" x14ac:dyDescent="0.25">
      <c r="A342">
        <v>119031317271</v>
      </c>
      <c r="B342">
        <v>462598545</v>
      </c>
      <c r="C342" s="1">
        <v>46027.723541666666</v>
      </c>
      <c r="D342" s="1">
        <v>46027.725023148145</v>
      </c>
      <c r="E342" t="s">
        <v>884</v>
      </c>
      <c r="F342" t="s">
        <v>23</v>
      </c>
      <c r="G342" t="e">
        <f>+_xlfn.XLOOKUP(tbl_encuesta[[#This Row],[Me siento a gusto con el ambiente de trabajo que se genera en mi equipo.]],#REF!,#REF!)</f>
        <v>#REF!</v>
      </c>
      <c r="H342" t="s">
        <v>23</v>
      </c>
      <c r="I342" t="e">
        <f>+_xlfn.XLOOKUP(tbl_encuesta[[#This Row],[Me siento motivado a dar lo mejor de mí y hacer un buen trabajo]],#REF!,#REF!)</f>
        <v>#REF!</v>
      </c>
      <c r="J342" t="s">
        <v>23</v>
      </c>
      <c r="K342" t="e">
        <f>+_xlfn.XLOOKUP(tbl_encuesta[[#This Row],[Mi supervisor o jefe directo me otorga el soporte que necesito para afrontar cualquier problema que afecte mi trabajo]],#REF!,#REF!)</f>
        <v>#REF!</v>
      </c>
      <c r="L342" t="s">
        <v>23</v>
      </c>
      <c r="M342" t="e">
        <f>+_xlfn.XLOOKUP(tbl_encuesta[[#This Row],[Mi supervisor o jefe directo fomenta que nos apoyemos entre todos en el equipo]],#REF!,#REF!)</f>
        <v>#REF!</v>
      </c>
      <c r="N342" t="s">
        <v>23</v>
      </c>
      <c r="O342" t="e">
        <f>+_xlfn.XLOOKUP(tbl_encuesta[[#This Row],[Siento que mi trabajo es reconocido por mi supervisor o jefe directo.]],#REF!,#REF!)</f>
        <v>#REF!</v>
      </c>
      <c r="P342" t="s">
        <v>31</v>
      </c>
      <c r="Q342" t="e">
        <f xml:space="preserve">
_xlfn.XLOOKUP(
tbl_encuesta[[#This Row],[Mi supervisor o jefe directo nos brinda charlas de 5 minutos y comunica las novedades relevantes a mi puesto de trabajo]],#REF!,#REF!
)</f>
        <v>#REF!</v>
      </c>
      <c r="S342" t="s">
        <v>18</v>
      </c>
      <c r="W342" t="s">
        <v>46</v>
      </c>
      <c r="X342" t="s">
        <v>23</v>
      </c>
      <c r="Y342" t="e">
        <f>+_xlfn.XLOOKUP(tbl_encuesta[[#This Row],[Considero a Limtek como un buen lugar para trabajar]],#REF!,#REF!)</f>
        <v>#REF!</v>
      </c>
      <c r="Z342" t="s">
        <v>921</v>
      </c>
      <c r="AA342" t="s">
        <v>577</v>
      </c>
      <c r="AB342" t="s">
        <v>28</v>
      </c>
      <c r="AC342" t="s">
        <v>3744</v>
      </c>
      <c r="AD342" t="s">
        <v>3744</v>
      </c>
      <c r="AE342" t="s">
        <v>69</v>
      </c>
    </row>
    <row r="343" spans="1:31" x14ac:dyDescent="0.25">
      <c r="A343">
        <v>119031317151</v>
      </c>
      <c r="B343">
        <v>462598545</v>
      </c>
      <c r="C343" s="1">
        <v>46027.722280092596</v>
      </c>
      <c r="D343" s="1">
        <v>46027.724849537037</v>
      </c>
      <c r="E343" t="s">
        <v>922</v>
      </c>
      <c r="F343" t="s">
        <v>23</v>
      </c>
      <c r="G343" t="e">
        <f>+_xlfn.XLOOKUP(tbl_encuesta[[#This Row],[Me siento a gusto con el ambiente de trabajo que se genera en mi equipo.]],#REF!,#REF!)</f>
        <v>#REF!</v>
      </c>
      <c r="H343" t="s">
        <v>23</v>
      </c>
      <c r="I343" t="e">
        <f>+_xlfn.XLOOKUP(tbl_encuesta[[#This Row],[Me siento motivado a dar lo mejor de mí y hacer un buen trabajo]],#REF!,#REF!)</f>
        <v>#REF!</v>
      </c>
      <c r="J343" t="s">
        <v>22</v>
      </c>
      <c r="K343" t="e">
        <f>+_xlfn.XLOOKUP(tbl_encuesta[[#This Row],[Mi supervisor o jefe directo me otorga el soporte que necesito para afrontar cualquier problema que afecte mi trabajo]],#REF!,#REF!)</f>
        <v>#REF!</v>
      </c>
      <c r="L343" t="s">
        <v>22</v>
      </c>
      <c r="M343" t="e">
        <f>+_xlfn.XLOOKUP(tbl_encuesta[[#This Row],[Mi supervisor o jefe directo fomenta que nos apoyemos entre todos en el equipo]],#REF!,#REF!)</f>
        <v>#REF!</v>
      </c>
      <c r="N343" t="s">
        <v>22</v>
      </c>
      <c r="O343" t="e">
        <f>+_xlfn.XLOOKUP(tbl_encuesta[[#This Row],[Siento que mi trabajo es reconocido por mi supervisor o jefe directo.]],#REF!,#REF!)</f>
        <v>#REF!</v>
      </c>
      <c r="P343" t="s">
        <v>67</v>
      </c>
      <c r="Q343" t="e">
        <f xml:space="preserve">
_xlfn.XLOOKUP(
tbl_encuesta[[#This Row],[Mi supervisor o jefe directo nos brinda charlas de 5 minutos y comunica las novedades relevantes a mi puesto de trabajo]],#REF!,#REF!
)</f>
        <v>#REF!</v>
      </c>
      <c r="R343" t="s">
        <v>17</v>
      </c>
      <c r="T343" t="s">
        <v>19</v>
      </c>
      <c r="W343" t="s">
        <v>25</v>
      </c>
      <c r="X343" t="s">
        <v>23</v>
      </c>
      <c r="Y343" t="e">
        <f>+_xlfn.XLOOKUP(tbl_encuesta[[#This Row],[Considero a Limtek como un buen lugar para trabajar]],#REF!,#REF!)</f>
        <v>#REF!</v>
      </c>
      <c r="Z343" t="s">
        <v>923</v>
      </c>
      <c r="AA343" t="s">
        <v>924</v>
      </c>
      <c r="AB343" t="s">
        <v>567</v>
      </c>
      <c r="AC343" s="3" t="s">
        <v>3758</v>
      </c>
      <c r="AD343" s="3" t="s">
        <v>3788</v>
      </c>
      <c r="AE343" t="s">
        <v>34</v>
      </c>
    </row>
    <row r="344" spans="1:31" x14ac:dyDescent="0.25">
      <c r="A344">
        <v>119031315246</v>
      </c>
      <c r="B344">
        <v>462598545</v>
      </c>
      <c r="C344" s="1">
        <v>46027.710555555554</v>
      </c>
      <c r="D344" s="1">
        <v>46027.722187500003</v>
      </c>
      <c r="E344" t="s">
        <v>648</v>
      </c>
      <c r="F344" t="s">
        <v>23</v>
      </c>
      <c r="G344" t="e">
        <f>+_xlfn.XLOOKUP(tbl_encuesta[[#This Row],[Me siento a gusto con el ambiente de trabajo que se genera en mi equipo.]],#REF!,#REF!)</f>
        <v>#REF!</v>
      </c>
      <c r="H344" t="s">
        <v>23</v>
      </c>
      <c r="I344" t="e">
        <f>+_xlfn.XLOOKUP(tbl_encuesta[[#This Row],[Me siento motivado a dar lo mejor de mí y hacer un buen trabajo]],#REF!,#REF!)</f>
        <v>#REF!</v>
      </c>
      <c r="J344" t="s">
        <v>23</v>
      </c>
      <c r="K344" t="e">
        <f>+_xlfn.XLOOKUP(tbl_encuesta[[#This Row],[Mi supervisor o jefe directo me otorga el soporte que necesito para afrontar cualquier problema que afecte mi trabajo]],#REF!,#REF!)</f>
        <v>#REF!</v>
      </c>
      <c r="L344" t="s">
        <v>23</v>
      </c>
      <c r="M344" t="e">
        <f>+_xlfn.XLOOKUP(tbl_encuesta[[#This Row],[Mi supervisor o jefe directo fomenta que nos apoyemos entre todos en el equipo]],#REF!,#REF!)</f>
        <v>#REF!</v>
      </c>
      <c r="N344" t="s">
        <v>23</v>
      </c>
      <c r="O344" t="e">
        <f>+_xlfn.XLOOKUP(tbl_encuesta[[#This Row],[Siento que mi trabajo es reconocido por mi supervisor o jefe directo.]],#REF!,#REF!)</f>
        <v>#REF!</v>
      </c>
      <c r="P344" t="s">
        <v>31</v>
      </c>
      <c r="Q344" t="e">
        <f xml:space="preserve">
_xlfn.XLOOKUP(
tbl_encuesta[[#This Row],[Mi supervisor o jefe directo nos brinda charlas de 5 minutos y comunica las novedades relevantes a mi puesto de trabajo]],#REF!,#REF!
)</f>
        <v>#REF!</v>
      </c>
      <c r="R344" t="s">
        <v>17</v>
      </c>
      <c r="U344" t="s">
        <v>20</v>
      </c>
      <c r="W344" t="s">
        <v>25</v>
      </c>
      <c r="X344" t="s">
        <v>23</v>
      </c>
      <c r="Y344" t="e">
        <f>+_xlfn.XLOOKUP(tbl_encuesta[[#This Row],[Considero a Limtek como un buen lugar para trabajar]],#REF!,#REF!)</f>
        <v>#REF!</v>
      </c>
      <c r="Z344" t="s">
        <v>910</v>
      </c>
      <c r="AA344" t="s">
        <v>925</v>
      </c>
      <c r="AB344" t="s">
        <v>28</v>
      </c>
      <c r="AC344" s="3" t="s">
        <v>3845</v>
      </c>
      <c r="AD344" s="3" t="s">
        <v>3846</v>
      </c>
      <c r="AE344" t="s">
        <v>61</v>
      </c>
    </row>
    <row r="345" spans="1:31" x14ac:dyDescent="0.25">
      <c r="A345">
        <v>119031313285</v>
      </c>
      <c r="B345">
        <v>462598545</v>
      </c>
      <c r="C345" s="1">
        <v>46027.718148148146</v>
      </c>
      <c r="D345" s="1">
        <v>46027.719351851854</v>
      </c>
      <c r="E345" t="s">
        <v>926</v>
      </c>
      <c r="F345" t="s">
        <v>23</v>
      </c>
      <c r="G345" t="e">
        <f>+_xlfn.XLOOKUP(tbl_encuesta[[#This Row],[Me siento a gusto con el ambiente de trabajo que se genera en mi equipo.]],#REF!,#REF!)</f>
        <v>#REF!</v>
      </c>
      <c r="H345" t="s">
        <v>23</v>
      </c>
      <c r="I345" t="e">
        <f>+_xlfn.XLOOKUP(tbl_encuesta[[#This Row],[Me siento motivado a dar lo mejor de mí y hacer un buen trabajo]],#REF!,#REF!)</f>
        <v>#REF!</v>
      </c>
      <c r="J345" t="s">
        <v>23</v>
      </c>
      <c r="K345" t="e">
        <f>+_xlfn.XLOOKUP(tbl_encuesta[[#This Row],[Mi supervisor o jefe directo me otorga el soporte que necesito para afrontar cualquier problema que afecte mi trabajo]],#REF!,#REF!)</f>
        <v>#REF!</v>
      </c>
      <c r="L345" t="s">
        <v>23</v>
      </c>
      <c r="M345" t="e">
        <f>+_xlfn.XLOOKUP(tbl_encuesta[[#This Row],[Mi supervisor o jefe directo fomenta que nos apoyemos entre todos en el equipo]],#REF!,#REF!)</f>
        <v>#REF!</v>
      </c>
      <c r="N345" t="s">
        <v>23</v>
      </c>
      <c r="O345" t="e">
        <f>+_xlfn.XLOOKUP(tbl_encuesta[[#This Row],[Siento que mi trabajo es reconocido por mi supervisor o jefe directo.]],#REF!,#REF!)</f>
        <v>#REF!</v>
      </c>
      <c r="P345" t="s">
        <v>31</v>
      </c>
      <c r="Q345" t="e">
        <f xml:space="preserve">
_xlfn.XLOOKUP(
tbl_encuesta[[#This Row],[Mi supervisor o jefe directo nos brinda charlas de 5 minutos y comunica las novedades relevantes a mi puesto de trabajo]],#REF!,#REF!
)</f>
        <v>#REF!</v>
      </c>
      <c r="R345" t="s">
        <v>17</v>
      </c>
      <c r="S345" t="s">
        <v>18</v>
      </c>
      <c r="W345" t="s">
        <v>25</v>
      </c>
      <c r="X345" t="s">
        <v>23</v>
      </c>
      <c r="Y345" t="e">
        <f>+_xlfn.XLOOKUP(tbl_encuesta[[#This Row],[Considero a Limtek como un buen lugar para trabajar]],#REF!,#REF!)</f>
        <v>#REF!</v>
      </c>
      <c r="Z345" t="s">
        <v>927</v>
      </c>
      <c r="AA345" t="s">
        <v>928</v>
      </c>
      <c r="AB345" t="s">
        <v>767</v>
      </c>
      <c r="AC345" s="3" t="s">
        <v>3819</v>
      </c>
      <c r="AD345" s="3" t="s">
        <v>3819</v>
      </c>
      <c r="AE345" t="s">
        <v>34</v>
      </c>
    </row>
    <row r="346" spans="1:31" x14ac:dyDescent="0.25">
      <c r="A346">
        <v>119031313219</v>
      </c>
      <c r="B346">
        <v>462598545</v>
      </c>
      <c r="C346" s="1">
        <v>46027.71162037037</v>
      </c>
      <c r="D346" s="1">
        <v>46027.719270833331</v>
      </c>
      <c r="E346" t="s">
        <v>929</v>
      </c>
      <c r="F346" t="s">
        <v>23</v>
      </c>
      <c r="G346" t="e">
        <f>+_xlfn.XLOOKUP(tbl_encuesta[[#This Row],[Me siento a gusto con el ambiente de trabajo que se genera en mi equipo.]],#REF!,#REF!)</f>
        <v>#REF!</v>
      </c>
      <c r="H346" t="s">
        <v>23</v>
      </c>
      <c r="I346" t="e">
        <f>+_xlfn.XLOOKUP(tbl_encuesta[[#This Row],[Me siento motivado a dar lo mejor de mí y hacer un buen trabajo]],#REF!,#REF!)</f>
        <v>#REF!</v>
      </c>
      <c r="J346" t="s">
        <v>22</v>
      </c>
      <c r="K346" t="e">
        <f>+_xlfn.XLOOKUP(tbl_encuesta[[#This Row],[Mi supervisor o jefe directo me otorga el soporte que necesito para afrontar cualquier problema que afecte mi trabajo]],#REF!,#REF!)</f>
        <v>#REF!</v>
      </c>
      <c r="L346" t="s">
        <v>22</v>
      </c>
      <c r="M346" t="e">
        <f>+_xlfn.XLOOKUP(tbl_encuesta[[#This Row],[Mi supervisor o jefe directo fomenta que nos apoyemos entre todos en el equipo]],#REF!,#REF!)</f>
        <v>#REF!</v>
      </c>
      <c r="N346" t="s">
        <v>23</v>
      </c>
      <c r="O346" t="e">
        <f>+_xlfn.XLOOKUP(tbl_encuesta[[#This Row],[Siento que mi trabajo es reconocido por mi supervisor o jefe directo.]],#REF!,#REF!)</f>
        <v>#REF!</v>
      </c>
      <c r="P346" t="s">
        <v>175</v>
      </c>
      <c r="Q346" t="e">
        <f xml:space="preserve">
_xlfn.XLOOKUP(
tbl_encuesta[[#This Row],[Mi supervisor o jefe directo nos brinda charlas de 5 minutos y comunica las novedades relevantes a mi puesto de trabajo]],#REF!,#REF!
)</f>
        <v>#REF!</v>
      </c>
      <c r="R346" t="s">
        <v>17</v>
      </c>
      <c r="S346" t="s">
        <v>18</v>
      </c>
      <c r="W346" t="s">
        <v>25</v>
      </c>
      <c r="X346" t="s">
        <v>22</v>
      </c>
      <c r="Y346" t="e">
        <f>+_xlfn.XLOOKUP(tbl_encuesta[[#This Row],[Considero a Limtek como un buen lugar para trabajar]],#REF!,#REF!)</f>
        <v>#REF!</v>
      </c>
      <c r="Z346" t="s">
        <v>930</v>
      </c>
      <c r="AA346" t="s">
        <v>931</v>
      </c>
      <c r="AB346" t="s">
        <v>567</v>
      </c>
      <c r="AC346" s="3" t="s">
        <v>3758</v>
      </c>
      <c r="AD346" s="3" t="s">
        <v>3787</v>
      </c>
      <c r="AE346" t="s">
        <v>34</v>
      </c>
    </row>
    <row r="347" spans="1:31" x14ac:dyDescent="0.25">
      <c r="A347">
        <v>119031310887</v>
      </c>
      <c r="B347">
        <v>462598545</v>
      </c>
      <c r="C347" s="1">
        <v>46027.713472222225</v>
      </c>
      <c r="D347" s="1">
        <v>46027.715914351851</v>
      </c>
      <c r="E347" t="s">
        <v>926</v>
      </c>
      <c r="F347" t="s">
        <v>23</v>
      </c>
      <c r="G347" t="e">
        <f>+_xlfn.XLOOKUP(tbl_encuesta[[#This Row],[Me siento a gusto con el ambiente de trabajo que se genera en mi equipo.]],#REF!,#REF!)</f>
        <v>#REF!</v>
      </c>
      <c r="H347" t="s">
        <v>23</v>
      </c>
      <c r="I347" t="e">
        <f>+_xlfn.XLOOKUP(tbl_encuesta[[#This Row],[Me siento motivado a dar lo mejor de mí y hacer un buen trabajo]],#REF!,#REF!)</f>
        <v>#REF!</v>
      </c>
      <c r="J347" t="s">
        <v>23</v>
      </c>
      <c r="K347" t="e">
        <f>+_xlfn.XLOOKUP(tbl_encuesta[[#This Row],[Mi supervisor o jefe directo me otorga el soporte que necesito para afrontar cualquier problema que afecte mi trabajo]],#REF!,#REF!)</f>
        <v>#REF!</v>
      </c>
      <c r="L347" t="s">
        <v>23</v>
      </c>
      <c r="M347" t="e">
        <f>+_xlfn.XLOOKUP(tbl_encuesta[[#This Row],[Mi supervisor o jefe directo fomenta que nos apoyemos entre todos en el equipo]],#REF!,#REF!)</f>
        <v>#REF!</v>
      </c>
      <c r="N347" t="s">
        <v>23</v>
      </c>
      <c r="O347" t="e">
        <f>+_xlfn.XLOOKUP(tbl_encuesta[[#This Row],[Siento que mi trabajo es reconocido por mi supervisor o jefe directo.]],#REF!,#REF!)</f>
        <v>#REF!</v>
      </c>
      <c r="P347" t="s">
        <v>31</v>
      </c>
      <c r="Q347" t="e">
        <f xml:space="preserve">
_xlfn.XLOOKUP(
tbl_encuesta[[#This Row],[Mi supervisor o jefe directo nos brinda charlas de 5 minutos y comunica las novedades relevantes a mi puesto de trabajo]],#REF!,#REF!
)</f>
        <v>#REF!</v>
      </c>
      <c r="R347" t="s">
        <v>17</v>
      </c>
      <c r="S347" t="s">
        <v>18</v>
      </c>
      <c r="W347" t="s">
        <v>25</v>
      </c>
      <c r="X347" t="s">
        <v>23</v>
      </c>
      <c r="Y347" t="e">
        <f>+_xlfn.XLOOKUP(tbl_encuesta[[#This Row],[Considero a Limtek como un buen lugar para trabajar]],#REF!,#REF!)</f>
        <v>#REF!</v>
      </c>
      <c r="Z347" t="s">
        <v>932</v>
      </c>
      <c r="AA347" t="s">
        <v>933</v>
      </c>
      <c r="AB347" t="s">
        <v>767</v>
      </c>
      <c r="AC347" s="3" t="s">
        <v>3819</v>
      </c>
      <c r="AD347" s="3" t="s">
        <v>3819</v>
      </c>
      <c r="AE347" t="s">
        <v>34</v>
      </c>
    </row>
    <row r="348" spans="1:31" x14ac:dyDescent="0.25">
      <c r="A348">
        <v>119031310689</v>
      </c>
      <c r="B348">
        <v>462598545</v>
      </c>
      <c r="C348" s="1">
        <v>46027.714375000003</v>
      </c>
      <c r="D348" s="1">
        <v>46027.715613425928</v>
      </c>
      <c r="E348" t="s">
        <v>934</v>
      </c>
      <c r="F348" t="s">
        <v>23</v>
      </c>
      <c r="G348" t="e">
        <f>+_xlfn.XLOOKUP(tbl_encuesta[[#This Row],[Me siento a gusto con el ambiente de trabajo que se genera en mi equipo.]],#REF!,#REF!)</f>
        <v>#REF!</v>
      </c>
      <c r="H348" t="s">
        <v>23</v>
      </c>
      <c r="I348" t="e">
        <f>+_xlfn.XLOOKUP(tbl_encuesta[[#This Row],[Me siento motivado a dar lo mejor de mí y hacer un buen trabajo]],#REF!,#REF!)</f>
        <v>#REF!</v>
      </c>
      <c r="J348" t="s">
        <v>23</v>
      </c>
      <c r="K348" t="e">
        <f>+_xlfn.XLOOKUP(tbl_encuesta[[#This Row],[Mi supervisor o jefe directo me otorga el soporte que necesito para afrontar cualquier problema que afecte mi trabajo]],#REF!,#REF!)</f>
        <v>#REF!</v>
      </c>
      <c r="L348" t="s">
        <v>23</v>
      </c>
      <c r="M348" t="e">
        <f>+_xlfn.XLOOKUP(tbl_encuesta[[#This Row],[Mi supervisor o jefe directo fomenta que nos apoyemos entre todos en el equipo]],#REF!,#REF!)</f>
        <v>#REF!</v>
      </c>
      <c r="N348" t="s">
        <v>22</v>
      </c>
      <c r="O348" t="e">
        <f>+_xlfn.XLOOKUP(tbl_encuesta[[#This Row],[Siento que mi trabajo es reconocido por mi supervisor o jefe directo.]],#REF!,#REF!)</f>
        <v>#REF!</v>
      </c>
      <c r="P348" t="s">
        <v>67</v>
      </c>
      <c r="Q348" t="e">
        <f xml:space="preserve">
_xlfn.XLOOKUP(
tbl_encuesta[[#This Row],[Mi supervisor o jefe directo nos brinda charlas de 5 minutos y comunica las novedades relevantes a mi puesto de trabajo]],#REF!,#REF!
)</f>
        <v>#REF!</v>
      </c>
      <c r="R348" t="s">
        <v>17</v>
      </c>
      <c r="U348" t="s">
        <v>20</v>
      </c>
      <c r="W348" t="s">
        <v>25</v>
      </c>
      <c r="X348" t="s">
        <v>23</v>
      </c>
      <c r="Y348" t="e">
        <f>+_xlfn.XLOOKUP(tbl_encuesta[[#This Row],[Considero a Limtek como un buen lugar para trabajar]],#REF!,#REF!)</f>
        <v>#REF!</v>
      </c>
      <c r="Z348" t="s">
        <v>935</v>
      </c>
      <c r="AA348" t="s">
        <v>936</v>
      </c>
      <c r="AB348" t="s">
        <v>553</v>
      </c>
      <c r="AC348" s="3" t="s">
        <v>3755</v>
      </c>
      <c r="AD348" s="3" t="s">
        <v>3755</v>
      </c>
      <c r="AE348" t="s">
        <v>55</v>
      </c>
    </row>
    <row r="349" spans="1:31" x14ac:dyDescent="0.25">
      <c r="A349">
        <v>119031310385</v>
      </c>
      <c r="B349">
        <v>462598545</v>
      </c>
      <c r="C349" s="1">
        <v>46027.713622685187</v>
      </c>
      <c r="D349" s="1">
        <v>46027.715162037035</v>
      </c>
      <c r="E349" t="s">
        <v>874</v>
      </c>
      <c r="F349" t="s">
        <v>23</v>
      </c>
      <c r="G349" t="e">
        <f>+_xlfn.XLOOKUP(tbl_encuesta[[#This Row],[Me siento a gusto con el ambiente de trabajo que se genera en mi equipo.]],#REF!,#REF!)</f>
        <v>#REF!</v>
      </c>
      <c r="H349" t="s">
        <v>22</v>
      </c>
      <c r="I349" t="e">
        <f>+_xlfn.XLOOKUP(tbl_encuesta[[#This Row],[Me siento motivado a dar lo mejor de mí y hacer un buen trabajo]],#REF!,#REF!)</f>
        <v>#REF!</v>
      </c>
      <c r="J349" t="s">
        <v>22</v>
      </c>
      <c r="K349" t="e">
        <f>+_xlfn.XLOOKUP(tbl_encuesta[[#This Row],[Mi supervisor o jefe directo me otorga el soporte que necesito para afrontar cualquier problema que afecte mi trabajo]],#REF!,#REF!)</f>
        <v>#REF!</v>
      </c>
      <c r="L349" t="s">
        <v>22</v>
      </c>
      <c r="M349" t="e">
        <f>+_xlfn.XLOOKUP(tbl_encuesta[[#This Row],[Mi supervisor o jefe directo fomenta que nos apoyemos entre todos en el equipo]],#REF!,#REF!)</f>
        <v>#REF!</v>
      </c>
      <c r="N349" t="s">
        <v>22</v>
      </c>
      <c r="O349" t="e">
        <f>+_xlfn.XLOOKUP(tbl_encuesta[[#This Row],[Siento que mi trabajo es reconocido por mi supervisor o jefe directo.]],#REF!,#REF!)</f>
        <v>#REF!</v>
      </c>
      <c r="P349" t="s">
        <v>24</v>
      </c>
      <c r="Q349" t="e">
        <f xml:space="preserve">
_xlfn.XLOOKUP(
tbl_encuesta[[#This Row],[Mi supervisor o jefe directo nos brinda charlas de 5 minutos y comunica las novedades relevantes a mi puesto de trabajo]],#REF!,#REF!
)</f>
        <v>#REF!</v>
      </c>
      <c r="R349" t="s">
        <v>17</v>
      </c>
      <c r="W349" t="s">
        <v>46</v>
      </c>
      <c r="X349" t="s">
        <v>23</v>
      </c>
      <c r="Y349" t="e">
        <f>+_xlfn.XLOOKUP(tbl_encuesta[[#This Row],[Considero a Limtek como un buen lugar para trabajar]],#REF!,#REF!)</f>
        <v>#REF!</v>
      </c>
      <c r="Z349" t="s">
        <v>98</v>
      </c>
      <c r="AA349" t="s">
        <v>99</v>
      </c>
      <c r="AB349" t="s">
        <v>28</v>
      </c>
      <c r="AC349" s="3" t="s">
        <v>3768</v>
      </c>
      <c r="AD349" s="3" t="s">
        <v>3768</v>
      </c>
      <c r="AE349" t="s">
        <v>61</v>
      </c>
    </row>
    <row r="350" spans="1:31" x14ac:dyDescent="0.25">
      <c r="A350">
        <v>119031310336</v>
      </c>
      <c r="B350">
        <v>462598545</v>
      </c>
      <c r="C350" s="1">
        <v>46027.71197916667</v>
      </c>
      <c r="D350" s="1">
        <v>46027.715092592596</v>
      </c>
      <c r="E350" t="s">
        <v>937</v>
      </c>
      <c r="F350" t="s">
        <v>23</v>
      </c>
      <c r="G350" t="e">
        <f>+_xlfn.XLOOKUP(tbl_encuesta[[#This Row],[Me siento a gusto con el ambiente de trabajo que se genera en mi equipo.]],#REF!,#REF!)</f>
        <v>#REF!</v>
      </c>
      <c r="H350" t="s">
        <v>23</v>
      </c>
      <c r="I350" t="e">
        <f>+_xlfn.XLOOKUP(tbl_encuesta[[#This Row],[Me siento motivado a dar lo mejor de mí y hacer un buen trabajo]],#REF!,#REF!)</f>
        <v>#REF!</v>
      </c>
      <c r="J350" t="s">
        <v>23</v>
      </c>
      <c r="K350" t="e">
        <f>+_xlfn.XLOOKUP(tbl_encuesta[[#This Row],[Mi supervisor o jefe directo me otorga el soporte que necesito para afrontar cualquier problema que afecte mi trabajo]],#REF!,#REF!)</f>
        <v>#REF!</v>
      </c>
      <c r="L350" t="s">
        <v>23</v>
      </c>
      <c r="M350" t="e">
        <f>+_xlfn.XLOOKUP(tbl_encuesta[[#This Row],[Mi supervisor o jefe directo fomenta que nos apoyemos entre todos en el equipo]],#REF!,#REF!)</f>
        <v>#REF!</v>
      </c>
      <c r="N350" t="s">
        <v>23</v>
      </c>
      <c r="O350" t="e">
        <f>+_xlfn.XLOOKUP(tbl_encuesta[[#This Row],[Siento que mi trabajo es reconocido por mi supervisor o jefe directo.]],#REF!,#REF!)</f>
        <v>#REF!</v>
      </c>
      <c r="P350" t="s">
        <v>31</v>
      </c>
      <c r="Q350" t="e">
        <f xml:space="preserve">
_xlfn.XLOOKUP(
tbl_encuesta[[#This Row],[Mi supervisor o jefe directo nos brinda charlas de 5 minutos y comunica las novedades relevantes a mi puesto de trabajo]],#REF!,#REF!
)</f>
        <v>#REF!</v>
      </c>
      <c r="R350" t="s">
        <v>17</v>
      </c>
      <c r="S350" t="s">
        <v>18</v>
      </c>
      <c r="W350" t="s">
        <v>25</v>
      </c>
      <c r="X350" t="s">
        <v>23</v>
      </c>
      <c r="Y350" t="e">
        <f>+_xlfn.XLOOKUP(tbl_encuesta[[#This Row],[Considero a Limtek como un buen lugar para trabajar]],#REF!,#REF!)</f>
        <v>#REF!</v>
      </c>
      <c r="Z350" t="s">
        <v>938</v>
      </c>
      <c r="AA350" t="s">
        <v>53</v>
      </c>
      <c r="AB350" t="s">
        <v>883</v>
      </c>
      <c r="AC350" s="3" t="s">
        <v>3716</v>
      </c>
      <c r="AD350" s="3" t="s">
        <v>3719</v>
      </c>
      <c r="AE350" t="s">
        <v>69</v>
      </c>
    </row>
    <row r="351" spans="1:31" x14ac:dyDescent="0.25">
      <c r="A351">
        <v>119031310089</v>
      </c>
      <c r="B351">
        <v>462598545</v>
      </c>
      <c r="C351" s="1">
        <v>46027.713275462964</v>
      </c>
      <c r="D351" s="1">
        <v>46027.714768518519</v>
      </c>
      <c r="E351" t="s">
        <v>939</v>
      </c>
      <c r="F351" t="s">
        <v>22</v>
      </c>
      <c r="G351" t="e">
        <f>+_xlfn.XLOOKUP(tbl_encuesta[[#This Row],[Me siento a gusto con el ambiente de trabajo que se genera en mi equipo.]],#REF!,#REF!)</f>
        <v>#REF!</v>
      </c>
      <c r="H351" t="s">
        <v>97</v>
      </c>
      <c r="I351" t="e">
        <f>+_xlfn.XLOOKUP(tbl_encuesta[[#This Row],[Me siento motivado a dar lo mejor de mí y hacer un buen trabajo]],#REF!,#REF!)</f>
        <v>#REF!</v>
      </c>
      <c r="J351" t="s">
        <v>22</v>
      </c>
      <c r="K351" t="e">
        <f>+_xlfn.XLOOKUP(tbl_encuesta[[#This Row],[Mi supervisor o jefe directo me otorga el soporte que necesito para afrontar cualquier problema que afecte mi trabajo]],#REF!,#REF!)</f>
        <v>#REF!</v>
      </c>
      <c r="L351" t="s">
        <v>23</v>
      </c>
      <c r="M351" t="e">
        <f>+_xlfn.XLOOKUP(tbl_encuesta[[#This Row],[Mi supervisor o jefe directo fomenta que nos apoyemos entre todos en el equipo]],#REF!,#REF!)</f>
        <v>#REF!</v>
      </c>
      <c r="N351" t="s">
        <v>22</v>
      </c>
      <c r="O351" t="e">
        <f>+_xlfn.XLOOKUP(tbl_encuesta[[#This Row],[Siento que mi trabajo es reconocido por mi supervisor o jefe directo.]],#REF!,#REF!)</f>
        <v>#REF!</v>
      </c>
      <c r="P351" t="s">
        <v>67</v>
      </c>
      <c r="Q351" t="e">
        <f xml:space="preserve">
_xlfn.XLOOKUP(
tbl_encuesta[[#This Row],[Mi supervisor o jefe directo nos brinda charlas de 5 minutos y comunica las novedades relevantes a mi puesto de trabajo]],#REF!,#REF!
)</f>
        <v>#REF!</v>
      </c>
      <c r="S351" t="s">
        <v>18</v>
      </c>
      <c r="W351" t="s">
        <v>25</v>
      </c>
      <c r="X351" t="s">
        <v>23</v>
      </c>
      <c r="Y351" t="e">
        <f>+_xlfn.XLOOKUP(tbl_encuesta[[#This Row],[Considero a Limtek como un buen lugar para trabajar]],#REF!,#REF!)</f>
        <v>#REF!</v>
      </c>
      <c r="Z351" t="s">
        <v>940</v>
      </c>
      <c r="AA351" t="s">
        <v>941</v>
      </c>
      <c r="AB351" t="s">
        <v>563</v>
      </c>
      <c r="AC351" s="3" t="s">
        <v>3831</v>
      </c>
      <c r="AD351" s="3" t="s">
        <v>3831</v>
      </c>
      <c r="AE351" t="s">
        <v>29</v>
      </c>
    </row>
    <row r="352" spans="1:31" x14ac:dyDescent="0.25">
      <c r="A352">
        <v>119031309693</v>
      </c>
      <c r="B352">
        <v>462598545</v>
      </c>
      <c r="C352" s="1">
        <v>46027.711111111108</v>
      </c>
      <c r="D352" s="1">
        <v>46027.714189814818</v>
      </c>
      <c r="E352" t="s">
        <v>942</v>
      </c>
      <c r="F352" t="s">
        <v>23</v>
      </c>
      <c r="G352" t="e">
        <f>+_xlfn.XLOOKUP(tbl_encuesta[[#This Row],[Me siento a gusto con el ambiente de trabajo que se genera en mi equipo.]],#REF!,#REF!)</f>
        <v>#REF!</v>
      </c>
      <c r="H352" t="s">
        <v>23</v>
      </c>
      <c r="I352" t="e">
        <f>+_xlfn.XLOOKUP(tbl_encuesta[[#This Row],[Me siento motivado a dar lo mejor de mí y hacer un buen trabajo]],#REF!,#REF!)</f>
        <v>#REF!</v>
      </c>
      <c r="J352" t="s">
        <v>22</v>
      </c>
      <c r="K352" t="e">
        <f>+_xlfn.XLOOKUP(tbl_encuesta[[#This Row],[Mi supervisor o jefe directo me otorga el soporte que necesito para afrontar cualquier problema que afecte mi trabajo]],#REF!,#REF!)</f>
        <v>#REF!</v>
      </c>
      <c r="L352" t="s">
        <v>23</v>
      </c>
      <c r="M352" t="e">
        <f>+_xlfn.XLOOKUP(tbl_encuesta[[#This Row],[Mi supervisor o jefe directo fomenta que nos apoyemos entre todos en el equipo]],#REF!,#REF!)</f>
        <v>#REF!</v>
      </c>
      <c r="N352" t="s">
        <v>23</v>
      </c>
      <c r="O352" t="e">
        <f>+_xlfn.XLOOKUP(tbl_encuesta[[#This Row],[Siento que mi trabajo es reconocido por mi supervisor o jefe directo.]],#REF!,#REF!)</f>
        <v>#REF!</v>
      </c>
      <c r="P352" t="s">
        <v>31</v>
      </c>
      <c r="Q352" t="e">
        <f xml:space="preserve">
_xlfn.XLOOKUP(
tbl_encuesta[[#This Row],[Mi supervisor o jefe directo nos brinda charlas de 5 minutos y comunica las novedades relevantes a mi puesto de trabajo]],#REF!,#REF!
)</f>
        <v>#REF!</v>
      </c>
      <c r="R352" t="s">
        <v>17</v>
      </c>
      <c r="T352" t="s">
        <v>19</v>
      </c>
      <c r="W352" t="s">
        <v>25</v>
      </c>
      <c r="X352" t="s">
        <v>23</v>
      </c>
      <c r="Y352" t="e">
        <f>+_xlfn.XLOOKUP(tbl_encuesta[[#This Row],[Considero a Limtek como un buen lugar para trabajar]],#REF!,#REF!)</f>
        <v>#REF!</v>
      </c>
      <c r="Z352" t="s">
        <v>943</v>
      </c>
      <c r="AA352" t="s">
        <v>944</v>
      </c>
      <c r="AB352" t="s">
        <v>563</v>
      </c>
      <c r="AC352" s="3" t="s">
        <v>3610</v>
      </c>
      <c r="AD352" s="3" t="s">
        <v>3610</v>
      </c>
      <c r="AE352" t="s">
        <v>29</v>
      </c>
    </row>
    <row r="353" spans="1:31" x14ac:dyDescent="0.25">
      <c r="A353">
        <v>119031309200</v>
      </c>
      <c r="B353">
        <v>462598545</v>
      </c>
      <c r="C353" s="1">
        <v>46027.706157407411</v>
      </c>
      <c r="D353" s="1">
        <v>46027.713564814818</v>
      </c>
      <c r="E353" t="s">
        <v>945</v>
      </c>
      <c r="F353" t="s">
        <v>23</v>
      </c>
      <c r="G353" t="e">
        <f>+_xlfn.XLOOKUP(tbl_encuesta[[#This Row],[Me siento a gusto con el ambiente de trabajo que se genera en mi equipo.]],#REF!,#REF!)</f>
        <v>#REF!</v>
      </c>
      <c r="H353" t="s">
        <v>23</v>
      </c>
      <c r="I353" t="e">
        <f>+_xlfn.XLOOKUP(tbl_encuesta[[#This Row],[Me siento motivado a dar lo mejor de mí y hacer un buen trabajo]],#REF!,#REF!)</f>
        <v>#REF!</v>
      </c>
      <c r="J353" t="s">
        <v>23</v>
      </c>
      <c r="K353" t="e">
        <f>+_xlfn.XLOOKUP(tbl_encuesta[[#This Row],[Mi supervisor o jefe directo me otorga el soporte que necesito para afrontar cualquier problema que afecte mi trabajo]],#REF!,#REF!)</f>
        <v>#REF!</v>
      </c>
      <c r="L353" t="s">
        <v>23</v>
      </c>
      <c r="M353" t="e">
        <f>+_xlfn.XLOOKUP(tbl_encuesta[[#This Row],[Mi supervisor o jefe directo fomenta que nos apoyemos entre todos en el equipo]],#REF!,#REF!)</f>
        <v>#REF!</v>
      </c>
      <c r="N353" t="s">
        <v>23</v>
      </c>
      <c r="O353" t="e">
        <f>+_xlfn.XLOOKUP(tbl_encuesta[[#This Row],[Siento que mi trabajo es reconocido por mi supervisor o jefe directo.]],#REF!,#REF!)</f>
        <v>#REF!</v>
      </c>
      <c r="P353" t="s">
        <v>31</v>
      </c>
      <c r="Q353" t="e">
        <f xml:space="preserve">
_xlfn.XLOOKUP(
tbl_encuesta[[#This Row],[Mi supervisor o jefe directo nos brinda charlas de 5 minutos y comunica las novedades relevantes a mi puesto de trabajo]],#REF!,#REF!
)</f>
        <v>#REF!</v>
      </c>
      <c r="R353" t="s">
        <v>17</v>
      </c>
      <c r="S353" t="s">
        <v>18</v>
      </c>
      <c r="W353" t="s">
        <v>25</v>
      </c>
      <c r="X353" t="s">
        <v>23</v>
      </c>
      <c r="Y353" t="e">
        <f>+_xlfn.XLOOKUP(tbl_encuesta[[#This Row],[Considero a Limtek como un buen lugar para trabajar]],#REF!,#REF!)</f>
        <v>#REF!</v>
      </c>
      <c r="Z353" t="s">
        <v>946</v>
      </c>
      <c r="AA353" t="s">
        <v>947</v>
      </c>
      <c r="AB353" t="s">
        <v>567</v>
      </c>
      <c r="AC353" s="3" t="s">
        <v>3610</v>
      </c>
      <c r="AD353" s="3" t="s">
        <v>3610</v>
      </c>
      <c r="AE353" t="s">
        <v>34</v>
      </c>
    </row>
    <row r="354" spans="1:31" x14ac:dyDescent="0.25">
      <c r="A354">
        <v>119031308913</v>
      </c>
      <c r="B354">
        <v>462598545</v>
      </c>
      <c r="C354" s="1">
        <v>46027.710162037038</v>
      </c>
      <c r="D354" s="1">
        <v>46027.713090277779</v>
      </c>
      <c r="E354" t="s">
        <v>948</v>
      </c>
      <c r="F354" t="s">
        <v>23</v>
      </c>
      <c r="G354" t="e">
        <f>+_xlfn.XLOOKUP(tbl_encuesta[[#This Row],[Me siento a gusto con el ambiente de trabajo que se genera en mi equipo.]],#REF!,#REF!)</f>
        <v>#REF!</v>
      </c>
      <c r="H354" t="s">
        <v>23</v>
      </c>
      <c r="I354" t="e">
        <f>+_xlfn.XLOOKUP(tbl_encuesta[[#This Row],[Me siento motivado a dar lo mejor de mí y hacer un buen trabajo]],#REF!,#REF!)</f>
        <v>#REF!</v>
      </c>
      <c r="J354" t="s">
        <v>23</v>
      </c>
      <c r="K354" t="e">
        <f>+_xlfn.XLOOKUP(tbl_encuesta[[#This Row],[Mi supervisor o jefe directo me otorga el soporte que necesito para afrontar cualquier problema que afecte mi trabajo]],#REF!,#REF!)</f>
        <v>#REF!</v>
      </c>
      <c r="L354" t="s">
        <v>23</v>
      </c>
      <c r="M354" t="e">
        <f>+_xlfn.XLOOKUP(tbl_encuesta[[#This Row],[Mi supervisor o jefe directo fomenta que nos apoyemos entre todos en el equipo]],#REF!,#REF!)</f>
        <v>#REF!</v>
      </c>
      <c r="N354" t="s">
        <v>23</v>
      </c>
      <c r="O354" t="e">
        <f>+_xlfn.XLOOKUP(tbl_encuesta[[#This Row],[Siento que mi trabajo es reconocido por mi supervisor o jefe directo.]],#REF!,#REF!)</f>
        <v>#REF!</v>
      </c>
      <c r="P354" t="s">
        <v>67</v>
      </c>
      <c r="Q354" t="e">
        <f xml:space="preserve">
_xlfn.XLOOKUP(
tbl_encuesta[[#This Row],[Mi supervisor o jefe directo nos brinda charlas de 5 minutos y comunica las novedades relevantes a mi puesto de trabajo]],#REF!,#REF!
)</f>
        <v>#REF!</v>
      </c>
      <c r="R354" t="s">
        <v>17</v>
      </c>
      <c r="T354" t="s">
        <v>19</v>
      </c>
      <c r="W354" t="s">
        <v>25</v>
      </c>
      <c r="X354" t="s">
        <v>23</v>
      </c>
      <c r="Y354" t="e">
        <f>+_xlfn.XLOOKUP(tbl_encuesta[[#This Row],[Considero a Limtek como un buen lugar para trabajar]],#REF!,#REF!)</f>
        <v>#REF!</v>
      </c>
      <c r="Z354" t="s">
        <v>949</v>
      </c>
      <c r="AA354" t="s">
        <v>950</v>
      </c>
      <c r="AB354" t="s">
        <v>619</v>
      </c>
      <c r="AC354" t="s">
        <v>3592</v>
      </c>
      <c r="AD354" t="s">
        <v>951</v>
      </c>
      <c r="AE354" t="s">
        <v>69</v>
      </c>
    </row>
    <row r="355" spans="1:31" x14ac:dyDescent="0.25">
      <c r="A355">
        <v>119031308882</v>
      </c>
      <c r="B355">
        <v>462598545</v>
      </c>
      <c r="C355" s="1">
        <v>46027.708831018521</v>
      </c>
      <c r="D355" s="1">
        <v>46027.71303240741</v>
      </c>
      <c r="E355" t="s">
        <v>939</v>
      </c>
      <c r="F355" t="s">
        <v>22</v>
      </c>
      <c r="G355" t="e">
        <f>+_xlfn.XLOOKUP(tbl_encuesta[[#This Row],[Me siento a gusto con el ambiente de trabajo que se genera en mi equipo.]],#REF!,#REF!)</f>
        <v>#REF!</v>
      </c>
      <c r="H355" t="s">
        <v>23</v>
      </c>
      <c r="I355" t="e">
        <f>+_xlfn.XLOOKUP(tbl_encuesta[[#This Row],[Me siento motivado a dar lo mejor de mí y hacer un buen trabajo]],#REF!,#REF!)</f>
        <v>#REF!</v>
      </c>
      <c r="J355" t="s">
        <v>23</v>
      </c>
      <c r="K355" t="e">
        <f>+_xlfn.XLOOKUP(tbl_encuesta[[#This Row],[Mi supervisor o jefe directo me otorga el soporte que necesito para afrontar cualquier problema que afecte mi trabajo]],#REF!,#REF!)</f>
        <v>#REF!</v>
      </c>
      <c r="L355" t="s">
        <v>23</v>
      </c>
      <c r="M355" t="e">
        <f>+_xlfn.XLOOKUP(tbl_encuesta[[#This Row],[Mi supervisor o jefe directo fomenta que nos apoyemos entre todos en el equipo]],#REF!,#REF!)</f>
        <v>#REF!</v>
      </c>
      <c r="N355" t="s">
        <v>22</v>
      </c>
      <c r="O355" t="e">
        <f>+_xlfn.XLOOKUP(tbl_encuesta[[#This Row],[Siento que mi trabajo es reconocido por mi supervisor o jefe directo.]],#REF!,#REF!)</f>
        <v>#REF!</v>
      </c>
      <c r="P355" t="s">
        <v>67</v>
      </c>
      <c r="Q355" t="e">
        <f xml:space="preserve">
_xlfn.XLOOKUP(
tbl_encuesta[[#This Row],[Mi supervisor o jefe directo nos brinda charlas de 5 minutos y comunica las novedades relevantes a mi puesto de trabajo]],#REF!,#REF!
)</f>
        <v>#REF!</v>
      </c>
      <c r="S355" t="s">
        <v>18</v>
      </c>
      <c r="W355" t="s">
        <v>25</v>
      </c>
      <c r="X355" t="s">
        <v>23</v>
      </c>
      <c r="Y355" t="e">
        <f>+_xlfn.XLOOKUP(tbl_encuesta[[#This Row],[Considero a Limtek como un buen lugar para trabajar]],#REF!,#REF!)</f>
        <v>#REF!</v>
      </c>
      <c r="Z355" t="s">
        <v>952</v>
      </c>
      <c r="AA355" t="s">
        <v>953</v>
      </c>
      <c r="AB355" t="s">
        <v>563</v>
      </c>
      <c r="AC355" s="3" t="s">
        <v>3831</v>
      </c>
      <c r="AD355" s="3" t="s">
        <v>3831</v>
      </c>
      <c r="AE355" t="s">
        <v>29</v>
      </c>
    </row>
    <row r="356" spans="1:31" x14ac:dyDescent="0.25">
      <c r="A356">
        <v>119031308705</v>
      </c>
      <c r="B356">
        <v>462598545</v>
      </c>
      <c r="C356" s="1">
        <v>46027.708611111113</v>
      </c>
      <c r="D356" s="1">
        <v>46027.712812500002</v>
      </c>
      <c r="E356" t="s">
        <v>852</v>
      </c>
      <c r="F356" t="s">
        <v>23</v>
      </c>
      <c r="G356" t="e">
        <f>+_xlfn.XLOOKUP(tbl_encuesta[[#This Row],[Me siento a gusto con el ambiente de trabajo que se genera en mi equipo.]],#REF!,#REF!)</f>
        <v>#REF!</v>
      </c>
      <c r="H356" t="s">
        <v>23</v>
      </c>
      <c r="I356" t="e">
        <f>+_xlfn.XLOOKUP(tbl_encuesta[[#This Row],[Me siento motivado a dar lo mejor de mí y hacer un buen trabajo]],#REF!,#REF!)</f>
        <v>#REF!</v>
      </c>
      <c r="J356" t="s">
        <v>23</v>
      </c>
      <c r="K356" t="e">
        <f>+_xlfn.XLOOKUP(tbl_encuesta[[#This Row],[Mi supervisor o jefe directo me otorga el soporte que necesito para afrontar cualquier problema que afecte mi trabajo]],#REF!,#REF!)</f>
        <v>#REF!</v>
      </c>
      <c r="L356" t="s">
        <v>23</v>
      </c>
      <c r="M356" t="e">
        <f>+_xlfn.XLOOKUP(tbl_encuesta[[#This Row],[Mi supervisor o jefe directo fomenta que nos apoyemos entre todos en el equipo]],#REF!,#REF!)</f>
        <v>#REF!</v>
      </c>
      <c r="N356" t="s">
        <v>23</v>
      </c>
      <c r="O356" t="e">
        <f>+_xlfn.XLOOKUP(tbl_encuesta[[#This Row],[Siento que mi trabajo es reconocido por mi supervisor o jefe directo.]],#REF!,#REF!)</f>
        <v>#REF!</v>
      </c>
      <c r="P356" t="s">
        <v>31</v>
      </c>
      <c r="Q356" t="e">
        <f xml:space="preserve">
_xlfn.XLOOKUP(
tbl_encuesta[[#This Row],[Mi supervisor o jefe directo nos brinda charlas de 5 minutos y comunica las novedades relevantes a mi puesto de trabajo]],#REF!,#REF!
)</f>
        <v>#REF!</v>
      </c>
      <c r="T356" t="s">
        <v>19</v>
      </c>
      <c r="W356" t="s">
        <v>25</v>
      </c>
      <c r="X356" t="s">
        <v>23</v>
      </c>
      <c r="Y356" t="e">
        <f>+_xlfn.XLOOKUP(tbl_encuesta[[#This Row],[Considero a Limtek como un buen lugar para trabajar]],#REF!,#REF!)</f>
        <v>#REF!</v>
      </c>
      <c r="Z356" t="s">
        <v>193</v>
      </c>
      <c r="AA356" t="s">
        <v>630</v>
      </c>
      <c r="AB356" t="s">
        <v>28</v>
      </c>
      <c r="AC356" s="3" t="s">
        <v>3845</v>
      </c>
      <c r="AD356" s="3" t="s">
        <v>3846</v>
      </c>
      <c r="AE356" t="s">
        <v>29</v>
      </c>
    </row>
    <row r="357" spans="1:31" x14ac:dyDescent="0.25">
      <c r="A357">
        <v>119031308649</v>
      </c>
      <c r="B357">
        <v>462598545</v>
      </c>
      <c r="C357" s="1">
        <v>46027.696388888886</v>
      </c>
      <c r="D357" s="1">
        <v>46027.712719907409</v>
      </c>
      <c r="E357" t="s">
        <v>954</v>
      </c>
      <c r="F357" t="s">
        <v>23</v>
      </c>
      <c r="G357" t="e">
        <f>+_xlfn.XLOOKUP(tbl_encuesta[[#This Row],[Me siento a gusto con el ambiente de trabajo que se genera en mi equipo.]],#REF!,#REF!)</f>
        <v>#REF!</v>
      </c>
      <c r="H357" t="s">
        <v>23</v>
      </c>
      <c r="I357" t="e">
        <f>+_xlfn.XLOOKUP(tbl_encuesta[[#This Row],[Me siento motivado a dar lo mejor de mí y hacer un buen trabajo]],#REF!,#REF!)</f>
        <v>#REF!</v>
      </c>
      <c r="J357" t="s">
        <v>23</v>
      </c>
      <c r="K357" t="e">
        <f>+_xlfn.XLOOKUP(tbl_encuesta[[#This Row],[Mi supervisor o jefe directo me otorga el soporte que necesito para afrontar cualquier problema que afecte mi trabajo]],#REF!,#REF!)</f>
        <v>#REF!</v>
      </c>
      <c r="L357" t="s">
        <v>22</v>
      </c>
      <c r="M357" t="e">
        <f>+_xlfn.XLOOKUP(tbl_encuesta[[#This Row],[Mi supervisor o jefe directo fomenta que nos apoyemos entre todos en el equipo]],#REF!,#REF!)</f>
        <v>#REF!</v>
      </c>
      <c r="N357" t="s">
        <v>23</v>
      </c>
      <c r="O357" t="e">
        <f>+_xlfn.XLOOKUP(tbl_encuesta[[#This Row],[Siento que mi trabajo es reconocido por mi supervisor o jefe directo.]],#REF!,#REF!)</f>
        <v>#REF!</v>
      </c>
      <c r="P357" t="s">
        <v>67</v>
      </c>
      <c r="Q357" t="e">
        <f xml:space="preserve">
_xlfn.XLOOKUP(
tbl_encuesta[[#This Row],[Mi supervisor o jefe directo nos brinda charlas de 5 minutos y comunica las novedades relevantes a mi puesto de trabajo]],#REF!,#REF!
)</f>
        <v>#REF!</v>
      </c>
      <c r="S357" t="s">
        <v>18</v>
      </c>
      <c r="T357" t="s">
        <v>19</v>
      </c>
      <c r="W357" t="s">
        <v>25</v>
      </c>
      <c r="X357" t="s">
        <v>23</v>
      </c>
      <c r="Y357" t="e">
        <f>+_xlfn.XLOOKUP(tbl_encuesta[[#This Row],[Considero a Limtek como un buen lugar para trabajar]],#REF!,#REF!)</f>
        <v>#REF!</v>
      </c>
      <c r="Z357" t="s">
        <v>955</v>
      </c>
      <c r="AA357" t="s">
        <v>956</v>
      </c>
      <c r="AB357" t="s">
        <v>28</v>
      </c>
      <c r="AC357" s="3" t="s">
        <v>3758</v>
      </c>
      <c r="AD357" s="3" t="s">
        <v>3789</v>
      </c>
      <c r="AE357" t="s">
        <v>69</v>
      </c>
    </row>
    <row r="358" spans="1:31" x14ac:dyDescent="0.25">
      <c r="A358">
        <v>119031307908</v>
      </c>
      <c r="B358">
        <v>462598545</v>
      </c>
      <c r="C358" s="1">
        <v>46027.683888888889</v>
      </c>
      <c r="D358" s="1">
        <v>46027.71162037037</v>
      </c>
      <c r="E358" t="s">
        <v>957</v>
      </c>
      <c r="F358" t="s">
        <v>23</v>
      </c>
      <c r="G358" t="e">
        <f>+_xlfn.XLOOKUP(tbl_encuesta[[#This Row],[Me siento a gusto con el ambiente de trabajo que se genera en mi equipo.]],#REF!,#REF!)</f>
        <v>#REF!</v>
      </c>
      <c r="H358" t="s">
        <v>23</v>
      </c>
      <c r="I358" t="e">
        <f>+_xlfn.XLOOKUP(tbl_encuesta[[#This Row],[Me siento motivado a dar lo mejor de mí y hacer un buen trabajo]],#REF!,#REF!)</f>
        <v>#REF!</v>
      </c>
      <c r="J358" t="s">
        <v>23</v>
      </c>
      <c r="K358" t="e">
        <f>+_xlfn.XLOOKUP(tbl_encuesta[[#This Row],[Mi supervisor o jefe directo me otorga el soporte que necesito para afrontar cualquier problema que afecte mi trabajo]],#REF!,#REF!)</f>
        <v>#REF!</v>
      </c>
      <c r="L358" t="s">
        <v>23</v>
      </c>
      <c r="M358" t="e">
        <f>+_xlfn.XLOOKUP(tbl_encuesta[[#This Row],[Mi supervisor o jefe directo fomenta que nos apoyemos entre todos en el equipo]],#REF!,#REF!)</f>
        <v>#REF!</v>
      </c>
      <c r="N358" t="s">
        <v>23</v>
      </c>
      <c r="O358" t="e">
        <f>+_xlfn.XLOOKUP(tbl_encuesta[[#This Row],[Siento que mi trabajo es reconocido por mi supervisor o jefe directo.]],#REF!,#REF!)</f>
        <v>#REF!</v>
      </c>
      <c r="P358" t="s">
        <v>31</v>
      </c>
      <c r="Q358" t="e">
        <f xml:space="preserve">
_xlfn.XLOOKUP(
tbl_encuesta[[#This Row],[Mi supervisor o jefe directo nos brinda charlas de 5 minutos y comunica las novedades relevantes a mi puesto de trabajo]],#REF!,#REF!
)</f>
        <v>#REF!</v>
      </c>
      <c r="R358" t="s">
        <v>17</v>
      </c>
      <c r="S358" t="s">
        <v>18</v>
      </c>
      <c r="W358" t="s">
        <v>25</v>
      </c>
      <c r="X358" t="s">
        <v>23</v>
      </c>
      <c r="Y358" t="e">
        <f>+_xlfn.XLOOKUP(tbl_encuesta[[#This Row],[Considero a Limtek como un buen lugar para trabajar]],#REF!,#REF!)</f>
        <v>#REF!</v>
      </c>
      <c r="Z358" t="s">
        <v>958</v>
      </c>
      <c r="AA358" t="s">
        <v>959</v>
      </c>
      <c r="AB358" t="s">
        <v>28</v>
      </c>
      <c r="AC358" s="3" t="s">
        <v>3610</v>
      </c>
      <c r="AD358" t="s">
        <v>960</v>
      </c>
      <c r="AE358" t="s">
        <v>34</v>
      </c>
    </row>
    <row r="359" spans="1:31" x14ac:dyDescent="0.25">
      <c r="A359">
        <v>119031307739</v>
      </c>
      <c r="B359">
        <v>462598545</v>
      </c>
      <c r="C359" s="1">
        <v>46027.70826388889</v>
      </c>
      <c r="D359" s="1">
        <v>46027.711412037039</v>
      </c>
      <c r="E359" t="s">
        <v>961</v>
      </c>
      <c r="F359" t="s">
        <v>22</v>
      </c>
      <c r="G359" t="e">
        <f>+_xlfn.XLOOKUP(tbl_encuesta[[#This Row],[Me siento a gusto con el ambiente de trabajo que se genera en mi equipo.]],#REF!,#REF!)</f>
        <v>#REF!</v>
      </c>
      <c r="H359" t="s">
        <v>23</v>
      </c>
      <c r="I359" t="e">
        <f>+_xlfn.XLOOKUP(tbl_encuesta[[#This Row],[Me siento motivado a dar lo mejor de mí y hacer un buen trabajo]],#REF!,#REF!)</f>
        <v>#REF!</v>
      </c>
      <c r="J359" t="s">
        <v>23</v>
      </c>
      <c r="K359" t="e">
        <f>+_xlfn.XLOOKUP(tbl_encuesta[[#This Row],[Mi supervisor o jefe directo me otorga el soporte que necesito para afrontar cualquier problema que afecte mi trabajo]],#REF!,#REF!)</f>
        <v>#REF!</v>
      </c>
      <c r="L359" t="s">
        <v>23</v>
      </c>
      <c r="M359" t="e">
        <f>+_xlfn.XLOOKUP(tbl_encuesta[[#This Row],[Mi supervisor o jefe directo fomenta que nos apoyemos entre todos en el equipo]],#REF!,#REF!)</f>
        <v>#REF!</v>
      </c>
      <c r="N359" t="s">
        <v>23</v>
      </c>
      <c r="O359" t="e">
        <f>+_xlfn.XLOOKUP(tbl_encuesta[[#This Row],[Siento que mi trabajo es reconocido por mi supervisor o jefe directo.]],#REF!,#REF!)</f>
        <v>#REF!</v>
      </c>
      <c r="P359" t="s">
        <v>67</v>
      </c>
      <c r="Q359" t="e">
        <f xml:space="preserve">
_xlfn.XLOOKUP(
tbl_encuesta[[#This Row],[Mi supervisor o jefe directo nos brinda charlas de 5 minutos y comunica las novedades relevantes a mi puesto de trabajo]],#REF!,#REF!
)</f>
        <v>#REF!</v>
      </c>
      <c r="R359" t="s">
        <v>17</v>
      </c>
      <c r="T359" t="s">
        <v>19</v>
      </c>
      <c r="W359" t="s">
        <v>25</v>
      </c>
      <c r="X359" t="s">
        <v>23</v>
      </c>
      <c r="Y359" t="e">
        <f>+_xlfn.XLOOKUP(tbl_encuesta[[#This Row],[Considero a Limtek como un buen lugar para trabajar]],#REF!,#REF!)</f>
        <v>#REF!</v>
      </c>
      <c r="Z359" t="s">
        <v>145</v>
      </c>
      <c r="AA359" t="s">
        <v>962</v>
      </c>
      <c r="AB359" t="s">
        <v>567</v>
      </c>
      <c r="AC359" s="3" t="s">
        <v>3758</v>
      </c>
      <c r="AD359" s="3" t="s">
        <v>3787</v>
      </c>
      <c r="AE359" t="s">
        <v>34</v>
      </c>
    </row>
    <row r="360" spans="1:31" x14ac:dyDescent="0.25">
      <c r="A360">
        <v>119031307173</v>
      </c>
      <c r="B360">
        <v>462598545</v>
      </c>
      <c r="C360" s="1">
        <v>46027.707789351851</v>
      </c>
      <c r="D360" s="1">
        <v>46027.710625</v>
      </c>
      <c r="E360" t="s">
        <v>963</v>
      </c>
      <c r="F360" t="s">
        <v>23</v>
      </c>
      <c r="G360" t="e">
        <f>+_xlfn.XLOOKUP(tbl_encuesta[[#This Row],[Me siento a gusto con el ambiente de trabajo que se genera en mi equipo.]],#REF!,#REF!)</f>
        <v>#REF!</v>
      </c>
      <c r="H360" t="s">
        <v>23</v>
      </c>
      <c r="I360" t="e">
        <f>+_xlfn.XLOOKUP(tbl_encuesta[[#This Row],[Me siento motivado a dar lo mejor de mí y hacer un buen trabajo]],#REF!,#REF!)</f>
        <v>#REF!</v>
      </c>
      <c r="J360" t="s">
        <v>23</v>
      </c>
      <c r="K360" t="e">
        <f>+_xlfn.XLOOKUP(tbl_encuesta[[#This Row],[Mi supervisor o jefe directo me otorga el soporte que necesito para afrontar cualquier problema que afecte mi trabajo]],#REF!,#REF!)</f>
        <v>#REF!</v>
      </c>
      <c r="L360" t="s">
        <v>23</v>
      </c>
      <c r="M360" t="e">
        <f>+_xlfn.XLOOKUP(tbl_encuesta[[#This Row],[Mi supervisor o jefe directo fomenta que nos apoyemos entre todos en el equipo]],#REF!,#REF!)</f>
        <v>#REF!</v>
      </c>
      <c r="N360" t="s">
        <v>23</v>
      </c>
      <c r="O360" t="e">
        <f>+_xlfn.XLOOKUP(tbl_encuesta[[#This Row],[Siento que mi trabajo es reconocido por mi supervisor o jefe directo.]],#REF!,#REF!)</f>
        <v>#REF!</v>
      </c>
      <c r="P360" t="s">
        <v>31</v>
      </c>
      <c r="Q360" t="e">
        <f xml:space="preserve">
_xlfn.XLOOKUP(
tbl_encuesta[[#This Row],[Mi supervisor o jefe directo nos brinda charlas de 5 minutos y comunica las novedades relevantes a mi puesto de trabajo]],#REF!,#REF!
)</f>
        <v>#REF!</v>
      </c>
      <c r="R360" t="s">
        <v>17</v>
      </c>
      <c r="W360" t="s">
        <v>25</v>
      </c>
      <c r="X360" t="s">
        <v>23</v>
      </c>
      <c r="Y360" t="e">
        <f>+_xlfn.XLOOKUP(tbl_encuesta[[#This Row],[Considero a Limtek como un buen lugar para trabajar]],#REF!,#REF!)</f>
        <v>#REF!</v>
      </c>
      <c r="Z360" t="s">
        <v>964</v>
      </c>
      <c r="AA360" t="s">
        <v>965</v>
      </c>
      <c r="AB360" t="s">
        <v>883</v>
      </c>
      <c r="AC360" t="s">
        <v>3705</v>
      </c>
      <c r="AD360" t="s">
        <v>3719</v>
      </c>
      <c r="AE360" t="s">
        <v>29</v>
      </c>
    </row>
    <row r="361" spans="1:31" x14ac:dyDescent="0.25">
      <c r="A361">
        <v>119031305749</v>
      </c>
      <c r="B361">
        <v>462598545</v>
      </c>
      <c r="C361" s="1">
        <v>46027.707511574074</v>
      </c>
      <c r="D361" s="1">
        <v>46027.708703703705</v>
      </c>
      <c r="E361" t="s">
        <v>967</v>
      </c>
      <c r="F361" t="s">
        <v>23</v>
      </c>
      <c r="G361" t="e">
        <f>+_xlfn.XLOOKUP(tbl_encuesta[[#This Row],[Me siento a gusto con el ambiente de trabajo que se genera en mi equipo.]],#REF!,#REF!)</f>
        <v>#REF!</v>
      </c>
      <c r="H361" t="s">
        <v>23</v>
      </c>
      <c r="I361" t="e">
        <f>+_xlfn.XLOOKUP(tbl_encuesta[[#This Row],[Me siento motivado a dar lo mejor de mí y hacer un buen trabajo]],#REF!,#REF!)</f>
        <v>#REF!</v>
      </c>
      <c r="J361" t="s">
        <v>23</v>
      </c>
      <c r="K361" t="e">
        <f>+_xlfn.XLOOKUP(tbl_encuesta[[#This Row],[Mi supervisor o jefe directo me otorga el soporte que necesito para afrontar cualquier problema que afecte mi trabajo]],#REF!,#REF!)</f>
        <v>#REF!</v>
      </c>
      <c r="L361" t="s">
        <v>23</v>
      </c>
      <c r="M361" t="e">
        <f>+_xlfn.XLOOKUP(tbl_encuesta[[#This Row],[Mi supervisor o jefe directo fomenta que nos apoyemos entre todos en el equipo]],#REF!,#REF!)</f>
        <v>#REF!</v>
      </c>
      <c r="N361" t="s">
        <v>23</v>
      </c>
      <c r="O361" t="e">
        <f>+_xlfn.XLOOKUP(tbl_encuesta[[#This Row],[Siento que mi trabajo es reconocido por mi supervisor o jefe directo.]],#REF!,#REF!)</f>
        <v>#REF!</v>
      </c>
      <c r="P361" t="s">
        <v>31</v>
      </c>
      <c r="Q361" t="e">
        <f xml:space="preserve">
_xlfn.XLOOKUP(
tbl_encuesta[[#This Row],[Mi supervisor o jefe directo nos brinda charlas de 5 minutos y comunica las novedades relevantes a mi puesto de trabajo]],#REF!,#REF!
)</f>
        <v>#REF!</v>
      </c>
      <c r="R361" t="s">
        <v>17</v>
      </c>
      <c r="W361" t="s">
        <v>25</v>
      </c>
      <c r="X361" t="s">
        <v>23</v>
      </c>
      <c r="Y361" t="e">
        <f>+_xlfn.XLOOKUP(tbl_encuesta[[#This Row],[Considero a Limtek como un buen lugar para trabajar]],#REF!,#REF!)</f>
        <v>#REF!</v>
      </c>
      <c r="Z361" t="s">
        <v>215</v>
      </c>
      <c r="AA361" t="s">
        <v>968</v>
      </c>
      <c r="AB361" t="s">
        <v>883</v>
      </c>
      <c r="AC361" s="3" t="s">
        <v>3610</v>
      </c>
      <c r="AD361" t="s">
        <v>3640</v>
      </c>
      <c r="AE361" t="s">
        <v>34</v>
      </c>
    </row>
    <row r="362" spans="1:31" x14ac:dyDescent="0.25">
      <c r="A362">
        <v>119031305588</v>
      </c>
      <c r="B362">
        <v>462598545</v>
      </c>
      <c r="C362" s="1">
        <v>46027.700462962966</v>
      </c>
      <c r="D362" s="1">
        <v>46027.708506944444</v>
      </c>
      <c r="E362" t="s">
        <v>969</v>
      </c>
      <c r="F362" t="s">
        <v>22</v>
      </c>
      <c r="G362" t="e">
        <f>+_xlfn.XLOOKUP(tbl_encuesta[[#This Row],[Me siento a gusto con el ambiente de trabajo que se genera en mi equipo.]],#REF!,#REF!)</f>
        <v>#REF!</v>
      </c>
      <c r="H362" t="s">
        <v>22</v>
      </c>
      <c r="I362" t="e">
        <f>+_xlfn.XLOOKUP(tbl_encuesta[[#This Row],[Me siento motivado a dar lo mejor de mí y hacer un buen trabajo]],#REF!,#REF!)</f>
        <v>#REF!</v>
      </c>
      <c r="J362" t="s">
        <v>43</v>
      </c>
      <c r="K362" t="e">
        <f>+_xlfn.XLOOKUP(tbl_encuesta[[#This Row],[Mi supervisor o jefe directo me otorga el soporte que necesito para afrontar cualquier problema que afecte mi trabajo]],#REF!,#REF!)</f>
        <v>#REF!</v>
      </c>
      <c r="L362" t="s">
        <v>43</v>
      </c>
      <c r="M362" t="e">
        <f>+_xlfn.XLOOKUP(tbl_encuesta[[#This Row],[Mi supervisor o jefe directo fomenta que nos apoyemos entre todos en el equipo]],#REF!,#REF!)</f>
        <v>#REF!</v>
      </c>
      <c r="N362" t="s">
        <v>43</v>
      </c>
      <c r="O362" t="e">
        <f>+_xlfn.XLOOKUP(tbl_encuesta[[#This Row],[Siento que mi trabajo es reconocido por mi supervisor o jefe directo.]],#REF!,#REF!)</f>
        <v>#REF!</v>
      </c>
      <c r="P362" t="s">
        <v>24</v>
      </c>
      <c r="Q362" t="e">
        <f xml:space="preserve">
_xlfn.XLOOKUP(
tbl_encuesta[[#This Row],[Mi supervisor o jefe directo nos brinda charlas de 5 minutos y comunica las novedades relevantes a mi puesto de trabajo]],#REF!,#REF!
)</f>
        <v>#REF!</v>
      </c>
      <c r="R362" t="s">
        <v>17</v>
      </c>
      <c r="T362" t="s">
        <v>19</v>
      </c>
      <c r="W362" t="s">
        <v>25</v>
      </c>
      <c r="X362" t="s">
        <v>97</v>
      </c>
      <c r="Y362" t="e">
        <f>+_xlfn.XLOOKUP(tbl_encuesta[[#This Row],[Considero a Limtek como un buen lugar para trabajar]],#REF!,#REF!)</f>
        <v>#REF!</v>
      </c>
      <c r="Z362" t="s">
        <v>970</v>
      </c>
      <c r="AA362" t="s">
        <v>971</v>
      </c>
      <c r="AB362" t="s">
        <v>567</v>
      </c>
      <c r="AC362" s="3" t="s">
        <v>3716</v>
      </c>
      <c r="AD362" s="3" t="s">
        <v>3716</v>
      </c>
      <c r="AE362" t="s">
        <v>29</v>
      </c>
    </row>
    <row r="363" spans="1:31" x14ac:dyDescent="0.25">
      <c r="A363">
        <v>119031304650</v>
      </c>
      <c r="B363">
        <v>462598545</v>
      </c>
      <c r="C363" s="1">
        <v>46027.704386574071</v>
      </c>
      <c r="D363" s="1">
        <v>46027.707233796296</v>
      </c>
      <c r="E363" t="s">
        <v>972</v>
      </c>
      <c r="F363" t="s">
        <v>23</v>
      </c>
      <c r="G363" t="e">
        <f>+_xlfn.XLOOKUP(tbl_encuesta[[#This Row],[Me siento a gusto con el ambiente de trabajo que se genera en mi equipo.]],#REF!,#REF!)</f>
        <v>#REF!</v>
      </c>
      <c r="H363" t="s">
        <v>23</v>
      </c>
      <c r="I363" t="e">
        <f>+_xlfn.XLOOKUP(tbl_encuesta[[#This Row],[Me siento motivado a dar lo mejor de mí y hacer un buen trabajo]],#REF!,#REF!)</f>
        <v>#REF!</v>
      </c>
      <c r="J363" t="s">
        <v>22</v>
      </c>
      <c r="K363" t="e">
        <f>+_xlfn.XLOOKUP(tbl_encuesta[[#This Row],[Mi supervisor o jefe directo me otorga el soporte que necesito para afrontar cualquier problema que afecte mi trabajo]],#REF!,#REF!)</f>
        <v>#REF!</v>
      </c>
      <c r="L363" t="s">
        <v>23</v>
      </c>
      <c r="M363" t="e">
        <f>+_xlfn.XLOOKUP(tbl_encuesta[[#This Row],[Mi supervisor o jefe directo fomenta que nos apoyemos entre todos en el equipo]],#REF!,#REF!)</f>
        <v>#REF!</v>
      </c>
      <c r="N363" t="s">
        <v>22</v>
      </c>
      <c r="O363" t="e">
        <f>+_xlfn.XLOOKUP(tbl_encuesta[[#This Row],[Siento que mi trabajo es reconocido por mi supervisor o jefe directo.]],#REF!,#REF!)</f>
        <v>#REF!</v>
      </c>
      <c r="P363" t="s">
        <v>67</v>
      </c>
      <c r="Q363" t="e">
        <f xml:space="preserve">
_xlfn.XLOOKUP(
tbl_encuesta[[#This Row],[Mi supervisor o jefe directo nos brinda charlas de 5 minutos y comunica las novedades relevantes a mi puesto de trabajo]],#REF!,#REF!
)</f>
        <v>#REF!</v>
      </c>
      <c r="U363" t="s">
        <v>20</v>
      </c>
      <c r="W363" t="s">
        <v>25</v>
      </c>
      <c r="X363" t="s">
        <v>23</v>
      </c>
      <c r="Y363" t="e">
        <f>+_xlfn.XLOOKUP(tbl_encuesta[[#This Row],[Considero a Limtek como un buen lugar para trabajar]],#REF!,#REF!)</f>
        <v>#REF!</v>
      </c>
      <c r="Z363" t="s">
        <v>973</v>
      </c>
      <c r="AA363" t="s">
        <v>681</v>
      </c>
      <c r="AB363" t="s">
        <v>28</v>
      </c>
      <c r="AC363" s="3" t="s">
        <v>3817</v>
      </c>
      <c r="AD363" s="3" t="s">
        <v>3818</v>
      </c>
      <c r="AE363" t="s">
        <v>34</v>
      </c>
    </row>
    <row r="364" spans="1:31" x14ac:dyDescent="0.25">
      <c r="A364">
        <v>119031303675</v>
      </c>
      <c r="B364">
        <v>462598545</v>
      </c>
      <c r="C364" s="1">
        <v>46027.703599537039</v>
      </c>
      <c r="D364" s="1">
        <v>46027.705914351849</v>
      </c>
      <c r="E364" t="s">
        <v>974</v>
      </c>
      <c r="F364" t="s">
        <v>23</v>
      </c>
      <c r="G364" t="e">
        <f>+_xlfn.XLOOKUP(tbl_encuesta[[#This Row],[Me siento a gusto con el ambiente de trabajo que se genera en mi equipo.]],#REF!,#REF!)</f>
        <v>#REF!</v>
      </c>
      <c r="H364" t="s">
        <v>23</v>
      </c>
      <c r="I364" t="e">
        <f>+_xlfn.XLOOKUP(tbl_encuesta[[#This Row],[Me siento motivado a dar lo mejor de mí y hacer un buen trabajo]],#REF!,#REF!)</f>
        <v>#REF!</v>
      </c>
      <c r="J364" t="s">
        <v>23</v>
      </c>
      <c r="K364" t="e">
        <f>+_xlfn.XLOOKUP(tbl_encuesta[[#This Row],[Mi supervisor o jefe directo me otorga el soporte que necesito para afrontar cualquier problema que afecte mi trabajo]],#REF!,#REF!)</f>
        <v>#REF!</v>
      </c>
      <c r="L364" t="s">
        <v>23</v>
      </c>
      <c r="M364" t="e">
        <f>+_xlfn.XLOOKUP(tbl_encuesta[[#This Row],[Mi supervisor o jefe directo fomenta que nos apoyemos entre todos en el equipo]],#REF!,#REF!)</f>
        <v>#REF!</v>
      </c>
      <c r="N364" t="s">
        <v>23</v>
      </c>
      <c r="O364" t="e">
        <f>+_xlfn.XLOOKUP(tbl_encuesta[[#This Row],[Siento que mi trabajo es reconocido por mi supervisor o jefe directo.]],#REF!,#REF!)</f>
        <v>#REF!</v>
      </c>
      <c r="P364" t="s">
        <v>67</v>
      </c>
      <c r="Q364" t="e">
        <f xml:space="preserve">
_xlfn.XLOOKUP(
tbl_encuesta[[#This Row],[Mi supervisor o jefe directo nos brinda charlas de 5 minutos y comunica las novedades relevantes a mi puesto de trabajo]],#REF!,#REF!
)</f>
        <v>#REF!</v>
      </c>
      <c r="R364" t="s">
        <v>17</v>
      </c>
      <c r="T364" t="s">
        <v>19</v>
      </c>
      <c r="W364" t="s">
        <v>25</v>
      </c>
      <c r="X364" t="s">
        <v>23</v>
      </c>
      <c r="Y364" t="e">
        <f>+_xlfn.XLOOKUP(tbl_encuesta[[#This Row],[Considero a Limtek como un buen lugar para trabajar]],#REF!,#REF!)</f>
        <v>#REF!</v>
      </c>
      <c r="Z364" t="s">
        <v>975</v>
      </c>
      <c r="AA364" t="s">
        <v>976</v>
      </c>
      <c r="AB364" t="s">
        <v>567</v>
      </c>
      <c r="AC364" s="3" t="s">
        <v>3758</v>
      </c>
      <c r="AD364" s="3" t="s">
        <v>3788</v>
      </c>
      <c r="AE364" t="s">
        <v>29</v>
      </c>
    </row>
    <row r="365" spans="1:31" x14ac:dyDescent="0.25">
      <c r="A365">
        <v>119031301524</v>
      </c>
      <c r="B365">
        <v>462598545</v>
      </c>
      <c r="C365" s="1">
        <v>46027.700231481482</v>
      </c>
      <c r="D365" s="1">
        <v>46027.703101851854</v>
      </c>
      <c r="E365" t="s">
        <v>977</v>
      </c>
      <c r="F365" t="s">
        <v>23</v>
      </c>
      <c r="G365" t="e">
        <f>+_xlfn.XLOOKUP(tbl_encuesta[[#This Row],[Me siento a gusto con el ambiente de trabajo que se genera en mi equipo.]],#REF!,#REF!)</f>
        <v>#REF!</v>
      </c>
      <c r="H365" t="s">
        <v>23</v>
      </c>
      <c r="I365" t="e">
        <f>+_xlfn.XLOOKUP(tbl_encuesta[[#This Row],[Me siento motivado a dar lo mejor de mí y hacer un buen trabajo]],#REF!,#REF!)</f>
        <v>#REF!</v>
      </c>
      <c r="J365" t="s">
        <v>23</v>
      </c>
      <c r="K365" t="e">
        <f>+_xlfn.XLOOKUP(tbl_encuesta[[#This Row],[Mi supervisor o jefe directo me otorga el soporte que necesito para afrontar cualquier problema que afecte mi trabajo]],#REF!,#REF!)</f>
        <v>#REF!</v>
      </c>
      <c r="L365" t="s">
        <v>23</v>
      </c>
      <c r="M365" t="e">
        <f>+_xlfn.XLOOKUP(tbl_encuesta[[#This Row],[Mi supervisor o jefe directo fomenta que nos apoyemos entre todos en el equipo]],#REF!,#REF!)</f>
        <v>#REF!</v>
      </c>
      <c r="N365" t="s">
        <v>23</v>
      </c>
      <c r="O365" t="e">
        <f>+_xlfn.XLOOKUP(tbl_encuesta[[#This Row],[Siento que mi trabajo es reconocido por mi supervisor o jefe directo.]],#REF!,#REF!)</f>
        <v>#REF!</v>
      </c>
      <c r="P365" t="s">
        <v>175</v>
      </c>
      <c r="Q365" t="e">
        <f xml:space="preserve">
_xlfn.XLOOKUP(
tbl_encuesta[[#This Row],[Mi supervisor o jefe directo nos brinda charlas de 5 minutos y comunica las novedades relevantes a mi puesto de trabajo]],#REF!,#REF!
)</f>
        <v>#REF!</v>
      </c>
      <c r="R365" t="s">
        <v>17</v>
      </c>
      <c r="W365" t="s">
        <v>25</v>
      </c>
      <c r="X365" t="s">
        <v>23</v>
      </c>
      <c r="Y365" t="e">
        <f>+_xlfn.XLOOKUP(tbl_encuesta[[#This Row],[Considero a Limtek como un buen lugar para trabajar]],#REF!,#REF!)</f>
        <v>#REF!</v>
      </c>
      <c r="Z365" t="s">
        <v>978</v>
      </c>
      <c r="AA365" t="s">
        <v>979</v>
      </c>
      <c r="AB365" t="s">
        <v>567</v>
      </c>
      <c r="AC365" s="3" t="s">
        <v>3758</v>
      </c>
      <c r="AD365" s="3" t="s">
        <v>3758</v>
      </c>
      <c r="AE365" t="s">
        <v>34</v>
      </c>
    </row>
    <row r="366" spans="1:31" x14ac:dyDescent="0.25">
      <c r="A366">
        <v>119031300318</v>
      </c>
      <c r="B366">
        <v>462598545</v>
      </c>
      <c r="C366" s="1">
        <v>46027.697129629632</v>
      </c>
      <c r="D366" s="1">
        <v>46027.701585648145</v>
      </c>
      <c r="E366" t="s">
        <v>980</v>
      </c>
      <c r="F366" t="s">
        <v>23</v>
      </c>
      <c r="G366" t="e">
        <f>+_xlfn.XLOOKUP(tbl_encuesta[[#This Row],[Me siento a gusto con el ambiente de trabajo que se genera en mi equipo.]],#REF!,#REF!)</f>
        <v>#REF!</v>
      </c>
      <c r="H366" t="s">
        <v>23</v>
      </c>
      <c r="I366" t="e">
        <f>+_xlfn.XLOOKUP(tbl_encuesta[[#This Row],[Me siento motivado a dar lo mejor de mí y hacer un buen trabajo]],#REF!,#REF!)</f>
        <v>#REF!</v>
      </c>
      <c r="J366" t="s">
        <v>22</v>
      </c>
      <c r="K366" t="e">
        <f>+_xlfn.XLOOKUP(tbl_encuesta[[#This Row],[Mi supervisor o jefe directo me otorga el soporte que necesito para afrontar cualquier problema que afecte mi trabajo]],#REF!,#REF!)</f>
        <v>#REF!</v>
      </c>
      <c r="L366" t="s">
        <v>23</v>
      </c>
      <c r="M366" t="e">
        <f>+_xlfn.XLOOKUP(tbl_encuesta[[#This Row],[Mi supervisor o jefe directo fomenta que nos apoyemos entre todos en el equipo]],#REF!,#REF!)</f>
        <v>#REF!</v>
      </c>
      <c r="N366" t="s">
        <v>23</v>
      </c>
      <c r="O366" t="e">
        <f>+_xlfn.XLOOKUP(tbl_encuesta[[#This Row],[Siento que mi trabajo es reconocido por mi supervisor o jefe directo.]],#REF!,#REF!)</f>
        <v>#REF!</v>
      </c>
      <c r="P366" t="s">
        <v>67</v>
      </c>
      <c r="Q366" t="e">
        <f xml:space="preserve">
_xlfn.XLOOKUP(
tbl_encuesta[[#This Row],[Mi supervisor o jefe directo nos brinda charlas de 5 minutos y comunica las novedades relevantes a mi puesto de trabajo]],#REF!,#REF!
)</f>
        <v>#REF!</v>
      </c>
      <c r="R366" t="s">
        <v>17</v>
      </c>
      <c r="W366" t="s">
        <v>25</v>
      </c>
      <c r="X366" t="s">
        <v>23</v>
      </c>
      <c r="Y366" t="e">
        <f>+_xlfn.XLOOKUP(tbl_encuesta[[#This Row],[Considero a Limtek como un buen lugar para trabajar]],#REF!,#REF!)</f>
        <v>#REF!</v>
      </c>
      <c r="Z366" t="s">
        <v>304</v>
      </c>
      <c r="AA366" t="s">
        <v>50</v>
      </c>
      <c r="AB366" t="s">
        <v>567</v>
      </c>
      <c r="AC366" s="3" t="s">
        <v>3758</v>
      </c>
      <c r="AD366" s="3" t="s">
        <v>3788</v>
      </c>
      <c r="AE366" t="s">
        <v>61</v>
      </c>
    </row>
    <row r="367" spans="1:31" x14ac:dyDescent="0.25">
      <c r="A367">
        <v>119031298992</v>
      </c>
      <c r="B367">
        <v>462598545</v>
      </c>
      <c r="C367" s="1">
        <v>46027.696828703702</v>
      </c>
      <c r="D367" s="1">
        <v>46027.699965277781</v>
      </c>
      <c r="E367" t="s">
        <v>981</v>
      </c>
      <c r="F367" t="s">
        <v>22</v>
      </c>
      <c r="G367" t="e">
        <f>+_xlfn.XLOOKUP(tbl_encuesta[[#This Row],[Me siento a gusto con el ambiente de trabajo que se genera en mi equipo.]],#REF!,#REF!)</f>
        <v>#REF!</v>
      </c>
      <c r="H367" t="s">
        <v>23</v>
      </c>
      <c r="I367" t="e">
        <f>+_xlfn.XLOOKUP(tbl_encuesta[[#This Row],[Me siento motivado a dar lo mejor de mí y hacer un buen trabajo]],#REF!,#REF!)</f>
        <v>#REF!</v>
      </c>
      <c r="J367" t="s">
        <v>22</v>
      </c>
      <c r="K367" t="e">
        <f>+_xlfn.XLOOKUP(tbl_encuesta[[#This Row],[Mi supervisor o jefe directo me otorga el soporte que necesito para afrontar cualquier problema que afecte mi trabajo]],#REF!,#REF!)</f>
        <v>#REF!</v>
      </c>
      <c r="L367" t="s">
        <v>23</v>
      </c>
      <c r="M367" t="e">
        <f>+_xlfn.XLOOKUP(tbl_encuesta[[#This Row],[Mi supervisor o jefe directo fomenta que nos apoyemos entre todos en el equipo]],#REF!,#REF!)</f>
        <v>#REF!</v>
      </c>
      <c r="N367" t="s">
        <v>22</v>
      </c>
      <c r="O367" t="e">
        <f>+_xlfn.XLOOKUP(tbl_encuesta[[#This Row],[Siento que mi trabajo es reconocido por mi supervisor o jefe directo.]],#REF!,#REF!)</f>
        <v>#REF!</v>
      </c>
      <c r="P367" t="s">
        <v>31</v>
      </c>
      <c r="Q367" t="e">
        <f xml:space="preserve">
_xlfn.XLOOKUP(
tbl_encuesta[[#This Row],[Mi supervisor o jefe directo nos brinda charlas de 5 minutos y comunica las novedades relevantes a mi puesto de trabajo]],#REF!,#REF!
)</f>
        <v>#REF!</v>
      </c>
      <c r="S367" t="s">
        <v>18</v>
      </c>
      <c r="W367" t="s">
        <v>25</v>
      </c>
      <c r="X367" t="s">
        <v>23</v>
      </c>
      <c r="Y367" t="e">
        <f>+_xlfn.XLOOKUP(tbl_encuesta[[#This Row],[Considero a Limtek como un buen lugar para trabajar]],#REF!,#REF!)</f>
        <v>#REF!</v>
      </c>
      <c r="Z367" t="s">
        <v>982</v>
      </c>
      <c r="AA367" t="s">
        <v>983</v>
      </c>
      <c r="AB367" t="s">
        <v>619</v>
      </c>
      <c r="AC367" s="3" t="s">
        <v>3716</v>
      </c>
      <c r="AD367" s="3" t="s">
        <v>3716</v>
      </c>
      <c r="AE367" t="s">
        <v>69</v>
      </c>
    </row>
    <row r="368" spans="1:31" x14ac:dyDescent="0.25">
      <c r="A368">
        <v>119031298682</v>
      </c>
      <c r="B368">
        <v>462598545</v>
      </c>
      <c r="C368" s="1">
        <v>46027.692962962959</v>
      </c>
      <c r="D368" s="1">
        <v>46027.699525462966</v>
      </c>
      <c r="E368" t="s">
        <v>899</v>
      </c>
      <c r="F368" t="s">
        <v>23</v>
      </c>
      <c r="G368" t="e">
        <f>+_xlfn.XLOOKUP(tbl_encuesta[[#This Row],[Me siento a gusto con el ambiente de trabajo que se genera en mi equipo.]],#REF!,#REF!)</f>
        <v>#REF!</v>
      </c>
      <c r="H368" t="s">
        <v>23</v>
      </c>
      <c r="I368" t="e">
        <f>+_xlfn.XLOOKUP(tbl_encuesta[[#This Row],[Me siento motivado a dar lo mejor de mí y hacer un buen trabajo]],#REF!,#REF!)</f>
        <v>#REF!</v>
      </c>
      <c r="J368" t="s">
        <v>23</v>
      </c>
      <c r="K368" t="e">
        <f>+_xlfn.XLOOKUP(tbl_encuesta[[#This Row],[Mi supervisor o jefe directo me otorga el soporte que necesito para afrontar cualquier problema que afecte mi trabajo]],#REF!,#REF!)</f>
        <v>#REF!</v>
      </c>
      <c r="L368" t="s">
        <v>23</v>
      </c>
      <c r="M368" t="e">
        <f>+_xlfn.XLOOKUP(tbl_encuesta[[#This Row],[Mi supervisor o jefe directo fomenta que nos apoyemos entre todos en el equipo]],#REF!,#REF!)</f>
        <v>#REF!</v>
      </c>
      <c r="N368" t="s">
        <v>23</v>
      </c>
      <c r="O368" t="e">
        <f>+_xlfn.XLOOKUP(tbl_encuesta[[#This Row],[Siento que mi trabajo es reconocido por mi supervisor o jefe directo.]],#REF!,#REF!)</f>
        <v>#REF!</v>
      </c>
      <c r="P368" t="s">
        <v>67</v>
      </c>
      <c r="Q368" t="e">
        <f xml:space="preserve">
_xlfn.XLOOKUP(
tbl_encuesta[[#This Row],[Mi supervisor o jefe directo nos brinda charlas de 5 minutos y comunica las novedades relevantes a mi puesto de trabajo]],#REF!,#REF!
)</f>
        <v>#REF!</v>
      </c>
      <c r="R368" t="s">
        <v>17</v>
      </c>
      <c r="T368" t="s">
        <v>19</v>
      </c>
      <c r="W368" t="s">
        <v>25</v>
      </c>
      <c r="X368" t="s">
        <v>23</v>
      </c>
      <c r="Y368" t="e">
        <f>+_xlfn.XLOOKUP(tbl_encuesta[[#This Row],[Considero a Limtek como un buen lugar para trabajar]],#REF!,#REF!)</f>
        <v>#REF!</v>
      </c>
      <c r="Z368" t="s">
        <v>129</v>
      </c>
      <c r="AA368" t="s">
        <v>984</v>
      </c>
      <c r="AB368" t="s">
        <v>28</v>
      </c>
      <c r="AC368" s="3" t="s">
        <v>3758</v>
      </c>
      <c r="AD368" s="3" t="s">
        <v>3786</v>
      </c>
      <c r="AE368" t="s">
        <v>61</v>
      </c>
    </row>
    <row r="369" spans="1:31" x14ac:dyDescent="0.25">
      <c r="A369">
        <v>119031298555</v>
      </c>
      <c r="B369">
        <v>462598545</v>
      </c>
      <c r="C369" s="1">
        <v>46027.688680555555</v>
      </c>
      <c r="D369" s="1">
        <v>46027.69935185185</v>
      </c>
      <c r="E369" t="s">
        <v>985</v>
      </c>
      <c r="F369" t="s">
        <v>23</v>
      </c>
      <c r="G369" t="e">
        <f>+_xlfn.XLOOKUP(tbl_encuesta[[#This Row],[Me siento a gusto con el ambiente de trabajo que se genera en mi equipo.]],#REF!,#REF!)</f>
        <v>#REF!</v>
      </c>
      <c r="H369" t="s">
        <v>23</v>
      </c>
      <c r="I369" t="e">
        <f>+_xlfn.XLOOKUP(tbl_encuesta[[#This Row],[Me siento motivado a dar lo mejor de mí y hacer un buen trabajo]],#REF!,#REF!)</f>
        <v>#REF!</v>
      </c>
      <c r="J369" t="s">
        <v>22</v>
      </c>
      <c r="K369" t="e">
        <f>+_xlfn.XLOOKUP(tbl_encuesta[[#This Row],[Mi supervisor o jefe directo me otorga el soporte que necesito para afrontar cualquier problema que afecte mi trabajo]],#REF!,#REF!)</f>
        <v>#REF!</v>
      </c>
      <c r="L369" t="s">
        <v>23</v>
      </c>
      <c r="M369" t="e">
        <f>+_xlfn.XLOOKUP(tbl_encuesta[[#This Row],[Mi supervisor o jefe directo fomenta que nos apoyemos entre todos en el equipo]],#REF!,#REF!)</f>
        <v>#REF!</v>
      </c>
      <c r="N369" t="s">
        <v>22</v>
      </c>
      <c r="O369" t="e">
        <f>+_xlfn.XLOOKUP(tbl_encuesta[[#This Row],[Siento que mi trabajo es reconocido por mi supervisor o jefe directo.]],#REF!,#REF!)</f>
        <v>#REF!</v>
      </c>
      <c r="P369" t="s">
        <v>24</v>
      </c>
      <c r="Q369" t="e">
        <f xml:space="preserve">
_xlfn.XLOOKUP(
tbl_encuesta[[#This Row],[Mi supervisor o jefe directo nos brinda charlas de 5 minutos y comunica las novedades relevantes a mi puesto de trabajo]],#REF!,#REF!
)</f>
        <v>#REF!</v>
      </c>
      <c r="T369" t="s">
        <v>19</v>
      </c>
      <c r="W369" t="s">
        <v>25</v>
      </c>
      <c r="X369" t="s">
        <v>22</v>
      </c>
      <c r="Y369" t="e">
        <f>+_xlfn.XLOOKUP(tbl_encuesta[[#This Row],[Considero a Limtek como un buen lugar para trabajar]],#REF!,#REF!)</f>
        <v>#REF!</v>
      </c>
      <c r="Z369" t="s">
        <v>986</v>
      </c>
      <c r="AA369" t="s">
        <v>987</v>
      </c>
      <c r="AB369" t="s">
        <v>567</v>
      </c>
      <c r="AC369" s="3" t="s">
        <v>3716</v>
      </c>
      <c r="AD369" s="3" t="s">
        <v>3716</v>
      </c>
      <c r="AE369" t="s">
        <v>29</v>
      </c>
    </row>
    <row r="370" spans="1:31" x14ac:dyDescent="0.25">
      <c r="A370">
        <v>119031298282</v>
      </c>
      <c r="B370">
        <v>462598545</v>
      </c>
      <c r="C370" s="1">
        <v>46027.695763888885</v>
      </c>
      <c r="D370" s="1">
        <v>46027.69902777778</v>
      </c>
      <c r="E370" t="s">
        <v>988</v>
      </c>
      <c r="F370" t="s">
        <v>23</v>
      </c>
      <c r="G370" t="e">
        <f>+_xlfn.XLOOKUP(tbl_encuesta[[#This Row],[Me siento a gusto con el ambiente de trabajo que se genera en mi equipo.]],#REF!,#REF!)</f>
        <v>#REF!</v>
      </c>
      <c r="H370" t="s">
        <v>23</v>
      </c>
      <c r="I370" t="e">
        <f>+_xlfn.XLOOKUP(tbl_encuesta[[#This Row],[Me siento motivado a dar lo mejor de mí y hacer un buen trabajo]],#REF!,#REF!)</f>
        <v>#REF!</v>
      </c>
      <c r="J370" t="s">
        <v>23</v>
      </c>
      <c r="K370" t="e">
        <f>+_xlfn.XLOOKUP(tbl_encuesta[[#This Row],[Mi supervisor o jefe directo me otorga el soporte que necesito para afrontar cualquier problema que afecte mi trabajo]],#REF!,#REF!)</f>
        <v>#REF!</v>
      </c>
      <c r="L370" t="s">
        <v>23</v>
      </c>
      <c r="M370" t="e">
        <f>+_xlfn.XLOOKUP(tbl_encuesta[[#This Row],[Mi supervisor o jefe directo fomenta que nos apoyemos entre todos en el equipo]],#REF!,#REF!)</f>
        <v>#REF!</v>
      </c>
      <c r="N370" t="s">
        <v>23</v>
      </c>
      <c r="O370" t="e">
        <f>+_xlfn.XLOOKUP(tbl_encuesta[[#This Row],[Siento que mi trabajo es reconocido por mi supervisor o jefe directo.]],#REF!,#REF!)</f>
        <v>#REF!</v>
      </c>
      <c r="P370" t="s">
        <v>31</v>
      </c>
      <c r="Q370" t="e">
        <f xml:space="preserve">
_xlfn.XLOOKUP(
tbl_encuesta[[#This Row],[Mi supervisor o jefe directo nos brinda charlas de 5 minutos y comunica las novedades relevantes a mi puesto de trabajo]],#REF!,#REF!
)</f>
        <v>#REF!</v>
      </c>
      <c r="R370" t="s">
        <v>17</v>
      </c>
      <c r="S370" t="s">
        <v>18</v>
      </c>
      <c r="W370" t="s">
        <v>25</v>
      </c>
      <c r="X370" t="s">
        <v>23</v>
      </c>
      <c r="Y370" t="e">
        <f>+_xlfn.XLOOKUP(tbl_encuesta[[#This Row],[Considero a Limtek como un buen lugar para trabajar]],#REF!,#REF!)</f>
        <v>#REF!</v>
      </c>
      <c r="Z370" t="s">
        <v>989</v>
      </c>
      <c r="AA370" t="s">
        <v>122</v>
      </c>
      <c r="AB370" t="s">
        <v>28</v>
      </c>
      <c r="AC370" s="3" t="s">
        <v>3610</v>
      </c>
      <c r="AD370" s="3" t="s">
        <v>3641</v>
      </c>
      <c r="AE370" t="s">
        <v>55</v>
      </c>
    </row>
    <row r="371" spans="1:31" x14ac:dyDescent="0.25">
      <c r="A371">
        <v>119031297912</v>
      </c>
      <c r="B371">
        <v>462598545</v>
      </c>
      <c r="C371" s="1">
        <v>46027.686909722222</v>
      </c>
      <c r="D371" s="1">
        <v>46027.698518518519</v>
      </c>
      <c r="E371" t="s">
        <v>990</v>
      </c>
      <c r="F371" t="s">
        <v>23</v>
      </c>
      <c r="G371" t="e">
        <f>+_xlfn.XLOOKUP(tbl_encuesta[[#This Row],[Me siento a gusto con el ambiente de trabajo que se genera en mi equipo.]],#REF!,#REF!)</f>
        <v>#REF!</v>
      </c>
      <c r="H371" t="s">
        <v>23</v>
      </c>
      <c r="I371" t="e">
        <f>+_xlfn.XLOOKUP(tbl_encuesta[[#This Row],[Me siento motivado a dar lo mejor de mí y hacer un buen trabajo]],#REF!,#REF!)</f>
        <v>#REF!</v>
      </c>
      <c r="J371" t="s">
        <v>23</v>
      </c>
      <c r="K371" t="e">
        <f>+_xlfn.XLOOKUP(tbl_encuesta[[#This Row],[Mi supervisor o jefe directo me otorga el soporte que necesito para afrontar cualquier problema que afecte mi trabajo]],#REF!,#REF!)</f>
        <v>#REF!</v>
      </c>
      <c r="L371" t="s">
        <v>23</v>
      </c>
      <c r="M371" t="e">
        <f>+_xlfn.XLOOKUP(tbl_encuesta[[#This Row],[Mi supervisor o jefe directo fomenta que nos apoyemos entre todos en el equipo]],#REF!,#REF!)</f>
        <v>#REF!</v>
      </c>
      <c r="N371" t="s">
        <v>23</v>
      </c>
      <c r="O371" t="e">
        <f>+_xlfn.XLOOKUP(tbl_encuesta[[#This Row],[Siento que mi trabajo es reconocido por mi supervisor o jefe directo.]],#REF!,#REF!)</f>
        <v>#REF!</v>
      </c>
      <c r="P371" t="s">
        <v>31</v>
      </c>
      <c r="Q371" t="e">
        <f xml:space="preserve">
_xlfn.XLOOKUP(
tbl_encuesta[[#This Row],[Mi supervisor o jefe directo nos brinda charlas de 5 minutos y comunica las novedades relevantes a mi puesto de trabajo]],#REF!,#REF!
)</f>
        <v>#REF!</v>
      </c>
      <c r="R371" t="s">
        <v>17</v>
      </c>
      <c r="T371" t="s">
        <v>19</v>
      </c>
      <c r="W371" t="s">
        <v>25</v>
      </c>
      <c r="X371" t="s">
        <v>23</v>
      </c>
      <c r="Y371" t="e">
        <f>+_xlfn.XLOOKUP(tbl_encuesta[[#This Row],[Considero a Limtek como un buen lugar para trabajar]],#REF!,#REF!)</f>
        <v>#REF!</v>
      </c>
      <c r="Z371" t="s">
        <v>991</v>
      </c>
      <c r="AA371" t="s">
        <v>992</v>
      </c>
      <c r="AB371" t="s">
        <v>619</v>
      </c>
      <c r="AC371" s="3" t="s">
        <v>3592</v>
      </c>
      <c r="AD371" s="3" t="s">
        <v>3822</v>
      </c>
      <c r="AE371" t="s">
        <v>69</v>
      </c>
    </row>
    <row r="372" spans="1:31" x14ac:dyDescent="0.25">
      <c r="A372">
        <v>119031297900</v>
      </c>
      <c r="B372">
        <v>462598545</v>
      </c>
      <c r="C372" s="1">
        <v>46027.696157407408</v>
      </c>
      <c r="D372" s="1">
        <v>46027.698506944442</v>
      </c>
      <c r="E372" t="s">
        <v>994</v>
      </c>
      <c r="F372" t="s">
        <v>23</v>
      </c>
      <c r="G372" t="e">
        <f>+_xlfn.XLOOKUP(tbl_encuesta[[#This Row],[Me siento a gusto con el ambiente de trabajo que se genera en mi equipo.]],#REF!,#REF!)</f>
        <v>#REF!</v>
      </c>
      <c r="H372" t="s">
        <v>23</v>
      </c>
      <c r="I372" t="e">
        <f>+_xlfn.XLOOKUP(tbl_encuesta[[#This Row],[Me siento motivado a dar lo mejor de mí y hacer un buen trabajo]],#REF!,#REF!)</f>
        <v>#REF!</v>
      </c>
      <c r="J372" t="s">
        <v>22</v>
      </c>
      <c r="K372" t="e">
        <f>+_xlfn.XLOOKUP(tbl_encuesta[[#This Row],[Mi supervisor o jefe directo me otorga el soporte que necesito para afrontar cualquier problema que afecte mi trabajo]],#REF!,#REF!)</f>
        <v>#REF!</v>
      </c>
      <c r="L372" t="s">
        <v>22</v>
      </c>
      <c r="M372" t="e">
        <f>+_xlfn.XLOOKUP(tbl_encuesta[[#This Row],[Mi supervisor o jefe directo fomenta que nos apoyemos entre todos en el equipo]],#REF!,#REF!)</f>
        <v>#REF!</v>
      </c>
      <c r="N372" t="s">
        <v>22</v>
      </c>
      <c r="O372" t="e">
        <f>+_xlfn.XLOOKUP(tbl_encuesta[[#This Row],[Siento que mi trabajo es reconocido por mi supervisor o jefe directo.]],#REF!,#REF!)</f>
        <v>#REF!</v>
      </c>
      <c r="P372" t="s">
        <v>67</v>
      </c>
      <c r="Q372" t="e">
        <f xml:space="preserve">
_xlfn.XLOOKUP(
tbl_encuesta[[#This Row],[Mi supervisor o jefe directo nos brinda charlas de 5 minutos y comunica las novedades relevantes a mi puesto de trabajo]],#REF!,#REF!
)</f>
        <v>#REF!</v>
      </c>
      <c r="R372" t="s">
        <v>17</v>
      </c>
      <c r="W372" t="s">
        <v>46</v>
      </c>
      <c r="X372" t="s">
        <v>23</v>
      </c>
      <c r="Y372" t="e">
        <f>+_xlfn.XLOOKUP(tbl_encuesta[[#This Row],[Considero a Limtek como un buen lugar para trabajar]],#REF!,#REF!)</f>
        <v>#REF!</v>
      </c>
      <c r="Z372" t="s">
        <v>576</v>
      </c>
      <c r="AA372" t="s">
        <v>995</v>
      </c>
      <c r="AB372" t="s">
        <v>28</v>
      </c>
      <c r="AC372" t="s">
        <v>3744</v>
      </c>
      <c r="AD372" t="s">
        <v>3744</v>
      </c>
      <c r="AE372" t="s">
        <v>55</v>
      </c>
    </row>
    <row r="373" spans="1:31" x14ac:dyDescent="0.25">
      <c r="A373">
        <v>119031296627</v>
      </c>
      <c r="B373">
        <v>462598545</v>
      </c>
      <c r="C373" s="1">
        <v>46027.694513888891</v>
      </c>
      <c r="D373" s="1">
        <v>46027.696898148148</v>
      </c>
      <c r="E373" t="s">
        <v>996</v>
      </c>
      <c r="F373" t="s">
        <v>23</v>
      </c>
      <c r="G373" t="e">
        <f>+_xlfn.XLOOKUP(tbl_encuesta[[#This Row],[Me siento a gusto con el ambiente de trabajo que se genera en mi equipo.]],#REF!,#REF!)</f>
        <v>#REF!</v>
      </c>
      <c r="H373" t="s">
        <v>23</v>
      </c>
      <c r="I373" t="e">
        <f>+_xlfn.XLOOKUP(tbl_encuesta[[#This Row],[Me siento motivado a dar lo mejor de mí y hacer un buen trabajo]],#REF!,#REF!)</f>
        <v>#REF!</v>
      </c>
      <c r="J373" t="s">
        <v>23</v>
      </c>
      <c r="K373" t="e">
        <f>+_xlfn.XLOOKUP(tbl_encuesta[[#This Row],[Mi supervisor o jefe directo me otorga el soporte que necesito para afrontar cualquier problema que afecte mi trabajo]],#REF!,#REF!)</f>
        <v>#REF!</v>
      </c>
      <c r="L373" t="s">
        <v>23</v>
      </c>
      <c r="M373" t="e">
        <f>+_xlfn.XLOOKUP(tbl_encuesta[[#This Row],[Mi supervisor o jefe directo fomenta que nos apoyemos entre todos en el equipo]],#REF!,#REF!)</f>
        <v>#REF!</v>
      </c>
      <c r="N373" t="s">
        <v>22</v>
      </c>
      <c r="O373" t="e">
        <f>+_xlfn.XLOOKUP(tbl_encuesta[[#This Row],[Siento que mi trabajo es reconocido por mi supervisor o jefe directo.]],#REF!,#REF!)</f>
        <v>#REF!</v>
      </c>
      <c r="P373" t="s">
        <v>24</v>
      </c>
      <c r="Q373" t="e">
        <f xml:space="preserve">
_xlfn.XLOOKUP(
tbl_encuesta[[#This Row],[Mi supervisor o jefe directo nos brinda charlas de 5 minutos y comunica las novedades relevantes a mi puesto de trabajo]],#REF!,#REF!
)</f>
        <v>#REF!</v>
      </c>
      <c r="S373" t="s">
        <v>18</v>
      </c>
      <c r="T373" t="s">
        <v>19</v>
      </c>
      <c r="W373" t="s">
        <v>25</v>
      </c>
      <c r="X373" t="s">
        <v>22</v>
      </c>
      <c r="Y373" t="e">
        <f>+_xlfn.XLOOKUP(tbl_encuesta[[#This Row],[Considero a Limtek como un buen lugar para trabajar]],#REF!,#REF!)</f>
        <v>#REF!</v>
      </c>
      <c r="Z373" t="s">
        <v>663</v>
      </c>
      <c r="AA373" t="s">
        <v>997</v>
      </c>
      <c r="AB373" t="s">
        <v>567</v>
      </c>
      <c r="AC373" s="3" t="s">
        <v>3716</v>
      </c>
      <c r="AD373" s="3" t="s">
        <v>3718</v>
      </c>
      <c r="AE373" t="s">
        <v>29</v>
      </c>
    </row>
    <row r="374" spans="1:31" x14ac:dyDescent="0.25">
      <c r="A374">
        <v>119031295814</v>
      </c>
      <c r="B374">
        <v>462598545</v>
      </c>
      <c r="C374" s="1">
        <v>46027.694016203706</v>
      </c>
      <c r="D374" s="1">
        <v>46027.695879629631</v>
      </c>
      <c r="E374" t="s">
        <v>917</v>
      </c>
      <c r="F374" t="s">
        <v>23</v>
      </c>
      <c r="G374" t="e">
        <f>+_xlfn.XLOOKUP(tbl_encuesta[[#This Row],[Me siento a gusto con el ambiente de trabajo que se genera en mi equipo.]],#REF!,#REF!)</f>
        <v>#REF!</v>
      </c>
      <c r="H374" t="s">
        <v>23</v>
      </c>
      <c r="I374" t="e">
        <f>+_xlfn.XLOOKUP(tbl_encuesta[[#This Row],[Me siento motivado a dar lo mejor de mí y hacer un buen trabajo]],#REF!,#REF!)</f>
        <v>#REF!</v>
      </c>
      <c r="J374" t="s">
        <v>23</v>
      </c>
      <c r="K374" t="e">
        <f>+_xlfn.XLOOKUP(tbl_encuesta[[#This Row],[Mi supervisor o jefe directo me otorga el soporte que necesito para afrontar cualquier problema que afecte mi trabajo]],#REF!,#REF!)</f>
        <v>#REF!</v>
      </c>
      <c r="L374" t="s">
        <v>23</v>
      </c>
      <c r="M374" t="e">
        <f>+_xlfn.XLOOKUP(tbl_encuesta[[#This Row],[Mi supervisor o jefe directo fomenta que nos apoyemos entre todos en el equipo]],#REF!,#REF!)</f>
        <v>#REF!</v>
      </c>
      <c r="N374" t="s">
        <v>23</v>
      </c>
      <c r="O374" t="e">
        <f>+_xlfn.XLOOKUP(tbl_encuesta[[#This Row],[Siento que mi trabajo es reconocido por mi supervisor o jefe directo.]],#REF!,#REF!)</f>
        <v>#REF!</v>
      </c>
      <c r="P374" t="s">
        <v>67</v>
      </c>
      <c r="Q374" t="e">
        <f xml:space="preserve">
_xlfn.XLOOKUP(
tbl_encuesta[[#This Row],[Mi supervisor o jefe directo nos brinda charlas de 5 minutos y comunica las novedades relevantes a mi puesto de trabajo]],#REF!,#REF!
)</f>
        <v>#REF!</v>
      </c>
      <c r="R374" t="s">
        <v>17</v>
      </c>
      <c r="U374" t="s">
        <v>20</v>
      </c>
      <c r="W374" t="s">
        <v>25</v>
      </c>
      <c r="X374" t="s">
        <v>23</v>
      </c>
      <c r="Y374" t="e">
        <f>+_xlfn.XLOOKUP(tbl_encuesta[[#This Row],[Considero a Limtek como un buen lugar para trabajar]],#REF!,#REF!)</f>
        <v>#REF!</v>
      </c>
      <c r="Z374" t="s">
        <v>998</v>
      </c>
      <c r="AA374" t="s">
        <v>999</v>
      </c>
      <c r="AB374" t="s">
        <v>28</v>
      </c>
      <c r="AC374" s="3" t="s">
        <v>3610</v>
      </c>
      <c r="AD374" s="3" t="s">
        <v>3639</v>
      </c>
      <c r="AE374" t="s">
        <v>29</v>
      </c>
    </row>
    <row r="375" spans="1:31" x14ac:dyDescent="0.25">
      <c r="A375">
        <v>119031294404</v>
      </c>
      <c r="B375">
        <v>462598545</v>
      </c>
      <c r="C375" s="1">
        <v>46027.684490740743</v>
      </c>
      <c r="D375" s="1">
        <v>46027.693993055553</v>
      </c>
      <c r="E375" t="s">
        <v>1000</v>
      </c>
      <c r="F375" t="s">
        <v>22</v>
      </c>
      <c r="G375" t="e">
        <f>+_xlfn.XLOOKUP(tbl_encuesta[[#This Row],[Me siento a gusto con el ambiente de trabajo que se genera en mi equipo.]],#REF!,#REF!)</f>
        <v>#REF!</v>
      </c>
      <c r="H375" t="s">
        <v>23</v>
      </c>
      <c r="I375" t="e">
        <f>+_xlfn.XLOOKUP(tbl_encuesta[[#This Row],[Me siento motivado a dar lo mejor de mí y hacer un buen trabajo]],#REF!,#REF!)</f>
        <v>#REF!</v>
      </c>
      <c r="J375" t="s">
        <v>22</v>
      </c>
      <c r="K375" t="e">
        <f>+_xlfn.XLOOKUP(tbl_encuesta[[#This Row],[Mi supervisor o jefe directo me otorga el soporte que necesito para afrontar cualquier problema que afecte mi trabajo]],#REF!,#REF!)</f>
        <v>#REF!</v>
      </c>
      <c r="L375" t="s">
        <v>22</v>
      </c>
      <c r="M375" t="e">
        <f>+_xlfn.XLOOKUP(tbl_encuesta[[#This Row],[Mi supervisor o jefe directo fomenta que nos apoyemos entre todos en el equipo]],#REF!,#REF!)</f>
        <v>#REF!</v>
      </c>
      <c r="N375" t="s">
        <v>22</v>
      </c>
      <c r="O375" t="e">
        <f>+_xlfn.XLOOKUP(tbl_encuesta[[#This Row],[Siento que mi trabajo es reconocido por mi supervisor o jefe directo.]],#REF!,#REF!)</f>
        <v>#REF!</v>
      </c>
      <c r="P375" t="s">
        <v>67</v>
      </c>
      <c r="Q375" t="e">
        <f xml:space="preserve">
_xlfn.XLOOKUP(
tbl_encuesta[[#This Row],[Mi supervisor o jefe directo nos brinda charlas de 5 minutos y comunica las novedades relevantes a mi puesto de trabajo]],#REF!,#REF!
)</f>
        <v>#REF!</v>
      </c>
      <c r="S375" t="s">
        <v>18</v>
      </c>
      <c r="T375" t="s">
        <v>19</v>
      </c>
      <c r="W375" t="s">
        <v>25</v>
      </c>
      <c r="X375" t="s">
        <v>23</v>
      </c>
      <c r="Y375" t="e">
        <f>+_xlfn.XLOOKUP(tbl_encuesta[[#This Row],[Considero a Limtek como un buen lugar para trabajar]],#REF!,#REF!)</f>
        <v>#REF!</v>
      </c>
      <c r="Z375" t="s">
        <v>1001</v>
      </c>
      <c r="AA375" t="s">
        <v>1002</v>
      </c>
      <c r="AB375" t="s">
        <v>619</v>
      </c>
      <c r="AC375" s="3" t="s">
        <v>3811</v>
      </c>
      <c r="AD375" s="3" t="s">
        <v>3813</v>
      </c>
      <c r="AE375" t="s">
        <v>61</v>
      </c>
    </row>
    <row r="376" spans="1:31" x14ac:dyDescent="0.25">
      <c r="A376">
        <v>119031293851</v>
      </c>
      <c r="B376">
        <v>462598545</v>
      </c>
      <c r="C376" s="1">
        <v>46027.68922453704</v>
      </c>
      <c r="D376" s="1">
        <v>46027.69332175926</v>
      </c>
      <c r="E376" t="s">
        <v>917</v>
      </c>
      <c r="F376" t="s">
        <v>23</v>
      </c>
      <c r="G376" t="e">
        <f>+_xlfn.XLOOKUP(tbl_encuesta[[#This Row],[Me siento a gusto con el ambiente de trabajo que se genera en mi equipo.]],#REF!,#REF!)</f>
        <v>#REF!</v>
      </c>
      <c r="H376" t="s">
        <v>23</v>
      </c>
      <c r="I376" t="e">
        <f>+_xlfn.XLOOKUP(tbl_encuesta[[#This Row],[Me siento motivado a dar lo mejor de mí y hacer un buen trabajo]],#REF!,#REF!)</f>
        <v>#REF!</v>
      </c>
      <c r="J376" t="s">
        <v>23</v>
      </c>
      <c r="K376" t="e">
        <f>+_xlfn.XLOOKUP(tbl_encuesta[[#This Row],[Mi supervisor o jefe directo me otorga el soporte que necesito para afrontar cualquier problema que afecte mi trabajo]],#REF!,#REF!)</f>
        <v>#REF!</v>
      </c>
      <c r="L376" t="s">
        <v>23</v>
      </c>
      <c r="M376" t="e">
        <f>+_xlfn.XLOOKUP(tbl_encuesta[[#This Row],[Mi supervisor o jefe directo fomenta que nos apoyemos entre todos en el equipo]],#REF!,#REF!)</f>
        <v>#REF!</v>
      </c>
      <c r="N376" t="s">
        <v>23</v>
      </c>
      <c r="O376" t="e">
        <f>+_xlfn.XLOOKUP(tbl_encuesta[[#This Row],[Siento que mi trabajo es reconocido por mi supervisor o jefe directo.]],#REF!,#REF!)</f>
        <v>#REF!</v>
      </c>
      <c r="P376" t="s">
        <v>67</v>
      </c>
      <c r="Q376" t="e">
        <f xml:space="preserve">
_xlfn.XLOOKUP(
tbl_encuesta[[#This Row],[Mi supervisor o jefe directo nos brinda charlas de 5 minutos y comunica las novedades relevantes a mi puesto de trabajo]],#REF!,#REF!
)</f>
        <v>#REF!</v>
      </c>
      <c r="R376" t="s">
        <v>17</v>
      </c>
      <c r="U376" t="s">
        <v>20</v>
      </c>
      <c r="W376" t="s">
        <v>25</v>
      </c>
      <c r="X376" t="s">
        <v>23</v>
      </c>
      <c r="Y376" t="e">
        <f>+_xlfn.XLOOKUP(tbl_encuesta[[#This Row],[Considero a Limtek como un buen lugar para trabajar]],#REF!,#REF!)</f>
        <v>#REF!</v>
      </c>
      <c r="Z376" t="s">
        <v>1003</v>
      </c>
      <c r="AA376" t="s">
        <v>1004</v>
      </c>
      <c r="AB376" t="s">
        <v>28</v>
      </c>
      <c r="AC376" s="3" t="s">
        <v>3610</v>
      </c>
      <c r="AD376" s="3" t="s">
        <v>3639</v>
      </c>
      <c r="AE376" t="s">
        <v>29</v>
      </c>
    </row>
    <row r="377" spans="1:31" x14ac:dyDescent="0.25">
      <c r="A377">
        <v>119031293371</v>
      </c>
      <c r="B377">
        <v>462598545</v>
      </c>
      <c r="C377" s="1">
        <v>46027.691365740742</v>
      </c>
      <c r="D377" s="1">
        <v>46027.692708333336</v>
      </c>
      <c r="E377" t="s">
        <v>906</v>
      </c>
      <c r="F377" t="s">
        <v>23</v>
      </c>
      <c r="G377" t="e">
        <f>+_xlfn.XLOOKUP(tbl_encuesta[[#This Row],[Me siento a gusto con el ambiente de trabajo que se genera en mi equipo.]],#REF!,#REF!)</f>
        <v>#REF!</v>
      </c>
      <c r="H377" t="s">
        <v>23</v>
      </c>
      <c r="I377" t="e">
        <f>+_xlfn.XLOOKUP(tbl_encuesta[[#This Row],[Me siento motivado a dar lo mejor de mí y hacer un buen trabajo]],#REF!,#REF!)</f>
        <v>#REF!</v>
      </c>
      <c r="J377" t="s">
        <v>23</v>
      </c>
      <c r="K377" t="e">
        <f>+_xlfn.XLOOKUP(tbl_encuesta[[#This Row],[Mi supervisor o jefe directo me otorga el soporte que necesito para afrontar cualquier problema que afecte mi trabajo]],#REF!,#REF!)</f>
        <v>#REF!</v>
      </c>
      <c r="L377" t="s">
        <v>23</v>
      </c>
      <c r="M377" t="e">
        <f>+_xlfn.XLOOKUP(tbl_encuesta[[#This Row],[Mi supervisor o jefe directo fomenta que nos apoyemos entre todos en el equipo]],#REF!,#REF!)</f>
        <v>#REF!</v>
      </c>
      <c r="N377" t="s">
        <v>23</v>
      </c>
      <c r="O377" t="e">
        <f>+_xlfn.XLOOKUP(tbl_encuesta[[#This Row],[Siento que mi trabajo es reconocido por mi supervisor o jefe directo.]],#REF!,#REF!)</f>
        <v>#REF!</v>
      </c>
      <c r="P377" t="s">
        <v>67</v>
      </c>
      <c r="Q377" t="e">
        <f xml:space="preserve">
_xlfn.XLOOKUP(
tbl_encuesta[[#This Row],[Mi supervisor o jefe directo nos brinda charlas de 5 minutos y comunica las novedades relevantes a mi puesto de trabajo]],#REF!,#REF!
)</f>
        <v>#REF!</v>
      </c>
      <c r="R377" t="s">
        <v>17</v>
      </c>
      <c r="W377" t="s">
        <v>25</v>
      </c>
      <c r="X377" t="s">
        <v>23</v>
      </c>
      <c r="Y377" t="e">
        <f>+_xlfn.XLOOKUP(tbl_encuesta[[#This Row],[Considero a Limtek como un buen lugar para trabajar]],#REF!,#REF!)</f>
        <v>#REF!</v>
      </c>
      <c r="Z377" t="s">
        <v>907</v>
      </c>
      <c r="AA377" t="s">
        <v>908</v>
      </c>
      <c r="AB377" t="s">
        <v>28</v>
      </c>
      <c r="AC377" s="3" t="s">
        <v>3811</v>
      </c>
      <c r="AD377" s="3" t="s">
        <v>3813</v>
      </c>
      <c r="AE377" t="s">
        <v>34</v>
      </c>
    </row>
    <row r="378" spans="1:31" x14ac:dyDescent="0.25">
      <c r="A378">
        <v>119031292101</v>
      </c>
      <c r="B378">
        <v>462598545</v>
      </c>
      <c r="C378" s="1">
        <v>46027.684548611112</v>
      </c>
      <c r="D378" s="1">
        <v>46027.691064814811</v>
      </c>
      <c r="E378" t="s">
        <v>1005</v>
      </c>
      <c r="F378" t="s">
        <v>22</v>
      </c>
      <c r="G378" t="e">
        <f>+_xlfn.XLOOKUP(tbl_encuesta[[#This Row],[Me siento a gusto con el ambiente de trabajo que se genera en mi equipo.]],#REF!,#REF!)</f>
        <v>#REF!</v>
      </c>
      <c r="H378" t="s">
        <v>22</v>
      </c>
      <c r="I378" t="e">
        <f>+_xlfn.XLOOKUP(tbl_encuesta[[#This Row],[Me siento motivado a dar lo mejor de mí y hacer un buen trabajo]],#REF!,#REF!)</f>
        <v>#REF!</v>
      </c>
      <c r="J378" t="s">
        <v>22</v>
      </c>
      <c r="K378" t="e">
        <f>+_xlfn.XLOOKUP(tbl_encuesta[[#This Row],[Mi supervisor o jefe directo me otorga el soporte que necesito para afrontar cualquier problema que afecte mi trabajo]],#REF!,#REF!)</f>
        <v>#REF!</v>
      </c>
      <c r="L378" t="s">
        <v>22</v>
      </c>
      <c r="M378" t="e">
        <f>+_xlfn.XLOOKUP(tbl_encuesta[[#This Row],[Mi supervisor o jefe directo fomenta que nos apoyemos entre todos en el equipo]],#REF!,#REF!)</f>
        <v>#REF!</v>
      </c>
      <c r="N378" t="s">
        <v>97</v>
      </c>
      <c r="O378" t="e">
        <f>+_xlfn.XLOOKUP(tbl_encuesta[[#This Row],[Siento que mi trabajo es reconocido por mi supervisor o jefe directo.]],#REF!,#REF!)</f>
        <v>#REF!</v>
      </c>
      <c r="P378" t="s">
        <v>67</v>
      </c>
      <c r="Q378" t="e">
        <f xml:space="preserve">
_xlfn.XLOOKUP(
tbl_encuesta[[#This Row],[Mi supervisor o jefe directo nos brinda charlas de 5 minutos y comunica las novedades relevantes a mi puesto de trabajo]],#REF!,#REF!
)</f>
        <v>#REF!</v>
      </c>
      <c r="T378" t="s">
        <v>19</v>
      </c>
      <c r="U378" t="s">
        <v>20</v>
      </c>
      <c r="W378" t="s">
        <v>25</v>
      </c>
      <c r="X378" t="s">
        <v>22</v>
      </c>
      <c r="Y378" t="e">
        <f>+_xlfn.XLOOKUP(tbl_encuesta[[#This Row],[Considero a Limtek como un buen lugar para trabajar]],#REF!,#REF!)</f>
        <v>#REF!</v>
      </c>
      <c r="Z378" t="s">
        <v>1006</v>
      </c>
      <c r="AA378" t="s">
        <v>1007</v>
      </c>
      <c r="AB378" t="s">
        <v>619</v>
      </c>
      <c r="AC378" s="3" t="s">
        <v>3811</v>
      </c>
      <c r="AD378" s="3" t="s">
        <v>3813</v>
      </c>
      <c r="AE378" t="s">
        <v>29</v>
      </c>
    </row>
    <row r="379" spans="1:31" x14ac:dyDescent="0.25">
      <c r="A379">
        <v>119031291979</v>
      </c>
      <c r="B379">
        <v>462598545</v>
      </c>
      <c r="C379" s="1">
        <v>46027.688449074078</v>
      </c>
      <c r="D379" s="1">
        <v>46027.690868055557</v>
      </c>
      <c r="E379" t="s">
        <v>1008</v>
      </c>
      <c r="F379" t="s">
        <v>23</v>
      </c>
      <c r="G379" t="e">
        <f>+_xlfn.XLOOKUP(tbl_encuesta[[#This Row],[Me siento a gusto con el ambiente de trabajo que se genera en mi equipo.]],#REF!,#REF!)</f>
        <v>#REF!</v>
      </c>
      <c r="H379" t="s">
        <v>23</v>
      </c>
      <c r="I379" t="e">
        <f>+_xlfn.XLOOKUP(tbl_encuesta[[#This Row],[Me siento motivado a dar lo mejor de mí y hacer un buen trabajo]],#REF!,#REF!)</f>
        <v>#REF!</v>
      </c>
      <c r="J379" t="s">
        <v>23</v>
      </c>
      <c r="K379" t="e">
        <f>+_xlfn.XLOOKUP(tbl_encuesta[[#This Row],[Mi supervisor o jefe directo me otorga el soporte que necesito para afrontar cualquier problema que afecte mi trabajo]],#REF!,#REF!)</f>
        <v>#REF!</v>
      </c>
      <c r="L379" t="s">
        <v>23</v>
      </c>
      <c r="M379" t="e">
        <f>+_xlfn.XLOOKUP(tbl_encuesta[[#This Row],[Mi supervisor o jefe directo fomenta que nos apoyemos entre todos en el equipo]],#REF!,#REF!)</f>
        <v>#REF!</v>
      </c>
      <c r="N379" t="s">
        <v>23</v>
      </c>
      <c r="O379" t="e">
        <f>+_xlfn.XLOOKUP(tbl_encuesta[[#This Row],[Siento que mi trabajo es reconocido por mi supervisor o jefe directo.]],#REF!,#REF!)</f>
        <v>#REF!</v>
      </c>
      <c r="P379" t="s">
        <v>67</v>
      </c>
      <c r="Q379" t="e">
        <f xml:space="preserve">
_xlfn.XLOOKUP(
tbl_encuesta[[#This Row],[Mi supervisor o jefe directo nos brinda charlas de 5 minutos y comunica las novedades relevantes a mi puesto de trabajo]],#REF!,#REF!
)</f>
        <v>#REF!</v>
      </c>
      <c r="R379" t="s">
        <v>17</v>
      </c>
      <c r="S379" t="s">
        <v>18</v>
      </c>
      <c r="W379" t="s">
        <v>25</v>
      </c>
      <c r="X379" t="s">
        <v>23</v>
      </c>
      <c r="Y379" t="e">
        <f>+_xlfn.XLOOKUP(tbl_encuesta[[#This Row],[Considero a Limtek como un buen lugar para trabajar]],#REF!,#REF!)</f>
        <v>#REF!</v>
      </c>
      <c r="Z379" t="s">
        <v>1009</v>
      </c>
      <c r="AA379" t="s">
        <v>1010</v>
      </c>
      <c r="AB379" t="s">
        <v>567</v>
      </c>
      <c r="AC379" s="3" t="s">
        <v>3758</v>
      </c>
      <c r="AD379" s="3" t="s">
        <v>3788</v>
      </c>
      <c r="AE379" t="s">
        <v>34</v>
      </c>
    </row>
    <row r="380" spans="1:31" x14ac:dyDescent="0.25">
      <c r="A380">
        <v>119031291862</v>
      </c>
      <c r="B380">
        <v>462598545</v>
      </c>
      <c r="C380" s="1">
        <v>46027.681759259256</v>
      </c>
      <c r="D380" s="1">
        <v>46027.690706018519</v>
      </c>
      <c r="E380" t="s">
        <v>906</v>
      </c>
      <c r="F380" t="s">
        <v>23</v>
      </c>
      <c r="G380" t="e">
        <f>+_xlfn.XLOOKUP(tbl_encuesta[[#This Row],[Me siento a gusto con el ambiente de trabajo que se genera en mi equipo.]],#REF!,#REF!)</f>
        <v>#REF!</v>
      </c>
      <c r="H380" t="s">
        <v>23</v>
      </c>
      <c r="I380" t="e">
        <f>+_xlfn.XLOOKUP(tbl_encuesta[[#This Row],[Me siento motivado a dar lo mejor de mí y hacer un buen trabajo]],#REF!,#REF!)</f>
        <v>#REF!</v>
      </c>
      <c r="J380" t="s">
        <v>23</v>
      </c>
      <c r="K380" t="e">
        <f>+_xlfn.XLOOKUP(tbl_encuesta[[#This Row],[Mi supervisor o jefe directo me otorga el soporte que necesito para afrontar cualquier problema que afecte mi trabajo]],#REF!,#REF!)</f>
        <v>#REF!</v>
      </c>
      <c r="L380" t="s">
        <v>23</v>
      </c>
      <c r="M380" t="e">
        <f>+_xlfn.XLOOKUP(tbl_encuesta[[#This Row],[Mi supervisor o jefe directo fomenta que nos apoyemos entre todos en el equipo]],#REF!,#REF!)</f>
        <v>#REF!</v>
      </c>
      <c r="N380" t="s">
        <v>23</v>
      </c>
      <c r="O380" t="e">
        <f>+_xlfn.XLOOKUP(tbl_encuesta[[#This Row],[Siento que mi trabajo es reconocido por mi supervisor o jefe directo.]],#REF!,#REF!)</f>
        <v>#REF!</v>
      </c>
      <c r="P380" t="s">
        <v>67</v>
      </c>
      <c r="Q380" t="e">
        <f xml:space="preserve">
_xlfn.XLOOKUP(
tbl_encuesta[[#This Row],[Mi supervisor o jefe directo nos brinda charlas de 5 minutos y comunica las novedades relevantes a mi puesto de trabajo]],#REF!,#REF!
)</f>
        <v>#REF!</v>
      </c>
      <c r="R380" t="s">
        <v>17</v>
      </c>
      <c r="W380" t="s">
        <v>25</v>
      </c>
      <c r="X380" t="s">
        <v>22</v>
      </c>
      <c r="Y380" t="e">
        <f>+_xlfn.XLOOKUP(tbl_encuesta[[#This Row],[Considero a Limtek como un buen lugar para trabajar]],#REF!,#REF!)</f>
        <v>#REF!</v>
      </c>
      <c r="Z380" t="s">
        <v>907</v>
      </c>
      <c r="AA380" t="s">
        <v>908</v>
      </c>
      <c r="AB380" t="s">
        <v>28</v>
      </c>
      <c r="AC380" s="3" t="s">
        <v>3811</v>
      </c>
      <c r="AD380" s="3" t="s">
        <v>3813</v>
      </c>
      <c r="AE380" t="s">
        <v>34</v>
      </c>
    </row>
    <row r="381" spans="1:31" x14ac:dyDescent="0.25">
      <c r="A381">
        <v>119031291532</v>
      </c>
      <c r="B381">
        <v>462598545</v>
      </c>
      <c r="C381" s="1">
        <v>46027.677754629629</v>
      </c>
      <c r="D381" s="1">
        <v>46027.690243055556</v>
      </c>
      <c r="E381" t="s">
        <v>1011</v>
      </c>
      <c r="F381" t="s">
        <v>23</v>
      </c>
      <c r="G381" t="e">
        <f>+_xlfn.XLOOKUP(tbl_encuesta[[#This Row],[Me siento a gusto con el ambiente de trabajo que se genera en mi equipo.]],#REF!,#REF!)</f>
        <v>#REF!</v>
      </c>
      <c r="H381" t="s">
        <v>23</v>
      </c>
      <c r="I381" t="e">
        <f>+_xlfn.XLOOKUP(tbl_encuesta[[#This Row],[Me siento motivado a dar lo mejor de mí y hacer un buen trabajo]],#REF!,#REF!)</f>
        <v>#REF!</v>
      </c>
      <c r="J381" t="s">
        <v>23</v>
      </c>
      <c r="K381" t="e">
        <f>+_xlfn.XLOOKUP(tbl_encuesta[[#This Row],[Mi supervisor o jefe directo me otorga el soporte que necesito para afrontar cualquier problema que afecte mi trabajo]],#REF!,#REF!)</f>
        <v>#REF!</v>
      </c>
      <c r="L381" t="s">
        <v>23</v>
      </c>
      <c r="M381" t="e">
        <f>+_xlfn.XLOOKUP(tbl_encuesta[[#This Row],[Mi supervisor o jefe directo fomenta que nos apoyemos entre todos en el equipo]],#REF!,#REF!)</f>
        <v>#REF!</v>
      </c>
      <c r="N381" t="s">
        <v>23</v>
      </c>
      <c r="O381" t="e">
        <f>+_xlfn.XLOOKUP(tbl_encuesta[[#This Row],[Siento que mi trabajo es reconocido por mi supervisor o jefe directo.]],#REF!,#REF!)</f>
        <v>#REF!</v>
      </c>
      <c r="P381" t="s">
        <v>31</v>
      </c>
      <c r="Q381" t="e">
        <f xml:space="preserve">
_xlfn.XLOOKUP(
tbl_encuesta[[#This Row],[Mi supervisor o jefe directo nos brinda charlas de 5 minutos y comunica las novedades relevantes a mi puesto de trabajo]],#REF!,#REF!
)</f>
        <v>#REF!</v>
      </c>
      <c r="R381" t="s">
        <v>17</v>
      </c>
      <c r="T381" t="s">
        <v>19</v>
      </c>
      <c r="W381" t="s">
        <v>25</v>
      </c>
      <c r="X381" t="s">
        <v>23</v>
      </c>
      <c r="Y381" t="e">
        <f>+_xlfn.XLOOKUP(tbl_encuesta[[#This Row],[Considero a Limtek como un buen lugar para trabajar]],#REF!,#REF!)</f>
        <v>#REF!</v>
      </c>
      <c r="Z381" t="s">
        <v>1012</v>
      </c>
      <c r="AA381" t="s">
        <v>1013</v>
      </c>
      <c r="AB381" t="s">
        <v>28</v>
      </c>
      <c r="AC381" t="s">
        <v>3744</v>
      </c>
      <c r="AD381" t="s">
        <v>3744</v>
      </c>
      <c r="AE381" t="s">
        <v>34</v>
      </c>
    </row>
    <row r="382" spans="1:31" x14ac:dyDescent="0.25">
      <c r="A382">
        <v>119031290608</v>
      </c>
      <c r="B382">
        <v>462598545</v>
      </c>
      <c r="C382" s="1">
        <v>46027.685428240744</v>
      </c>
      <c r="D382" s="1">
        <v>46027.689074074071</v>
      </c>
      <c r="E382" t="s">
        <v>1014</v>
      </c>
      <c r="F382" t="s">
        <v>23</v>
      </c>
      <c r="G382" t="e">
        <f>+_xlfn.XLOOKUP(tbl_encuesta[[#This Row],[Me siento a gusto con el ambiente de trabajo que se genera en mi equipo.]],#REF!,#REF!)</f>
        <v>#REF!</v>
      </c>
      <c r="H382" t="s">
        <v>23</v>
      </c>
      <c r="I382" t="e">
        <f>+_xlfn.XLOOKUP(tbl_encuesta[[#This Row],[Me siento motivado a dar lo mejor de mí y hacer un buen trabajo]],#REF!,#REF!)</f>
        <v>#REF!</v>
      </c>
      <c r="J382" t="s">
        <v>23</v>
      </c>
      <c r="K382" t="e">
        <f>+_xlfn.XLOOKUP(tbl_encuesta[[#This Row],[Mi supervisor o jefe directo me otorga el soporte que necesito para afrontar cualquier problema que afecte mi trabajo]],#REF!,#REF!)</f>
        <v>#REF!</v>
      </c>
      <c r="L382" t="s">
        <v>23</v>
      </c>
      <c r="M382" t="e">
        <f>+_xlfn.XLOOKUP(tbl_encuesta[[#This Row],[Mi supervisor o jefe directo fomenta que nos apoyemos entre todos en el equipo]],#REF!,#REF!)</f>
        <v>#REF!</v>
      </c>
      <c r="N382" t="s">
        <v>22</v>
      </c>
      <c r="O382" t="e">
        <f>+_xlfn.XLOOKUP(tbl_encuesta[[#This Row],[Siento que mi trabajo es reconocido por mi supervisor o jefe directo.]],#REF!,#REF!)</f>
        <v>#REF!</v>
      </c>
      <c r="P382" t="s">
        <v>67</v>
      </c>
      <c r="Q382" t="e">
        <f xml:space="preserve">
_xlfn.XLOOKUP(
tbl_encuesta[[#This Row],[Mi supervisor o jefe directo nos brinda charlas de 5 minutos y comunica las novedades relevantes a mi puesto de trabajo]],#REF!,#REF!
)</f>
        <v>#REF!</v>
      </c>
      <c r="R382" t="s">
        <v>17</v>
      </c>
      <c r="S382" t="s">
        <v>18</v>
      </c>
      <c r="W382" t="s">
        <v>25</v>
      </c>
      <c r="X382" t="s">
        <v>23</v>
      </c>
      <c r="Y382" t="e">
        <f>+_xlfn.XLOOKUP(tbl_encuesta[[#This Row],[Considero a Limtek como un buen lugar para trabajar]],#REF!,#REF!)</f>
        <v>#REF!</v>
      </c>
      <c r="Z382" t="s">
        <v>1015</v>
      </c>
      <c r="AA382" t="s">
        <v>1016</v>
      </c>
      <c r="AB382" t="s">
        <v>567</v>
      </c>
      <c r="AC382" s="3" t="s">
        <v>3716</v>
      </c>
      <c r="AD382" s="3" t="s">
        <v>3718</v>
      </c>
      <c r="AE382" t="s">
        <v>69</v>
      </c>
    </row>
    <row r="383" spans="1:31" x14ac:dyDescent="0.25">
      <c r="A383">
        <v>119031289823</v>
      </c>
      <c r="B383">
        <v>462598545</v>
      </c>
      <c r="C383" s="1">
        <v>46027.682789351849</v>
      </c>
      <c r="D383" s="1">
        <v>46027.688159722224</v>
      </c>
      <c r="E383" t="s">
        <v>1017</v>
      </c>
      <c r="F383" t="s">
        <v>23</v>
      </c>
      <c r="G383" t="e">
        <f>+_xlfn.XLOOKUP(tbl_encuesta[[#This Row],[Me siento a gusto con el ambiente de trabajo que se genera en mi equipo.]],#REF!,#REF!)</f>
        <v>#REF!</v>
      </c>
      <c r="H383" t="s">
        <v>23</v>
      </c>
      <c r="I383" t="e">
        <f>+_xlfn.XLOOKUP(tbl_encuesta[[#This Row],[Me siento motivado a dar lo mejor de mí y hacer un buen trabajo]],#REF!,#REF!)</f>
        <v>#REF!</v>
      </c>
      <c r="J383" t="s">
        <v>23</v>
      </c>
      <c r="K383" t="e">
        <f>+_xlfn.XLOOKUP(tbl_encuesta[[#This Row],[Mi supervisor o jefe directo me otorga el soporte que necesito para afrontar cualquier problema que afecte mi trabajo]],#REF!,#REF!)</f>
        <v>#REF!</v>
      </c>
      <c r="L383" t="s">
        <v>23</v>
      </c>
      <c r="M383" t="e">
        <f>+_xlfn.XLOOKUP(tbl_encuesta[[#This Row],[Mi supervisor o jefe directo fomenta que nos apoyemos entre todos en el equipo]],#REF!,#REF!)</f>
        <v>#REF!</v>
      </c>
      <c r="N383" t="s">
        <v>23</v>
      </c>
      <c r="O383" t="e">
        <f>+_xlfn.XLOOKUP(tbl_encuesta[[#This Row],[Siento que mi trabajo es reconocido por mi supervisor o jefe directo.]],#REF!,#REF!)</f>
        <v>#REF!</v>
      </c>
      <c r="P383" t="s">
        <v>31</v>
      </c>
      <c r="Q383" t="e">
        <f xml:space="preserve">
_xlfn.XLOOKUP(
tbl_encuesta[[#This Row],[Mi supervisor o jefe directo nos brinda charlas de 5 minutos y comunica las novedades relevantes a mi puesto de trabajo]],#REF!,#REF!
)</f>
        <v>#REF!</v>
      </c>
      <c r="T383" t="s">
        <v>19</v>
      </c>
      <c r="U383" t="s">
        <v>20</v>
      </c>
      <c r="W383" t="s">
        <v>25</v>
      </c>
      <c r="X383" t="s">
        <v>23</v>
      </c>
      <c r="Y383" t="e">
        <f>+_xlfn.XLOOKUP(tbl_encuesta[[#This Row],[Considero a Limtek como un buen lugar para trabajar]],#REF!,#REF!)</f>
        <v>#REF!</v>
      </c>
      <c r="Z383" t="s">
        <v>1018</v>
      </c>
      <c r="AA383" t="s">
        <v>1019</v>
      </c>
      <c r="AB383" t="s">
        <v>553</v>
      </c>
      <c r="AC383" s="3" t="s">
        <v>3755</v>
      </c>
      <c r="AD383" s="3" t="s">
        <v>3798</v>
      </c>
      <c r="AE383" t="s">
        <v>69</v>
      </c>
    </row>
    <row r="384" spans="1:31" x14ac:dyDescent="0.25">
      <c r="A384">
        <v>119031288906</v>
      </c>
      <c r="B384">
        <v>462598545</v>
      </c>
      <c r="C384" s="1">
        <v>46027.680902777778</v>
      </c>
      <c r="D384" s="1">
        <v>46027.686944444446</v>
      </c>
      <c r="E384" t="s">
        <v>1020</v>
      </c>
      <c r="F384" t="s">
        <v>23</v>
      </c>
      <c r="G384" t="e">
        <f>+_xlfn.XLOOKUP(tbl_encuesta[[#This Row],[Me siento a gusto con el ambiente de trabajo que se genera en mi equipo.]],#REF!,#REF!)</f>
        <v>#REF!</v>
      </c>
      <c r="H384" t="s">
        <v>23</v>
      </c>
      <c r="I384" t="e">
        <f>+_xlfn.XLOOKUP(tbl_encuesta[[#This Row],[Me siento motivado a dar lo mejor de mí y hacer un buen trabajo]],#REF!,#REF!)</f>
        <v>#REF!</v>
      </c>
      <c r="J384" t="s">
        <v>23</v>
      </c>
      <c r="K384" t="e">
        <f>+_xlfn.XLOOKUP(tbl_encuesta[[#This Row],[Mi supervisor o jefe directo me otorga el soporte que necesito para afrontar cualquier problema que afecte mi trabajo]],#REF!,#REF!)</f>
        <v>#REF!</v>
      </c>
      <c r="L384" t="s">
        <v>23</v>
      </c>
      <c r="M384" t="e">
        <f>+_xlfn.XLOOKUP(tbl_encuesta[[#This Row],[Mi supervisor o jefe directo fomenta que nos apoyemos entre todos en el equipo]],#REF!,#REF!)</f>
        <v>#REF!</v>
      </c>
      <c r="N384" t="s">
        <v>23</v>
      </c>
      <c r="O384" t="e">
        <f>+_xlfn.XLOOKUP(tbl_encuesta[[#This Row],[Siento que mi trabajo es reconocido por mi supervisor o jefe directo.]],#REF!,#REF!)</f>
        <v>#REF!</v>
      </c>
      <c r="P384" t="s">
        <v>175</v>
      </c>
      <c r="Q384" t="e">
        <f xml:space="preserve">
_xlfn.XLOOKUP(
tbl_encuesta[[#This Row],[Mi supervisor o jefe directo nos brinda charlas de 5 minutos y comunica las novedades relevantes a mi puesto de trabajo]],#REF!,#REF!
)</f>
        <v>#REF!</v>
      </c>
      <c r="R384" t="s">
        <v>17</v>
      </c>
      <c r="S384" t="s">
        <v>18</v>
      </c>
      <c r="W384" t="s">
        <v>25</v>
      </c>
      <c r="X384" t="s">
        <v>23</v>
      </c>
      <c r="Y384" t="e">
        <f>+_xlfn.XLOOKUP(tbl_encuesta[[#This Row],[Considero a Limtek como un buen lugar para trabajar]],#REF!,#REF!)</f>
        <v>#REF!</v>
      </c>
      <c r="Z384" t="s">
        <v>1021</v>
      </c>
      <c r="AA384" t="s">
        <v>1022</v>
      </c>
      <c r="AB384" t="s">
        <v>567</v>
      </c>
      <c r="AC384" s="3" t="s">
        <v>3716</v>
      </c>
      <c r="AD384" s="3" t="s">
        <v>3718</v>
      </c>
      <c r="AE384" t="s">
        <v>29</v>
      </c>
    </row>
    <row r="385" spans="1:31" x14ac:dyDescent="0.25">
      <c r="A385">
        <v>119031288828</v>
      </c>
      <c r="B385">
        <v>462598545</v>
      </c>
      <c r="C385" s="1">
        <v>46027.681666666664</v>
      </c>
      <c r="D385" s="1">
        <v>46027.686840277776</v>
      </c>
      <c r="E385" t="s">
        <v>1008</v>
      </c>
      <c r="F385" t="s">
        <v>23</v>
      </c>
      <c r="G385" t="e">
        <f>+_xlfn.XLOOKUP(tbl_encuesta[[#This Row],[Me siento a gusto con el ambiente de trabajo que se genera en mi equipo.]],#REF!,#REF!)</f>
        <v>#REF!</v>
      </c>
      <c r="H385" t="s">
        <v>23</v>
      </c>
      <c r="I385" t="e">
        <f>+_xlfn.XLOOKUP(tbl_encuesta[[#This Row],[Me siento motivado a dar lo mejor de mí y hacer un buen trabajo]],#REF!,#REF!)</f>
        <v>#REF!</v>
      </c>
      <c r="J385" t="s">
        <v>22</v>
      </c>
      <c r="K385" t="e">
        <f>+_xlfn.XLOOKUP(tbl_encuesta[[#This Row],[Mi supervisor o jefe directo me otorga el soporte que necesito para afrontar cualquier problema que afecte mi trabajo]],#REF!,#REF!)</f>
        <v>#REF!</v>
      </c>
      <c r="L385" t="s">
        <v>23</v>
      </c>
      <c r="M385" t="e">
        <f>+_xlfn.XLOOKUP(tbl_encuesta[[#This Row],[Mi supervisor o jefe directo fomenta que nos apoyemos entre todos en el equipo]],#REF!,#REF!)</f>
        <v>#REF!</v>
      </c>
      <c r="N385" t="s">
        <v>23</v>
      </c>
      <c r="O385" t="e">
        <f>+_xlfn.XLOOKUP(tbl_encuesta[[#This Row],[Siento que mi trabajo es reconocido por mi supervisor o jefe directo.]],#REF!,#REF!)</f>
        <v>#REF!</v>
      </c>
      <c r="P385" t="s">
        <v>67</v>
      </c>
      <c r="Q385" t="e">
        <f xml:space="preserve">
_xlfn.XLOOKUP(
tbl_encuesta[[#This Row],[Mi supervisor o jefe directo nos brinda charlas de 5 minutos y comunica las novedades relevantes a mi puesto de trabajo]],#REF!,#REF!
)</f>
        <v>#REF!</v>
      </c>
      <c r="R385" t="s">
        <v>17</v>
      </c>
      <c r="S385" t="s">
        <v>18</v>
      </c>
      <c r="W385" t="s">
        <v>25</v>
      </c>
      <c r="X385" t="s">
        <v>22</v>
      </c>
      <c r="Y385" t="e">
        <f>+_xlfn.XLOOKUP(tbl_encuesta[[#This Row],[Considero a Limtek como un buen lugar para trabajar]],#REF!,#REF!)</f>
        <v>#REF!</v>
      </c>
      <c r="Z385" t="s">
        <v>1023</v>
      </c>
      <c r="AA385" t="s">
        <v>1024</v>
      </c>
      <c r="AB385" t="s">
        <v>567</v>
      </c>
      <c r="AC385" s="3" t="s">
        <v>3758</v>
      </c>
      <c r="AD385" s="3" t="s">
        <v>3788</v>
      </c>
      <c r="AE385" t="s">
        <v>34</v>
      </c>
    </row>
    <row r="386" spans="1:31" x14ac:dyDescent="0.25">
      <c r="A386">
        <v>119031287906</v>
      </c>
      <c r="B386">
        <v>462598545</v>
      </c>
      <c r="C386" s="1">
        <v>46027.683645833335</v>
      </c>
      <c r="D386" s="1">
        <v>46027.685659722221</v>
      </c>
      <c r="E386" t="s">
        <v>1025</v>
      </c>
      <c r="F386" t="s">
        <v>97</v>
      </c>
      <c r="G386" t="e">
        <f>+_xlfn.XLOOKUP(tbl_encuesta[[#This Row],[Me siento a gusto con el ambiente de trabajo que se genera en mi equipo.]],#REF!,#REF!)</f>
        <v>#REF!</v>
      </c>
      <c r="H386" t="s">
        <v>22</v>
      </c>
      <c r="I386" t="e">
        <f>+_xlfn.XLOOKUP(tbl_encuesta[[#This Row],[Me siento motivado a dar lo mejor de mí y hacer un buen trabajo]],#REF!,#REF!)</f>
        <v>#REF!</v>
      </c>
      <c r="J386" t="s">
        <v>97</v>
      </c>
      <c r="K386" t="e">
        <f>+_xlfn.XLOOKUP(tbl_encuesta[[#This Row],[Mi supervisor o jefe directo me otorga el soporte que necesito para afrontar cualquier problema que afecte mi trabajo]],#REF!,#REF!)</f>
        <v>#REF!</v>
      </c>
      <c r="L386" t="s">
        <v>97</v>
      </c>
      <c r="M386" t="e">
        <f>+_xlfn.XLOOKUP(tbl_encuesta[[#This Row],[Mi supervisor o jefe directo fomenta que nos apoyemos entre todos en el equipo]],#REF!,#REF!)</f>
        <v>#REF!</v>
      </c>
      <c r="N386" t="s">
        <v>97</v>
      </c>
      <c r="O386" t="e">
        <f>+_xlfn.XLOOKUP(tbl_encuesta[[#This Row],[Siento que mi trabajo es reconocido por mi supervisor o jefe directo.]],#REF!,#REF!)</f>
        <v>#REF!</v>
      </c>
      <c r="P386" t="s">
        <v>175</v>
      </c>
      <c r="Q386" t="e">
        <f xml:space="preserve">
_xlfn.XLOOKUP(
tbl_encuesta[[#This Row],[Mi supervisor o jefe directo nos brinda charlas de 5 minutos y comunica las novedades relevantes a mi puesto de trabajo]],#REF!,#REF!
)</f>
        <v>#REF!</v>
      </c>
      <c r="S386" t="s">
        <v>18</v>
      </c>
      <c r="T386" t="s">
        <v>19</v>
      </c>
      <c r="W386" t="s">
        <v>25</v>
      </c>
      <c r="X386" t="s">
        <v>22</v>
      </c>
      <c r="Y386" t="e">
        <f>+_xlfn.XLOOKUP(tbl_encuesta[[#This Row],[Considero a Limtek como un buen lugar para trabajar]],#REF!,#REF!)</f>
        <v>#REF!</v>
      </c>
      <c r="Z386" t="s">
        <v>1026</v>
      </c>
      <c r="AA386" t="s">
        <v>1027</v>
      </c>
      <c r="AB386" t="s">
        <v>567</v>
      </c>
      <c r="AC386" s="3" t="s">
        <v>3716</v>
      </c>
      <c r="AD386" s="3" t="s">
        <v>3716</v>
      </c>
      <c r="AE386" t="s">
        <v>29</v>
      </c>
    </row>
    <row r="387" spans="1:31" x14ac:dyDescent="0.25">
      <c r="A387">
        <v>119031287644</v>
      </c>
      <c r="B387">
        <v>462598545</v>
      </c>
      <c r="C387" s="1">
        <v>46027.683749999997</v>
      </c>
      <c r="D387" s="1">
        <v>46027.685312499998</v>
      </c>
      <c r="E387" t="s">
        <v>1028</v>
      </c>
      <c r="F387" t="s">
        <v>22</v>
      </c>
      <c r="G387" t="e">
        <f>+_xlfn.XLOOKUP(tbl_encuesta[[#This Row],[Me siento a gusto con el ambiente de trabajo que se genera en mi equipo.]],#REF!,#REF!)</f>
        <v>#REF!</v>
      </c>
      <c r="H387" t="s">
        <v>22</v>
      </c>
      <c r="I387" t="e">
        <f>+_xlfn.XLOOKUP(tbl_encuesta[[#This Row],[Me siento motivado a dar lo mejor de mí y hacer un buen trabajo]],#REF!,#REF!)</f>
        <v>#REF!</v>
      </c>
      <c r="J387" t="s">
        <v>22</v>
      </c>
      <c r="K387" t="e">
        <f>+_xlfn.XLOOKUP(tbl_encuesta[[#This Row],[Mi supervisor o jefe directo me otorga el soporte que necesito para afrontar cualquier problema que afecte mi trabajo]],#REF!,#REF!)</f>
        <v>#REF!</v>
      </c>
      <c r="L387" t="s">
        <v>22</v>
      </c>
      <c r="M387" t="e">
        <f>+_xlfn.XLOOKUP(tbl_encuesta[[#This Row],[Mi supervisor o jefe directo fomenta que nos apoyemos entre todos en el equipo]],#REF!,#REF!)</f>
        <v>#REF!</v>
      </c>
      <c r="N387" t="s">
        <v>43</v>
      </c>
      <c r="O387" t="e">
        <f>+_xlfn.XLOOKUP(tbl_encuesta[[#This Row],[Siento que mi trabajo es reconocido por mi supervisor o jefe directo.]],#REF!,#REF!)</f>
        <v>#REF!</v>
      </c>
      <c r="P387" t="s">
        <v>175</v>
      </c>
      <c r="Q387" t="e">
        <f xml:space="preserve">
_xlfn.XLOOKUP(
tbl_encuesta[[#This Row],[Mi supervisor o jefe directo nos brinda charlas de 5 minutos y comunica las novedades relevantes a mi puesto de trabajo]],#REF!,#REF!
)</f>
        <v>#REF!</v>
      </c>
      <c r="S387" t="s">
        <v>18</v>
      </c>
      <c r="W387" t="s">
        <v>25</v>
      </c>
      <c r="X387" t="s">
        <v>22</v>
      </c>
      <c r="Y387" t="e">
        <f>+_xlfn.XLOOKUP(tbl_encuesta[[#This Row],[Considero a Limtek como un buen lugar para trabajar]],#REF!,#REF!)</f>
        <v>#REF!</v>
      </c>
      <c r="Z387" t="s">
        <v>1029</v>
      </c>
      <c r="AA387" t="s">
        <v>1030</v>
      </c>
      <c r="AB387" t="s">
        <v>567</v>
      </c>
      <c r="AC387" s="3" t="s">
        <v>3716</v>
      </c>
      <c r="AD387" s="3" t="s">
        <v>3718</v>
      </c>
      <c r="AE387" t="s">
        <v>29</v>
      </c>
    </row>
    <row r="388" spans="1:31" x14ac:dyDescent="0.25">
      <c r="A388">
        <v>119031284921</v>
      </c>
      <c r="B388">
        <v>462598545</v>
      </c>
      <c r="C388" s="1">
        <v>46027.679756944446</v>
      </c>
      <c r="D388" s="1">
        <v>46027.682071759256</v>
      </c>
      <c r="E388" t="s">
        <v>878</v>
      </c>
      <c r="F388" t="s">
        <v>22</v>
      </c>
      <c r="G388" t="e">
        <f>+_xlfn.XLOOKUP(tbl_encuesta[[#This Row],[Me siento a gusto con el ambiente de trabajo que se genera en mi equipo.]],#REF!,#REF!)</f>
        <v>#REF!</v>
      </c>
      <c r="H388" t="s">
        <v>22</v>
      </c>
      <c r="I388" t="e">
        <f>+_xlfn.XLOOKUP(tbl_encuesta[[#This Row],[Me siento motivado a dar lo mejor de mí y hacer un buen trabajo]],#REF!,#REF!)</f>
        <v>#REF!</v>
      </c>
      <c r="J388" t="s">
        <v>22</v>
      </c>
      <c r="K388" t="e">
        <f>+_xlfn.XLOOKUP(tbl_encuesta[[#This Row],[Mi supervisor o jefe directo me otorga el soporte que necesito para afrontar cualquier problema que afecte mi trabajo]],#REF!,#REF!)</f>
        <v>#REF!</v>
      </c>
      <c r="L388" t="s">
        <v>23</v>
      </c>
      <c r="M388" t="e">
        <f>+_xlfn.XLOOKUP(tbl_encuesta[[#This Row],[Mi supervisor o jefe directo fomenta que nos apoyemos entre todos en el equipo]],#REF!,#REF!)</f>
        <v>#REF!</v>
      </c>
      <c r="N388" t="s">
        <v>22</v>
      </c>
      <c r="O388" t="e">
        <f>+_xlfn.XLOOKUP(tbl_encuesta[[#This Row],[Siento que mi trabajo es reconocido por mi supervisor o jefe directo.]],#REF!,#REF!)</f>
        <v>#REF!</v>
      </c>
      <c r="P388" t="s">
        <v>24</v>
      </c>
      <c r="Q388" t="e">
        <f xml:space="preserve">
_xlfn.XLOOKUP(
tbl_encuesta[[#This Row],[Mi supervisor o jefe directo nos brinda charlas de 5 minutos y comunica las novedades relevantes a mi puesto de trabajo]],#REF!,#REF!
)</f>
        <v>#REF!</v>
      </c>
      <c r="R388" t="s">
        <v>17</v>
      </c>
      <c r="W388" t="s">
        <v>25</v>
      </c>
      <c r="X388" t="s">
        <v>22</v>
      </c>
      <c r="Y388" t="e">
        <f>+_xlfn.XLOOKUP(tbl_encuesta[[#This Row],[Considero a Limtek como un buen lugar para trabajar]],#REF!,#REF!)</f>
        <v>#REF!</v>
      </c>
      <c r="Z388" t="s">
        <v>1031</v>
      </c>
      <c r="AA388" t="s">
        <v>1032</v>
      </c>
      <c r="AB388" t="s">
        <v>28</v>
      </c>
      <c r="AC388" s="3" t="s">
        <v>3811</v>
      </c>
      <c r="AD388" s="3" t="s">
        <v>3812</v>
      </c>
      <c r="AE388" t="s">
        <v>69</v>
      </c>
    </row>
    <row r="389" spans="1:31" x14ac:dyDescent="0.25">
      <c r="A389">
        <v>119031284545</v>
      </c>
      <c r="B389">
        <v>462598545</v>
      </c>
      <c r="C389" s="1">
        <v>46027.679768518516</v>
      </c>
      <c r="D389" s="1">
        <v>46027.681597222225</v>
      </c>
      <c r="E389" t="s">
        <v>1033</v>
      </c>
      <c r="F389" t="s">
        <v>23</v>
      </c>
      <c r="G389" t="e">
        <f>+_xlfn.XLOOKUP(tbl_encuesta[[#This Row],[Me siento a gusto con el ambiente de trabajo que se genera en mi equipo.]],#REF!,#REF!)</f>
        <v>#REF!</v>
      </c>
      <c r="H389" t="s">
        <v>23</v>
      </c>
      <c r="I389" t="e">
        <f>+_xlfn.XLOOKUP(tbl_encuesta[[#This Row],[Me siento motivado a dar lo mejor de mí y hacer un buen trabajo]],#REF!,#REF!)</f>
        <v>#REF!</v>
      </c>
      <c r="J389" t="s">
        <v>23</v>
      </c>
      <c r="K389" t="e">
        <f>+_xlfn.XLOOKUP(tbl_encuesta[[#This Row],[Mi supervisor o jefe directo me otorga el soporte que necesito para afrontar cualquier problema que afecte mi trabajo]],#REF!,#REF!)</f>
        <v>#REF!</v>
      </c>
      <c r="L389" t="s">
        <v>23</v>
      </c>
      <c r="M389" t="e">
        <f>+_xlfn.XLOOKUP(tbl_encuesta[[#This Row],[Mi supervisor o jefe directo fomenta que nos apoyemos entre todos en el equipo]],#REF!,#REF!)</f>
        <v>#REF!</v>
      </c>
      <c r="N389" t="s">
        <v>23</v>
      </c>
      <c r="O389" t="e">
        <f>+_xlfn.XLOOKUP(tbl_encuesta[[#This Row],[Siento que mi trabajo es reconocido por mi supervisor o jefe directo.]],#REF!,#REF!)</f>
        <v>#REF!</v>
      </c>
      <c r="P389" t="s">
        <v>31</v>
      </c>
      <c r="Q389" t="e">
        <f xml:space="preserve">
_xlfn.XLOOKUP(
tbl_encuesta[[#This Row],[Mi supervisor o jefe directo nos brinda charlas de 5 minutos y comunica las novedades relevantes a mi puesto de trabajo]],#REF!,#REF!
)</f>
        <v>#REF!</v>
      </c>
      <c r="R389" t="s">
        <v>17</v>
      </c>
      <c r="W389" t="s">
        <v>25</v>
      </c>
      <c r="X389" t="s">
        <v>23</v>
      </c>
      <c r="Y389" t="e">
        <f>+_xlfn.XLOOKUP(tbl_encuesta[[#This Row],[Considero a Limtek como un buen lugar para trabajar]],#REF!,#REF!)</f>
        <v>#REF!</v>
      </c>
      <c r="Z389" t="s">
        <v>1034</v>
      </c>
      <c r="AA389" t="s">
        <v>122</v>
      </c>
      <c r="AB389" t="s">
        <v>567</v>
      </c>
      <c r="AC389" s="3" t="s">
        <v>3716</v>
      </c>
      <c r="AD389" s="3" t="s">
        <v>3716</v>
      </c>
      <c r="AE389" t="s">
        <v>69</v>
      </c>
    </row>
    <row r="390" spans="1:31" x14ac:dyDescent="0.25">
      <c r="A390">
        <v>119031282236</v>
      </c>
      <c r="B390">
        <v>462598545</v>
      </c>
      <c r="C390" s="1">
        <v>46027.676504629628</v>
      </c>
      <c r="D390" s="1">
        <v>46027.678773148145</v>
      </c>
      <c r="E390" t="s">
        <v>912</v>
      </c>
      <c r="F390" t="s">
        <v>23</v>
      </c>
      <c r="G390" t="e">
        <f>+_xlfn.XLOOKUP(tbl_encuesta[[#This Row],[Me siento a gusto con el ambiente de trabajo que se genera en mi equipo.]],#REF!,#REF!)</f>
        <v>#REF!</v>
      </c>
      <c r="H390" t="s">
        <v>23</v>
      </c>
      <c r="I390" t="e">
        <f>+_xlfn.XLOOKUP(tbl_encuesta[[#This Row],[Me siento motivado a dar lo mejor de mí y hacer un buen trabajo]],#REF!,#REF!)</f>
        <v>#REF!</v>
      </c>
      <c r="J390" t="s">
        <v>23</v>
      </c>
      <c r="K390" t="e">
        <f>+_xlfn.XLOOKUP(tbl_encuesta[[#This Row],[Mi supervisor o jefe directo me otorga el soporte que necesito para afrontar cualquier problema que afecte mi trabajo]],#REF!,#REF!)</f>
        <v>#REF!</v>
      </c>
      <c r="L390" t="s">
        <v>23</v>
      </c>
      <c r="M390" t="e">
        <f>+_xlfn.XLOOKUP(tbl_encuesta[[#This Row],[Mi supervisor o jefe directo fomenta que nos apoyemos entre todos en el equipo]],#REF!,#REF!)</f>
        <v>#REF!</v>
      </c>
      <c r="N390" t="s">
        <v>23</v>
      </c>
      <c r="O390" t="e">
        <f>+_xlfn.XLOOKUP(tbl_encuesta[[#This Row],[Siento que mi trabajo es reconocido por mi supervisor o jefe directo.]],#REF!,#REF!)</f>
        <v>#REF!</v>
      </c>
      <c r="P390" t="s">
        <v>67</v>
      </c>
      <c r="Q390" t="e">
        <f xml:space="preserve">
_xlfn.XLOOKUP(
tbl_encuesta[[#This Row],[Mi supervisor o jefe directo nos brinda charlas de 5 minutos y comunica las novedades relevantes a mi puesto de trabajo]],#REF!,#REF!
)</f>
        <v>#REF!</v>
      </c>
      <c r="R390" t="s">
        <v>17</v>
      </c>
      <c r="T390" t="s">
        <v>19</v>
      </c>
      <c r="W390" t="s">
        <v>25</v>
      </c>
      <c r="X390" t="s">
        <v>23</v>
      </c>
      <c r="Y390" t="e">
        <f>+_xlfn.XLOOKUP(tbl_encuesta[[#This Row],[Considero a Limtek como un buen lugar para trabajar]],#REF!,#REF!)</f>
        <v>#REF!</v>
      </c>
      <c r="Z390" t="s">
        <v>1035</v>
      </c>
      <c r="AA390" t="s">
        <v>1036</v>
      </c>
      <c r="AB390" t="s">
        <v>28</v>
      </c>
      <c r="AC390" s="3" t="s">
        <v>3758</v>
      </c>
      <c r="AD390" s="3" t="s">
        <v>3786</v>
      </c>
      <c r="AE390" t="s">
        <v>61</v>
      </c>
    </row>
    <row r="391" spans="1:31" x14ac:dyDescent="0.25">
      <c r="A391">
        <v>119031281978</v>
      </c>
      <c r="B391">
        <v>462598545</v>
      </c>
      <c r="C391" s="1">
        <v>46027.675405092596</v>
      </c>
      <c r="D391" s="1">
        <v>46027.678414351853</v>
      </c>
      <c r="E391" t="s">
        <v>1037</v>
      </c>
      <c r="F391" t="s">
        <v>23</v>
      </c>
      <c r="G391" t="e">
        <f>+_xlfn.XLOOKUP(tbl_encuesta[[#This Row],[Me siento a gusto con el ambiente de trabajo que se genera en mi equipo.]],#REF!,#REF!)</f>
        <v>#REF!</v>
      </c>
      <c r="H391" t="s">
        <v>23</v>
      </c>
      <c r="I391" t="e">
        <f>+_xlfn.XLOOKUP(tbl_encuesta[[#This Row],[Me siento motivado a dar lo mejor de mí y hacer un buen trabajo]],#REF!,#REF!)</f>
        <v>#REF!</v>
      </c>
      <c r="J391" t="s">
        <v>22</v>
      </c>
      <c r="K391" t="e">
        <f>+_xlfn.XLOOKUP(tbl_encuesta[[#This Row],[Mi supervisor o jefe directo me otorga el soporte que necesito para afrontar cualquier problema que afecte mi trabajo]],#REF!,#REF!)</f>
        <v>#REF!</v>
      </c>
      <c r="L391" t="s">
        <v>23</v>
      </c>
      <c r="M391" t="e">
        <f>+_xlfn.XLOOKUP(tbl_encuesta[[#This Row],[Mi supervisor o jefe directo fomenta que nos apoyemos entre todos en el equipo]],#REF!,#REF!)</f>
        <v>#REF!</v>
      </c>
      <c r="N391" t="s">
        <v>22</v>
      </c>
      <c r="O391" t="e">
        <f>+_xlfn.XLOOKUP(tbl_encuesta[[#This Row],[Siento que mi trabajo es reconocido por mi supervisor o jefe directo.]],#REF!,#REF!)</f>
        <v>#REF!</v>
      </c>
      <c r="P391" t="s">
        <v>67</v>
      </c>
      <c r="Q391" t="e">
        <f xml:space="preserve">
_xlfn.XLOOKUP(
tbl_encuesta[[#This Row],[Mi supervisor o jefe directo nos brinda charlas de 5 minutos y comunica las novedades relevantes a mi puesto de trabajo]],#REF!,#REF!
)</f>
        <v>#REF!</v>
      </c>
      <c r="R391" t="s">
        <v>17</v>
      </c>
      <c r="S391" t="s">
        <v>18</v>
      </c>
      <c r="W391" t="s">
        <v>25</v>
      </c>
      <c r="X391" t="s">
        <v>22</v>
      </c>
      <c r="Y391" t="e">
        <f>+_xlfn.XLOOKUP(tbl_encuesta[[#This Row],[Considero a Limtek como un buen lugar para trabajar]],#REF!,#REF!)</f>
        <v>#REF!</v>
      </c>
      <c r="Z391" t="s">
        <v>1038</v>
      </c>
      <c r="AA391" t="s">
        <v>122</v>
      </c>
      <c r="AB391" t="s">
        <v>28</v>
      </c>
      <c r="AC391" s="3" t="s">
        <v>3758</v>
      </c>
      <c r="AD391" s="3" t="s">
        <v>3786</v>
      </c>
      <c r="AE391" t="s">
        <v>69</v>
      </c>
    </row>
    <row r="392" spans="1:31" x14ac:dyDescent="0.25">
      <c r="A392">
        <v>119031281587</v>
      </c>
      <c r="B392">
        <v>462598545</v>
      </c>
      <c r="C392" s="1">
        <v>46027.672777777778</v>
      </c>
      <c r="D392" s="1">
        <v>46027.677893518521</v>
      </c>
      <c r="E392" t="s">
        <v>1039</v>
      </c>
      <c r="F392" t="s">
        <v>23</v>
      </c>
      <c r="G392" t="e">
        <f>+_xlfn.XLOOKUP(tbl_encuesta[[#This Row],[Me siento a gusto con el ambiente de trabajo que se genera en mi equipo.]],#REF!,#REF!)</f>
        <v>#REF!</v>
      </c>
      <c r="H392" t="s">
        <v>23</v>
      </c>
      <c r="I392" t="e">
        <f>+_xlfn.XLOOKUP(tbl_encuesta[[#This Row],[Me siento motivado a dar lo mejor de mí y hacer un buen trabajo]],#REF!,#REF!)</f>
        <v>#REF!</v>
      </c>
      <c r="J392" t="s">
        <v>23</v>
      </c>
      <c r="K392" t="e">
        <f>+_xlfn.XLOOKUP(tbl_encuesta[[#This Row],[Mi supervisor o jefe directo me otorga el soporte que necesito para afrontar cualquier problema que afecte mi trabajo]],#REF!,#REF!)</f>
        <v>#REF!</v>
      </c>
      <c r="L392" t="s">
        <v>23</v>
      </c>
      <c r="M392" t="e">
        <f>+_xlfn.XLOOKUP(tbl_encuesta[[#This Row],[Mi supervisor o jefe directo fomenta que nos apoyemos entre todos en el equipo]],#REF!,#REF!)</f>
        <v>#REF!</v>
      </c>
      <c r="N392" t="s">
        <v>23</v>
      </c>
      <c r="O392" t="e">
        <f>+_xlfn.XLOOKUP(tbl_encuesta[[#This Row],[Siento que mi trabajo es reconocido por mi supervisor o jefe directo.]],#REF!,#REF!)</f>
        <v>#REF!</v>
      </c>
      <c r="P392" t="s">
        <v>31</v>
      </c>
      <c r="Q392" t="e">
        <f xml:space="preserve">
_xlfn.XLOOKUP(
tbl_encuesta[[#This Row],[Mi supervisor o jefe directo nos brinda charlas de 5 minutos y comunica las novedades relevantes a mi puesto de trabajo]],#REF!,#REF!
)</f>
        <v>#REF!</v>
      </c>
      <c r="R392" t="s">
        <v>17</v>
      </c>
      <c r="T392" t="s">
        <v>19</v>
      </c>
      <c r="W392" t="s">
        <v>25</v>
      </c>
      <c r="X392" t="s">
        <v>23</v>
      </c>
      <c r="Y392" t="e">
        <f>+_xlfn.XLOOKUP(tbl_encuesta[[#This Row],[Considero a Limtek como un buen lugar para trabajar]],#REF!,#REF!)</f>
        <v>#REF!</v>
      </c>
      <c r="Z392" t="s">
        <v>272</v>
      </c>
      <c r="AA392" t="s">
        <v>1040</v>
      </c>
      <c r="AB392" t="s">
        <v>28</v>
      </c>
      <c r="AC392" s="3" t="s">
        <v>3854</v>
      </c>
      <c r="AD392" s="3" t="s">
        <v>3855</v>
      </c>
      <c r="AE392" t="s">
        <v>34</v>
      </c>
    </row>
    <row r="393" spans="1:31" x14ac:dyDescent="0.25">
      <c r="A393">
        <v>119031279207</v>
      </c>
      <c r="B393">
        <v>462598545</v>
      </c>
      <c r="C393" s="1">
        <v>46027.673877314817</v>
      </c>
      <c r="D393" s="1">
        <v>46027.675219907411</v>
      </c>
      <c r="E393" t="s">
        <v>1041</v>
      </c>
      <c r="F393" t="s">
        <v>23</v>
      </c>
      <c r="G393" t="e">
        <f>+_xlfn.XLOOKUP(tbl_encuesta[[#This Row],[Me siento a gusto con el ambiente de trabajo que se genera en mi equipo.]],#REF!,#REF!)</f>
        <v>#REF!</v>
      </c>
      <c r="H393" t="s">
        <v>23</v>
      </c>
      <c r="I393" t="e">
        <f>+_xlfn.XLOOKUP(tbl_encuesta[[#This Row],[Me siento motivado a dar lo mejor de mí y hacer un buen trabajo]],#REF!,#REF!)</f>
        <v>#REF!</v>
      </c>
      <c r="J393" t="s">
        <v>23</v>
      </c>
      <c r="K393" t="e">
        <f>+_xlfn.XLOOKUP(tbl_encuesta[[#This Row],[Mi supervisor o jefe directo me otorga el soporte que necesito para afrontar cualquier problema que afecte mi trabajo]],#REF!,#REF!)</f>
        <v>#REF!</v>
      </c>
      <c r="L393" t="s">
        <v>23</v>
      </c>
      <c r="M393" t="e">
        <f>+_xlfn.XLOOKUP(tbl_encuesta[[#This Row],[Mi supervisor o jefe directo fomenta que nos apoyemos entre todos en el equipo]],#REF!,#REF!)</f>
        <v>#REF!</v>
      </c>
      <c r="N393" t="s">
        <v>23</v>
      </c>
      <c r="O393" t="e">
        <f>+_xlfn.XLOOKUP(tbl_encuesta[[#This Row],[Siento que mi trabajo es reconocido por mi supervisor o jefe directo.]],#REF!,#REF!)</f>
        <v>#REF!</v>
      </c>
      <c r="P393" t="s">
        <v>67</v>
      </c>
      <c r="Q393" t="e">
        <f xml:space="preserve">
_xlfn.XLOOKUP(
tbl_encuesta[[#This Row],[Mi supervisor o jefe directo nos brinda charlas de 5 minutos y comunica las novedades relevantes a mi puesto de trabajo]],#REF!,#REF!
)</f>
        <v>#REF!</v>
      </c>
      <c r="R393" t="s">
        <v>17</v>
      </c>
      <c r="S393" t="s">
        <v>18</v>
      </c>
      <c r="W393" t="s">
        <v>25</v>
      </c>
      <c r="X393" t="s">
        <v>23</v>
      </c>
      <c r="Y393" t="e">
        <f>+_xlfn.XLOOKUP(tbl_encuesta[[#This Row],[Considero a Limtek como un buen lugar para trabajar]],#REF!,#REF!)</f>
        <v>#REF!</v>
      </c>
      <c r="Z393" t="s">
        <v>1042</v>
      </c>
      <c r="AA393" t="s">
        <v>1043</v>
      </c>
      <c r="AB393" t="s">
        <v>619</v>
      </c>
      <c r="AC393" s="3" t="s">
        <v>3716</v>
      </c>
      <c r="AD393" s="3" t="s">
        <v>3716</v>
      </c>
      <c r="AE393" t="s">
        <v>29</v>
      </c>
    </row>
    <row r="394" spans="1:31" x14ac:dyDescent="0.25">
      <c r="A394">
        <v>119031273429</v>
      </c>
      <c r="B394">
        <v>462598545</v>
      </c>
      <c r="C394" s="1">
        <v>46027.663888888892</v>
      </c>
      <c r="D394" s="1">
        <v>46027.668530092589</v>
      </c>
      <c r="E394" t="s">
        <v>1044</v>
      </c>
      <c r="F394" t="s">
        <v>23</v>
      </c>
      <c r="G394" t="e">
        <f>+_xlfn.XLOOKUP(tbl_encuesta[[#This Row],[Me siento a gusto con el ambiente de trabajo que se genera en mi equipo.]],#REF!,#REF!)</f>
        <v>#REF!</v>
      </c>
      <c r="H394" t="s">
        <v>23</v>
      </c>
      <c r="I394" t="e">
        <f>+_xlfn.XLOOKUP(tbl_encuesta[[#This Row],[Me siento motivado a dar lo mejor de mí y hacer un buen trabajo]],#REF!,#REF!)</f>
        <v>#REF!</v>
      </c>
      <c r="J394" t="s">
        <v>22</v>
      </c>
      <c r="K394" t="e">
        <f>+_xlfn.XLOOKUP(tbl_encuesta[[#This Row],[Mi supervisor o jefe directo me otorga el soporte que necesito para afrontar cualquier problema que afecte mi trabajo]],#REF!,#REF!)</f>
        <v>#REF!</v>
      </c>
      <c r="L394" t="s">
        <v>22</v>
      </c>
      <c r="M394" t="e">
        <f>+_xlfn.XLOOKUP(tbl_encuesta[[#This Row],[Mi supervisor o jefe directo fomenta que nos apoyemos entre todos en el equipo]],#REF!,#REF!)</f>
        <v>#REF!</v>
      </c>
      <c r="N394" t="s">
        <v>22</v>
      </c>
      <c r="O394" t="e">
        <f>+_xlfn.XLOOKUP(tbl_encuesta[[#This Row],[Siento que mi trabajo es reconocido por mi supervisor o jefe directo.]],#REF!,#REF!)</f>
        <v>#REF!</v>
      </c>
      <c r="P394" t="s">
        <v>175</v>
      </c>
      <c r="Q394" t="e">
        <f xml:space="preserve">
_xlfn.XLOOKUP(
tbl_encuesta[[#This Row],[Mi supervisor o jefe directo nos brinda charlas de 5 minutos y comunica las novedades relevantes a mi puesto de trabajo]],#REF!,#REF!
)</f>
        <v>#REF!</v>
      </c>
      <c r="R394" t="s">
        <v>17</v>
      </c>
      <c r="W394" t="s">
        <v>25</v>
      </c>
      <c r="X394" t="s">
        <v>22</v>
      </c>
      <c r="Y394" t="e">
        <f>+_xlfn.XLOOKUP(tbl_encuesta[[#This Row],[Considero a Limtek como un buen lugar para trabajar]],#REF!,#REF!)</f>
        <v>#REF!</v>
      </c>
      <c r="Z394" t="s">
        <v>1045</v>
      </c>
      <c r="AA394" t="s">
        <v>1046</v>
      </c>
      <c r="AB394" t="s">
        <v>28</v>
      </c>
      <c r="AC394" s="3" t="s">
        <v>3819</v>
      </c>
      <c r="AD394" s="3" t="s">
        <v>3819</v>
      </c>
      <c r="AE394" t="s">
        <v>34</v>
      </c>
    </row>
    <row r="395" spans="1:31" x14ac:dyDescent="0.25">
      <c r="A395">
        <v>119031270934</v>
      </c>
      <c r="B395">
        <v>462598545</v>
      </c>
      <c r="C395" s="1">
        <v>46027.664293981485</v>
      </c>
      <c r="D395" s="1">
        <v>46027.665636574071</v>
      </c>
      <c r="E395" t="s">
        <v>1047</v>
      </c>
      <c r="F395" t="s">
        <v>23</v>
      </c>
      <c r="G395" t="e">
        <f>+_xlfn.XLOOKUP(tbl_encuesta[[#This Row],[Me siento a gusto con el ambiente de trabajo que se genera en mi equipo.]],#REF!,#REF!)</f>
        <v>#REF!</v>
      </c>
      <c r="H395" t="s">
        <v>23</v>
      </c>
      <c r="I395" t="e">
        <f>+_xlfn.XLOOKUP(tbl_encuesta[[#This Row],[Me siento motivado a dar lo mejor de mí y hacer un buen trabajo]],#REF!,#REF!)</f>
        <v>#REF!</v>
      </c>
      <c r="J395" t="s">
        <v>23</v>
      </c>
      <c r="K395" t="e">
        <f>+_xlfn.XLOOKUP(tbl_encuesta[[#This Row],[Mi supervisor o jefe directo me otorga el soporte que necesito para afrontar cualquier problema que afecte mi trabajo]],#REF!,#REF!)</f>
        <v>#REF!</v>
      </c>
      <c r="L395" t="s">
        <v>23</v>
      </c>
      <c r="M395" t="e">
        <f>+_xlfn.XLOOKUP(tbl_encuesta[[#This Row],[Mi supervisor o jefe directo fomenta que nos apoyemos entre todos en el equipo]],#REF!,#REF!)</f>
        <v>#REF!</v>
      </c>
      <c r="N395" t="s">
        <v>23</v>
      </c>
      <c r="O395" t="e">
        <f>+_xlfn.XLOOKUP(tbl_encuesta[[#This Row],[Siento que mi trabajo es reconocido por mi supervisor o jefe directo.]],#REF!,#REF!)</f>
        <v>#REF!</v>
      </c>
      <c r="P395" t="s">
        <v>31</v>
      </c>
      <c r="Q395" t="e">
        <f xml:space="preserve">
_xlfn.XLOOKUP(
tbl_encuesta[[#This Row],[Mi supervisor o jefe directo nos brinda charlas de 5 minutos y comunica las novedades relevantes a mi puesto de trabajo]],#REF!,#REF!
)</f>
        <v>#REF!</v>
      </c>
      <c r="R395" t="s">
        <v>17</v>
      </c>
      <c r="U395" t="s">
        <v>20</v>
      </c>
      <c r="W395" t="s">
        <v>25</v>
      </c>
      <c r="X395" t="s">
        <v>23</v>
      </c>
      <c r="Y395" t="e">
        <f>+_xlfn.XLOOKUP(tbl_encuesta[[#This Row],[Considero a Limtek como un buen lugar para trabajar]],#REF!,#REF!)</f>
        <v>#REF!</v>
      </c>
      <c r="Z395" t="s">
        <v>1048</v>
      </c>
      <c r="AA395" t="s">
        <v>1049</v>
      </c>
      <c r="AB395" t="s">
        <v>28</v>
      </c>
      <c r="AC395" t="s">
        <v>3744</v>
      </c>
      <c r="AD395" t="s">
        <v>3744</v>
      </c>
      <c r="AE395" t="s">
        <v>34</v>
      </c>
    </row>
    <row r="396" spans="1:31" x14ac:dyDescent="0.25">
      <c r="A396">
        <v>119031267274</v>
      </c>
      <c r="B396">
        <v>462598545</v>
      </c>
      <c r="C396" s="1">
        <v>46027.655428240738</v>
      </c>
      <c r="D396" s="1">
        <v>46027.661226851851</v>
      </c>
      <c r="E396" t="s">
        <v>1050</v>
      </c>
      <c r="F396" t="s">
        <v>23</v>
      </c>
      <c r="G396" t="e">
        <f>+_xlfn.XLOOKUP(tbl_encuesta[[#This Row],[Me siento a gusto con el ambiente de trabajo que se genera en mi equipo.]],#REF!,#REF!)</f>
        <v>#REF!</v>
      </c>
      <c r="H396" t="s">
        <v>23</v>
      </c>
      <c r="I396" t="e">
        <f>+_xlfn.XLOOKUP(tbl_encuesta[[#This Row],[Me siento motivado a dar lo mejor de mí y hacer un buen trabajo]],#REF!,#REF!)</f>
        <v>#REF!</v>
      </c>
      <c r="J396" t="s">
        <v>23</v>
      </c>
      <c r="K396" t="e">
        <f>+_xlfn.XLOOKUP(tbl_encuesta[[#This Row],[Mi supervisor o jefe directo me otorga el soporte que necesito para afrontar cualquier problema que afecte mi trabajo]],#REF!,#REF!)</f>
        <v>#REF!</v>
      </c>
      <c r="L396" t="s">
        <v>23</v>
      </c>
      <c r="M396" t="e">
        <f>+_xlfn.XLOOKUP(tbl_encuesta[[#This Row],[Mi supervisor o jefe directo fomenta que nos apoyemos entre todos en el equipo]],#REF!,#REF!)</f>
        <v>#REF!</v>
      </c>
      <c r="N396" t="s">
        <v>23</v>
      </c>
      <c r="O396" t="e">
        <f>+_xlfn.XLOOKUP(tbl_encuesta[[#This Row],[Siento que mi trabajo es reconocido por mi supervisor o jefe directo.]],#REF!,#REF!)</f>
        <v>#REF!</v>
      </c>
      <c r="P396" t="s">
        <v>31</v>
      </c>
      <c r="Q396" t="e">
        <f xml:space="preserve">
_xlfn.XLOOKUP(
tbl_encuesta[[#This Row],[Mi supervisor o jefe directo nos brinda charlas de 5 minutos y comunica las novedades relevantes a mi puesto de trabajo]],#REF!,#REF!
)</f>
        <v>#REF!</v>
      </c>
      <c r="R396" t="s">
        <v>17</v>
      </c>
      <c r="U396" t="s">
        <v>20</v>
      </c>
      <c r="W396" t="s">
        <v>25</v>
      </c>
      <c r="X396" t="s">
        <v>23</v>
      </c>
      <c r="Y396" t="e">
        <f>+_xlfn.XLOOKUP(tbl_encuesta[[#This Row],[Considero a Limtek como un buen lugar para trabajar]],#REF!,#REF!)</f>
        <v>#REF!</v>
      </c>
      <c r="Z396" t="s">
        <v>1051</v>
      </c>
      <c r="AA396" t="s">
        <v>1052</v>
      </c>
      <c r="AB396" t="s">
        <v>720</v>
      </c>
      <c r="AC396" s="3" t="s">
        <v>3610</v>
      </c>
      <c r="AD396" s="3" t="s">
        <v>3642</v>
      </c>
      <c r="AE396" t="s">
        <v>34</v>
      </c>
    </row>
    <row r="397" spans="1:31" x14ac:dyDescent="0.25">
      <c r="A397">
        <v>119031264326</v>
      </c>
      <c r="B397">
        <v>462598545</v>
      </c>
      <c r="C397" s="1">
        <v>46027.654733796298</v>
      </c>
      <c r="D397" s="1">
        <v>46027.657800925925</v>
      </c>
      <c r="E397" t="s">
        <v>1053</v>
      </c>
      <c r="F397" t="s">
        <v>23</v>
      </c>
      <c r="G397" t="e">
        <f>+_xlfn.XLOOKUP(tbl_encuesta[[#This Row],[Me siento a gusto con el ambiente de trabajo que se genera en mi equipo.]],#REF!,#REF!)</f>
        <v>#REF!</v>
      </c>
      <c r="H397" t="s">
        <v>23</v>
      </c>
      <c r="I397" t="e">
        <f>+_xlfn.XLOOKUP(tbl_encuesta[[#This Row],[Me siento motivado a dar lo mejor de mí y hacer un buen trabajo]],#REF!,#REF!)</f>
        <v>#REF!</v>
      </c>
      <c r="J397" t="s">
        <v>23</v>
      </c>
      <c r="K397" t="e">
        <f>+_xlfn.XLOOKUP(tbl_encuesta[[#This Row],[Mi supervisor o jefe directo me otorga el soporte que necesito para afrontar cualquier problema que afecte mi trabajo]],#REF!,#REF!)</f>
        <v>#REF!</v>
      </c>
      <c r="L397" t="s">
        <v>22</v>
      </c>
      <c r="M397" t="e">
        <f>+_xlfn.XLOOKUP(tbl_encuesta[[#This Row],[Mi supervisor o jefe directo fomenta que nos apoyemos entre todos en el equipo]],#REF!,#REF!)</f>
        <v>#REF!</v>
      </c>
      <c r="N397" t="s">
        <v>22</v>
      </c>
      <c r="O397" t="e">
        <f>+_xlfn.XLOOKUP(tbl_encuesta[[#This Row],[Siento que mi trabajo es reconocido por mi supervisor o jefe directo.]],#REF!,#REF!)</f>
        <v>#REF!</v>
      </c>
      <c r="P397" t="s">
        <v>67</v>
      </c>
      <c r="Q397" t="e">
        <f xml:space="preserve">
_xlfn.XLOOKUP(
tbl_encuesta[[#This Row],[Mi supervisor o jefe directo nos brinda charlas de 5 minutos y comunica las novedades relevantes a mi puesto de trabajo]],#REF!,#REF!
)</f>
        <v>#REF!</v>
      </c>
      <c r="R397" t="s">
        <v>17</v>
      </c>
      <c r="W397" t="s">
        <v>25</v>
      </c>
      <c r="X397" t="s">
        <v>23</v>
      </c>
      <c r="Y397" t="e">
        <f>+_xlfn.XLOOKUP(tbl_encuesta[[#This Row],[Considero a Limtek como un buen lugar para trabajar]],#REF!,#REF!)</f>
        <v>#REF!</v>
      </c>
      <c r="Z397" t="s">
        <v>1054</v>
      </c>
      <c r="AA397" t="s">
        <v>1055</v>
      </c>
      <c r="AB397" t="s">
        <v>553</v>
      </c>
      <c r="AC397" t="s">
        <v>3610</v>
      </c>
      <c r="AD397" t="s">
        <v>3610</v>
      </c>
      <c r="AE397" t="s">
        <v>34</v>
      </c>
    </row>
    <row r="398" spans="1:31" x14ac:dyDescent="0.25">
      <c r="A398">
        <v>119031263476</v>
      </c>
      <c r="B398">
        <v>462598545</v>
      </c>
      <c r="C398" s="1">
        <v>46027.653298611112</v>
      </c>
      <c r="D398" s="1">
        <v>46027.656736111108</v>
      </c>
      <c r="E398" t="s">
        <v>1056</v>
      </c>
      <c r="F398" t="s">
        <v>22</v>
      </c>
      <c r="G398" t="e">
        <f>+_xlfn.XLOOKUP(tbl_encuesta[[#This Row],[Me siento a gusto con el ambiente de trabajo que se genera en mi equipo.]],#REF!,#REF!)</f>
        <v>#REF!</v>
      </c>
      <c r="H398" t="s">
        <v>23</v>
      </c>
      <c r="I398" t="e">
        <f>+_xlfn.XLOOKUP(tbl_encuesta[[#This Row],[Me siento motivado a dar lo mejor de mí y hacer un buen trabajo]],#REF!,#REF!)</f>
        <v>#REF!</v>
      </c>
      <c r="J398" t="s">
        <v>22</v>
      </c>
      <c r="K398" t="e">
        <f>+_xlfn.XLOOKUP(tbl_encuesta[[#This Row],[Mi supervisor o jefe directo me otorga el soporte que necesito para afrontar cualquier problema que afecte mi trabajo]],#REF!,#REF!)</f>
        <v>#REF!</v>
      </c>
      <c r="L398" t="s">
        <v>23</v>
      </c>
      <c r="M398" t="e">
        <f>+_xlfn.XLOOKUP(tbl_encuesta[[#This Row],[Mi supervisor o jefe directo fomenta que nos apoyemos entre todos en el equipo]],#REF!,#REF!)</f>
        <v>#REF!</v>
      </c>
      <c r="N398" t="s">
        <v>22</v>
      </c>
      <c r="O398" t="e">
        <f>+_xlfn.XLOOKUP(tbl_encuesta[[#This Row],[Siento que mi trabajo es reconocido por mi supervisor o jefe directo.]],#REF!,#REF!)</f>
        <v>#REF!</v>
      </c>
      <c r="P398" t="s">
        <v>67</v>
      </c>
      <c r="Q398" t="e">
        <f xml:space="preserve">
_xlfn.XLOOKUP(
tbl_encuesta[[#This Row],[Mi supervisor o jefe directo nos brinda charlas de 5 minutos y comunica las novedades relevantes a mi puesto de trabajo]],#REF!,#REF!
)</f>
        <v>#REF!</v>
      </c>
      <c r="R398" t="s">
        <v>17</v>
      </c>
      <c r="W398" t="s">
        <v>25</v>
      </c>
      <c r="X398" t="s">
        <v>22</v>
      </c>
      <c r="Y398" t="e">
        <f>+_xlfn.XLOOKUP(tbl_encuesta[[#This Row],[Considero a Limtek como un buen lugar para trabajar]],#REF!,#REF!)</f>
        <v>#REF!</v>
      </c>
      <c r="Z398" t="s">
        <v>193</v>
      </c>
      <c r="AA398" t="s">
        <v>1057</v>
      </c>
      <c r="AB398" t="s">
        <v>619</v>
      </c>
      <c r="AC398" s="3" t="s">
        <v>3716</v>
      </c>
      <c r="AD398" s="3" t="s">
        <v>3716</v>
      </c>
      <c r="AE398" t="s">
        <v>29</v>
      </c>
    </row>
    <row r="399" spans="1:31" x14ac:dyDescent="0.25">
      <c r="A399">
        <v>119031261976</v>
      </c>
      <c r="B399">
        <v>462598545</v>
      </c>
      <c r="C399" s="1">
        <v>46027.651400462964</v>
      </c>
      <c r="D399" s="1">
        <v>46027.655023148145</v>
      </c>
      <c r="E399" t="s">
        <v>1058</v>
      </c>
      <c r="F399" t="s">
        <v>23</v>
      </c>
      <c r="G399" t="e">
        <f>+_xlfn.XLOOKUP(tbl_encuesta[[#This Row],[Me siento a gusto con el ambiente de trabajo que se genera en mi equipo.]],#REF!,#REF!)</f>
        <v>#REF!</v>
      </c>
      <c r="H399" t="s">
        <v>23</v>
      </c>
      <c r="I399" t="e">
        <f>+_xlfn.XLOOKUP(tbl_encuesta[[#This Row],[Me siento motivado a dar lo mejor de mí y hacer un buen trabajo]],#REF!,#REF!)</f>
        <v>#REF!</v>
      </c>
      <c r="J399" t="s">
        <v>23</v>
      </c>
      <c r="K399" t="e">
        <f>+_xlfn.XLOOKUP(tbl_encuesta[[#This Row],[Mi supervisor o jefe directo me otorga el soporte que necesito para afrontar cualquier problema que afecte mi trabajo]],#REF!,#REF!)</f>
        <v>#REF!</v>
      </c>
      <c r="L399" t="s">
        <v>23</v>
      </c>
      <c r="M399" t="e">
        <f>+_xlfn.XLOOKUP(tbl_encuesta[[#This Row],[Mi supervisor o jefe directo fomenta que nos apoyemos entre todos en el equipo]],#REF!,#REF!)</f>
        <v>#REF!</v>
      </c>
      <c r="N399" t="s">
        <v>23</v>
      </c>
      <c r="O399" t="e">
        <f>+_xlfn.XLOOKUP(tbl_encuesta[[#This Row],[Siento que mi trabajo es reconocido por mi supervisor o jefe directo.]],#REF!,#REF!)</f>
        <v>#REF!</v>
      </c>
      <c r="P399" t="s">
        <v>31</v>
      </c>
      <c r="Q399" t="e">
        <f xml:space="preserve">
_xlfn.XLOOKUP(
tbl_encuesta[[#This Row],[Mi supervisor o jefe directo nos brinda charlas de 5 minutos y comunica las novedades relevantes a mi puesto de trabajo]],#REF!,#REF!
)</f>
        <v>#REF!</v>
      </c>
      <c r="R399" t="s">
        <v>17</v>
      </c>
      <c r="W399" t="s">
        <v>46</v>
      </c>
      <c r="X399" t="s">
        <v>23</v>
      </c>
      <c r="Y399" t="e">
        <f>+_xlfn.XLOOKUP(tbl_encuesta[[#This Row],[Considero a Limtek como un buen lugar para trabajar]],#REF!,#REF!)</f>
        <v>#REF!</v>
      </c>
      <c r="Z399" t="s">
        <v>68</v>
      </c>
      <c r="AA399" t="s">
        <v>1059</v>
      </c>
      <c r="AB399" t="s">
        <v>619</v>
      </c>
      <c r="AC399" s="3" t="s">
        <v>3610</v>
      </c>
      <c r="AD399" s="3" t="s">
        <v>3610</v>
      </c>
      <c r="AE399" t="s">
        <v>34</v>
      </c>
    </row>
    <row r="400" spans="1:31" x14ac:dyDescent="0.25">
      <c r="A400">
        <v>119031259849</v>
      </c>
      <c r="B400">
        <v>462598545</v>
      </c>
      <c r="C400" s="1">
        <v>46027.643645833334</v>
      </c>
      <c r="D400" s="1">
        <v>46027.652465277781</v>
      </c>
      <c r="E400" t="s">
        <v>1060</v>
      </c>
      <c r="F400" t="s">
        <v>23</v>
      </c>
      <c r="G400" t="e">
        <f>+_xlfn.XLOOKUP(tbl_encuesta[[#This Row],[Me siento a gusto con el ambiente de trabajo que se genera en mi equipo.]],#REF!,#REF!)</f>
        <v>#REF!</v>
      </c>
      <c r="H400" t="s">
        <v>23</v>
      </c>
      <c r="I400" t="e">
        <f>+_xlfn.XLOOKUP(tbl_encuesta[[#This Row],[Me siento motivado a dar lo mejor de mí y hacer un buen trabajo]],#REF!,#REF!)</f>
        <v>#REF!</v>
      </c>
      <c r="J400" t="s">
        <v>97</v>
      </c>
      <c r="K400" t="e">
        <f>+_xlfn.XLOOKUP(tbl_encuesta[[#This Row],[Mi supervisor o jefe directo me otorga el soporte que necesito para afrontar cualquier problema que afecte mi trabajo]],#REF!,#REF!)</f>
        <v>#REF!</v>
      </c>
      <c r="L400" t="s">
        <v>97</v>
      </c>
      <c r="M400" t="e">
        <f>+_xlfn.XLOOKUP(tbl_encuesta[[#This Row],[Mi supervisor o jefe directo fomenta que nos apoyemos entre todos en el equipo]],#REF!,#REF!)</f>
        <v>#REF!</v>
      </c>
      <c r="N400" t="s">
        <v>97</v>
      </c>
      <c r="O400" t="e">
        <f>+_xlfn.XLOOKUP(tbl_encuesta[[#This Row],[Siento que mi trabajo es reconocido por mi supervisor o jefe directo.]],#REF!,#REF!)</f>
        <v>#REF!</v>
      </c>
      <c r="P400" t="s">
        <v>175</v>
      </c>
      <c r="Q400" t="e">
        <f xml:space="preserve">
_xlfn.XLOOKUP(
tbl_encuesta[[#This Row],[Mi supervisor o jefe directo nos brinda charlas de 5 minutos y comunica las novedades relevantes a mi puesto de trabajo]],#REF!,#REF!
)</f>
        <v>#REF!</v>
      </c>
      <c r="S400" t="s">
        <v>18</v>
      </c>
      <c r="T400" t="s">
        <v>19</v>
      </c>
      <c r="W400" t="s">
        <v>25</v>
      </c>
      <c r="X400" t="s">
        <v>22</v>
      </c>
      <c r="Y400" t="e">
        <f>+_xlfn.XLOOKUP(tbl_encuesta[[#This Row],[Considero a Limtek como un buen lugar para trabajar]],#REF!,#REF!)</f>
        <v>#REF!</v>
      </c>
      <c r="Z400" t="s">
        <v>1061</v>
      </c>
      <c r="AA400" t="s">
        <v>1062</v>
      </c>
      <c r="AB400" t="s">
        <v>28</v>
      </c>
      <c r="AC400" t="s">
        <v>3744</v>
      </c>
      <c r="AD400" t="s">
        <v>3744</v>
      </c>
      <c r="AE400" t="s">
        <v>69</v>
      </c>
    </row>
    <row r="401" spans="1:31" x14ac:dyDescent="0.25">
      <c r="A401">
        <v>119031257995</v>
      </c>
      <c r="B401">
        <v>462598545</v>
      </c>
      <c r="C401" s="1">
        <v>46027.647245370368</v>
      </c>
      <c r="D401" s="1">
        <v>46027.650150462963</v>
      </c>
      <c r="E401" t="s">
        <v>1063</v>
      </c>
      <c r="F401" t="s">
        <v>23</v>
      </c>
      <c r="G401" t="e">
        <f>+_xlfn.XLOOKUP(tbl_encuesta[[#This Row],[Me siento a gusto con el ambiente de trabajo que se genera en mi equipo.]],#REF!,#REF!)</f>
        <v>#REF!</v>
      </c>
      <c r="H401" t="s">
        <v>23</v>
      </c>
      <c r="I401" t="e">
        <f>+_xlfn.XLOOKUP(tbl_encuesta[[#This Row],[Me siento motivado a dar lo mejor de mí y hacer un buen trabajo]],#REF!,#REF!)</f>
        <v>#REF!</v>
      </c>
      <c r="J401" t="s">
        <v>23</v>
      </c>
      <c r="K401" t="e">
        <f>+_xlfn.XLOOKUP(tbl_encuesta[[#This Row],[Mi supervisor o jefe directo me otorga el soporte que necesito para afrontar cualquier problema que afecte mi trabajo]],#REF!,#REF!)</f>
        <v>#REF!</v>
      </c>
      <c r="L401" t="s">
        <v>23</v>
      </c>
      <c r="M401" t="e">
        <f>+_xlfn.XLOOKUP(tbl_encuesta[[#This Row],[Mi supervisor o jefe directo fomenta que nos apoyemos entre todos en el equipo]],#REF!,#REF!)</f>
        <v>#REF!</v>
      </c>
      <c r="N401" t="s">
        <v>23</v>
      </c>
      <c r="O401" t="e">
        <f>+_xlfn.XLOOKUP(tbl_encuesta[[#This Row],[Siento que mi trabajo es reconocido por mi supervisor o jefe directo.]],#REF!,#REF!)</f>
        <v>#REF!</v>
      </c>
      <c r="P401" t="s">
        <v>31</v>
      </c>
      <c r="Q401" t="e">
        <f xml:space="preserve">
_xlfn.XLOOKUP(
tbl_encuesta[[#This Row],[Mi supervisor o jefe directo nos brinda charlas de 5 minutos y comunica las novedades relevantes a mi puesto de trabajo]],#REF!,#REF!
)</f>
        <v>#REF!</v>
      </c>
      <c r="U401" t="s">
        <v>20</v>
      </c>
      <c r="V401" t="s">
        <v>1064</v>
      </c>
      <c r="W401" t="s">
        <v>25</v>
      </c>
      <c r="X401" t="s">
        <v>23</v>
      </c>
      <c r="Y401" t="e">
        <f>+_xlfn.XLOOKUP(tbl_encuesta[[#This Row],[Considero a Limtek como un buen lugar para trabajar]],#REF!,#REF!)</f>
        <v>#REF!</v>
      </c>
      <c r="Z401" t="s">
        <v>1065</v>
      </c>
      <c r="AA401" t="s">
        <v>1066</v>
      </c>
      <c r="AB401" t="s">
        <v>28</v>
      </c>
      <c r="AC401" s="3" t="s">
        <v>3831</v>
      </c>
      <c r="AD401" s="3" t="s">
        <v>3832</v>
      </c>
      <c r="AE401" t="s">
        <v>69</v>
      </c>
    </row>
    <row r="402" spans="1:31" x14ac:dyDescent="0.25">
      <c r="A402">
        <v>119031255235</v>
      </c>
      <c r="B402">
        <v>462598545</v>
      </c>
      <c r="C402" s="1">
        <v>46027.644652777781</v>
      </c>
      <c r="D402" s="1">
        <v>46027.646805555552</v>
      </c>
      <c r="E402" t="s">
        <v>1067</v>
      </c>
      <c r="F402" t="s">
        <v>23</v>
      </c>
      <c r="G402" t="e">
        <f>+_xlfn.XLOOKUP(tbl_encuesta[[#This Row],[Me siento a gusto con el ambiente de trabajo que se genera en mi equipo.]],#REF!,#REF!)</f>
        <v>#REF!</v>
      </c>
      <c r="H402" t="s">
        <v>23</v>
      </c>
      <c r="I402" t="e">
        <f>+_xlfn.XLOOKUP(tbl_encuesta[[#This Row],[Me siento motivado a dar lo mejor de mí y hacer un buen trabajo]],#REF!,#REF!)</f>
        <v>#REF!</v>
      </c>
      <c r="J402" t="s">
        <v>22</v>
      </c>
      <c r="K402" t="e">
        <f>+_xlfn.XLOOKUP(tbl_encuesta[[#This Row],[Mi supervisor o jefe directo me otorga el soporte que necesito para afrontar cualquier problema que afecte mi trabajo]],#REF!,#REF!)</f>
        <v>#REF!</v>
      </c>
      <c r="L402" t="s">
        <v>23</v>
      </c>
      <c r="M402" t="e">
        <f>+_xlfn.XLOOKUP(tbl_encuesta[[#This Row],[Mi supervisor o jefe directo fomenta que nos apoyemos entre todos en el equipo]],#REF!,#REF!)</f>
        <v>#REF!</v>
      </c>
      <c r="N402" t="s">
        <v>23</v>
      </c>
      <c r="O402" t="e">
        <f>+_xlfn.XLOOKUP(tbl_encuesta[[#This Row],[Siento que mi trabajo es reconocido por mi supervisor o jefe directo.]],#REF!,#REF!)</f>
        <v>#REF!</v>
      </c>
      <c r="P402" t="s">
        <v>67</v>
      </c>
      <c r="Q402" t="e">
        <f xml:space="preserve">
_xlfn.XLOOKUP(
tbl_encuesta[[#This Row],[Mi supervisor o jefe directo nos brinda charlas de 5 minutos y comunica las novedades relevantes a mi puesto de trabajo]],#REF!,#REF!
)</f>
        <v>#REF!</v>
      </c>
      <c r="R402" t="s">
        <v>17</v>
      </c>
      <c r="U402" t="s">
        <v>20</v>
      </c>
      <c r="W402" t="s">
        <v>25</v>
      </c>
      <c r="X402" t="s">
        <v>22</v>
      </c>
      <c r="Y402" t="e">
        <f>+_xlfn.XLOOKUP(tbl_encuesta[[#This Row],[Considero a Limtek como un buen lugar para trabajar]],#REF!,#REF!)</f>
        <v>#REF!</v>
      </c>
      <c r="Z402" t="s">
        <v>1068</v>
      </c>
      <c r="AA402" t="s">
        <v>1069</v>
      </c>
      <c r="AB402" t="s">
        <v>553</v>
      </c>
      <c r="AC402" t="s">
        <v>3610</v>
      </c>
      <c r="AD402" t="s">
        <v>3610</v>
      </c>
      <c r="AE402" t="s">
        <v>34</v>
      </c>
    </row>
    <row r="403" spans="1:31" x14ac:dyDescent="0.25">
      <c r="A403">
        <v>119031251787</v>
      </c>
      <c r="B403">
        <v>462598545</v>
      </c>
      <c r="C403" s="1">
        <v>46027.641782407409</v>
      </c>
      <c r="D403" s="1">
        <v>46027.642939814818</v>
      </c>
      <c r="E403" t="s">
        <v>1070</v>
      </c>
      <c r="F403" t="s">
        <v>23</v>
      </c>
      <c r="G403" t="e">
        <f>+_xlfn.XLOOKUP(tbl_encuesta[[#This Row],[Me siento a gusto con el ambiente de trabajo que se genera en mi equipo.]],#REF!,#REF!)</f>
        <v>#REF!</v>
      </c>
      <c r="H403" t="s">
        <v>23</v>
      </c>
      <c r="I403" t="e">
        <f>+_xlfn.XLOOKUP(tbl_encuesta[[#This Row],[Me siento motivado a dar lo mejor de mí y hacer un buen trabajo]],#REF!,#REF!)</f>
        <v>#REF!</v>
      </c>
      <c r="J403" t="s">
        <v>23</v>
      </c>
      <c r="K403" t="e">
        <f>+_xlfn.XLOOKUP(tbl_encuesta[[#This Row],[Mi supervisor o jefe directo me otorga el soporte que necesito para afrontar cualquier problema que afecte mi trabajo]],#REF!,#REF!)</f>
        <v>#REF!</v>
      </c>
      <c r="L403" t="s">
        <v>23</v>
      </c>
      <c r="M403" t="e">
        <f>+_xlfn.XLOOKUP(tbl_encuesta[[#This Row],[Mi supervisor o jefe directo fomenta que nos apoyemos entre todos en el equipo]],#REF!,#REF!)</f>
        <v>#REF!</v>
      </c>
      <c r="N403" t="s">
        <v>23</v>
      </c>
      <c r="O403" t="e">
        <f>+_xlfn.XLOOKUP(tbl_encuesta[[#This Row],[Siento que mi trabajo es reconocido por mi supervisor o jefe directo.]],#REF!,#REF!)</f>
        <v>#REF!</v>
      </c>
      <c r="P403" t="s">
        <v>31</v>
      </c>
      <c r="Q403" t="e">
        <f xml:space="preserve">
_xlfn.XLOOKUP(
tbl_encuesta[[#This Row],[Mi supervisor o jefe directo nos brinda charlas de 5 minutos y comunica las novedades relevantes a mi puesto de trabajo]],#REF!,#REF!
)</f>
        <v>#REF!</v>
      </c>
      <c r="R403" t="s">
        <v>17</v>
      </c>
      <c r="S403" t="s">
        <v>18</v>
      </c>
      <c r="W403" t="s">
        <v>25</v>
      </c>
      <c r="X403" t="s">
        <v>23</v>
      </c>
      <c r="Y403" t="e">
        <f>+_xlfn.XLOOKUP(tbl_encuesta[[#This Row],[Considero a Limtek como un buen lugar para trabajar]],#REF!,#REF!)</f>
        <v>#REF!</v>
      </c>
      <c r="Z403" t="s">
        <v>1071</v>
      </c>
      <c r="AA403" t="s">
        <v>1072</v>
      </c>
      <c r="AB403" t="s">
        <v>720</v>
      </c>
      <c r="AC403" t="s">
        <v>3610</v>
      </c>
      <c r="AD403" t="s">
        <v>3610</v>
      </c>
      <c r="AE403" t="s">
        <v>34</v>
      </c>
    </row>
    <row r="404" spans="1:31" x14ac:dyDescent="0.25">
      <c r="A404">
        <v>119031249744</v>
      </c>
      <c r="B404">
        <v>462598545</v>
      </c>
      <c r="C404" s="1">
        <v>46027.628298611111</v>
      </c>
      <c r="D404" s="1">
        <v>46027.640810185185</v>
      </c>
      <c r="E404" t="s">
        <v>1073</v>
      </c>
      <c r="F404" t="s">
        <v>23</v>
      </c>
      <c r="G404" t="e">
        <f>+_xlfn.XLOOKUP(tbl_encuesta[[#This Row],[Me siento a gusto con el ambiente de trabajo que se genera en mi equipo.]],#REF!,#REF!)</f>
        <v>#REF!</v>
      </c>
      <c r="H404" t="s">
        <v>23</v>
      </c>
      <c r="I404" t="e">
        <f>+_xlfn.XLOOKUP(tbl_encuesta[[#This Row],[Me siento motivado a dar lo mejor de mí y hacer un buen trabajo]],#REF!,#REF!)</f>
        <v>#REF!</v>
      </c>
      <c r="J404" t="s">
        <v>23</v>
      </c>
      <c r="K404" t="e">
        <f>+_xlfn.XLOOKUP(tbl_encuesta[[#This Row],[Mi supervisor o jefe directo me otorga el soporte que necesito para afrontar cualquier problema que afecte mi trabajo]],#REF!,#REF!)</f>
        <v>#REF!</v>
      </c>
      <c r="L404" t="s">
        <v>22</v>
      </c>
      <c r="M404" t="e">
        <f>+_xlfn.XLOOKUP(tbl_encuesta[[#This Row],[Mi supervisor o jefe directo fomenta que nos apoyemos entre todos en el equipo]],#REF!,#REF!)</f>
        <v>#REF!</v>
      </c>
      <c r="N404" t="s">
        <v>23</v>
      </c>
      <c r="O404" t="e">
        <f>+_xlfn.XLOOKUP(tbl_encuesta[[#This Row],[Siento que mi trabajo es reconocido por mi supervisor o jefe directo.]],#REF!,#REF!)</f>
        <v>#REF!</v>
      </c>
      <c r="P404" t="s">
        <v>67</v>
      </c>
      <c r="Q404" t="e">
        <f xml:space="preserve">
_xlfn.XLOOKUP(
tbl_encuesta[[#This Row],[Mi supervisor o jefe directo nos brinda charlas de 5 minutos y comunica las novedades relevantes a mi puesto de trabajo]],#REF!,#REF!
)</f>
        <v>#REF!</v>
      </c>
      <c r="R404" t="s">
        <v>17</v>
      </c>
      <c r="T404" t="s">
        <v>19</v>
      </c>
      <c r="W404" t="s">
        <v>25</v>
      </c>
      <c r="X404" t="s">
        <v>23</v>
      </c>
      <c r="Y404" t="e">
        <f>+_xlfn.XLOOKUP(tbl_encuesta[[#This Row],[Considero a Limtek como un buen lugar para trabajar]],#REF!,#REF!)</f>
        <v>#REF!</v>
      </c>
      <c r="Z404" t="s">
        <v>1074</v>
      </c>
      <c r="AA404" t="s">
        <v>1075</v>
      </c>
      <c r="AB404" t="s">
        <v>28</v>
      </c>
      <c r="AC404" s="3" t="s">
        <v>3854</v>
      </c>
      <c r="AD404" s="3" t="s">
        <v>3855</v>
      </c>
      <c r="AE404" t="s">
        <v>34</v>
      </c>
    </row>
    <row r="405" spans="1:31" x14ac:dyDescent="0.25">
      <c r="A405">
        <v>119031244138</v>
      </c>
      <c r="B405">
        <v>462598545</v>
      </c>
      <c r="C405" s="1">
        <v>46027.626099537039</v>
      </c>
      <c r="D405" s="1">
        <v>46027.634351851855</v>
      </c>
      <c r="E405" t="s">
        <v>1076</v>
      </c>
      <c r="F405" t="s">
        <v>23</v>
      </c>
      <c r="G405" t="e">
        <f>+_xlfn.XLOOKUP(tbl_encuesta[[#This Row],[Me siento a gusto con el ambiente de trabajo que se genera en mi equipo.]],#REF!,#REF!)</f>
        <v>#REF!</v>
      </c>
      <c r="H405" t="s">
        <v>23</v>
      </c>
      <c r="I405" t="e">
        <f>+_xlfn.XLOOKUP(tbl_encuesta[[#This Row],[Me siento motivado a dar lo mejor de mí y hacer un buen trabajo]],#REF!,#REF!)</f>
        <v>#REF!</v>
      </c>
      <c r="J405" t="s">
        <v>23</v>
      </c>
      <c r="K405" t="e">
        <f>+_xlfn.XLOOKUP(tbl_encuesta[[#This Row],[Mi supervisor o jefe directo me otorga el soporte que necesito para afrontar cualquier problema que afecte mi trabajo]],#REF!,#REF!)</f>
        <v>#REF!</v>
      </c>
      <c r="L405" t="s">
        <v>23</v>
      </c>
      <c r="M405" t="e">
        <f>+_xlfn.XLOOKUP(tbl_encuesta[[#This Row],[Mi supervisor o jefe directo fomenta que nos apoyemos entre todos en el equipo]],#REF!,#REF!)</f>
        <v>#REF!</v>
      </c>
      <c r="N405" t="s">
        <v>23</v>
      </c>
      <c r="O405" t="e">
        <f>+_xlfn.XLOOKUP(tbl_encuesta[[#This Row],[Siento que mi trabajo es reconocido por mi supervisor o jefe directo.]],#REF!,#REF!)</f>
        <v>#REF!</v>
      </c>
      <c r="P405" t="s">
        <v>31</v>
      </c>
      <c r="Q405" t="e">
        <f xml:space="preserve">
_xlfn.XLOOKUP(
tbl_encuesta[[#This Row],[Mi supervisor o jefe directo nos brinda charlas de 5 minutos y comunica las novedades relevantes a mi puesto de trabajo]],#REF!,#REF!
)</f>
        <v>#REF!</v>
      </c>
      <c r="R405" t="s">
        <v>17</v>
      </c>
      <c r="U405" t="s">
        <v>20</v>
      </c>
      <c r="W405" t="s">
        <v>25</v>
      </c>
      <c r="X405" t="s">
        <v>23</v>
      </c>
      <c r="Y405" t="e">
        <f>+_xlfn.XLOOKUP(tbl_encuesta[[#This Row],[Considero a Limtek como un buen lugar para trabajar]],#REF!,#REF!)</f>
        <v>#REF!</v>
      </c>
      <c r="Z405" t="s">
        <v>1077</v>
      </c>
      <c r="AA405" t="s">
        <v>1078</v>
      </c>
      <c r="AB405" t="s">
        <v>59</v>
      </c>
      <c r="AC405" s="3" t="s">
        <v>3610</v>
      </c>
      <c r="AD405" s="3" t="s">
        <v>3643</v>
      </c>
      <c r="AE405" t="s">
        <v>34</v>
      </c>
    </row>
    <row r="406" spans="1:31" x14ac:dyDescent="0.25">
      <c r="A406">
        <v>119031241467</v>
      </c>
      <c r="B406">
        <v>462598545</v>
      </c>
      <c r="C406" s="1">
        <v>46027.628229166665</v>
      </c>
      <c r="D406" s="1">
        <v>46027.631273148145</v>
      </c>
      <c r="E406" t="s">
        <v>1079</v>
      </c>
      <c r="F406" t="s">
        <v>43</v>
      </c>
      <c r="G406" t="e">
        <f>+_xlfn.XLOOKUP(tbl_encuesta[[#This Row],[Me siento a gusto con el ambiente de trabajo que se genera en mi equipo.]],#REF!,#REF!)</f>
        <v>#REF!</v>
      </c>
      <c r="H406" t="s">
        <v>23</v>
      </c>
      <c r="I406" t="e">
        <f>+_xlfn.XLOOKUP(tbl_encuesta[[#This Row],[Me siento motivado a dar lo mejor de mí y hacer un buen trabajo]],#REF!,#REF!)</f>
        <v>#REF!</v>
      </c>
      <c r="J406" t="s">
        <v>43</v>
      </c>
      <c r="K406" t="e">
        <f>+_xlfn.XLOOKUP(tbl_encuesta[[#This Row],[Mi supervisor o jefe directo me otorga el soporte que necesito para afrontar cualquier problema que afecte mi trabajo]],#REF!,#REF!)</f>
        <v>#REF!</v>
      </c>
      <c r="L406" t="s">
        <v>43</v>
      </c>
      <c r="M406" t="e">
        <f>+_xlfn.XLOOKUP(tbl_encuesta[[#This Row],[Mi supervisor o jefe directo fomenta que nos apoyemos entre todos en el equipo]],#REF!,#REF!)</f>
        <v>#REF!</v>
      </c>
      <c r="N406" t="s">
        <v>43</v>
      </c>
      <c r="O406" t="e">
        <f>+_xlfn.XLOOKUP(tbl_encuesta[[#This Row],[Siento que mi trabajo es reconocido por mi supervisor o jefe directo.]],#REF!,#REF!)</f>
        <v>#REF!</v>
      </c>
      <c r="P406" t="s">
        <v>175</v>
      </c>
      <c r="Q406" t="e">
        <f xml:space="preserve">
_xlfn.XLOOKUP(
tbl_encuesta[[#This Row],[Mi supervisor o jefe directo nos brinda charlas de 5 minutos y comunica las novedades relevantes a mi puesto de trabajo]],#REF!,#REF!
)</f>
        <v>#REF!</v>
      </c>
      <c r="R406" t="s">
        <v>17</v>
      </c>
      <c r="W406" t="s">
        <v>25</v>
      </c>
      <c r="X406" t="s">
        <v>97</v>
      </c>
      <c r="Y406" t="e">
        <f>+_xlfn.XLOOKUP(tbl_encuesta[[#This Row],[Considero a Limtek como un buen lugar para trabajar]],#REF!,#REF!)</f>
        <v>#REF!</v>
      </c>
      <c r="Z406" t="s">
        <v>1080</v>
      </c>
      <c r="AA406" t="s">
        <v>1081</v>
      </c>
      <c r="AB406" t="s">
        <v>28</v>
      </c>
      <c r="AC406" s="3" t="s">
        <v>3819</v>
      </c>
      <c r="AD406" s="3" t="s">
        <v>3819</v>
      </c>
      <c r="AE406" t="s">
        <v>34</v>
      </c>
    </row>
    <row r="407" spans="1:31" x14ac:dyDescent="0.25">
      <c r="A407">
        <v>119031240069</v>
      </c>
      <c r="B407">
        <v>462598545</v>
      </c>
      <c r="C407" s="1">
        <v>46027.626712962963</v>
      </c>
      <c r="D407" s="1">
        <v>46027.629861111112</v>
      </c>
      <c r="E407" t="s">
        <v>1082</v>
      </c>
      <c r="F407" t="s">
        <v>23</v>
      </c>
      <c r="G407" t="e">
        <f>+_xlfn.XLOOKUP(tbl_encuesta[[#This Row],[Me siento a gusto con el ambiente de trabajo que se genera en mi equipo.]],#REF!,#REF!)</f>
        <v>#REF!</v>
      </c>
      <c r="H407" t="s">
        <v>23</v>
      </c>
      <c r="I407" t="e">
        <f>+_xlfn.XLOOKUP(tbl_encuesta[[#This Row],[Me siento motivado a dar lo mejor de mí y hacer un buen trabajo]],#REF!,#REF!)</f>
        <v>#REF!</v>
      </c>
      <c r="J407" t="s">
        <v>23</v>
      </c>
      <c r="K407" t="e">
        <f>+_xlfn.XLOOKUP(tbl_encuesta[[#This Row],[Mi supervisor o jefe directo me otorga el soporte que necesito para afrontar cualquier problema que afecte mi trabajo]],#REF!,#REF!)</f>
        <v>#REF!</v>
      </c>
      <c r="L407" t="s">
        <v>23</v>
      </c>
      <c r="M407" t="e">
        <f>+_xlfn.XLOOKUP(tbl_encuesta[[#This Row],[Mi supervisor o jefe directo fomenta que nos apoyemos entre todos en el equipo]],#REF!,#REF!)</f>
        <v>#REF!</v>
      </c>
      <c r="N407" t="s">
        <v>23</v>
      </c>
      <c r="O407" t="e">
        <f>+_xlfn.XLOOKUP(tbl_encuesta[[#This Row],[Siento que mi trabajo es reconocido por mi supervisor o jefe directo.]],#REF!,#REF!)</f>
        <v>#REF!</v>
      </c>
      <c r="P407" t="s">
        <v>31</v>
      </c>
      <c r="Q407" t="e">
        <f xml:space="preserve">
_xlfn.XLOOKUP(
tbl_encuesta[[#This Row],[Mi supervisor o jefe directo nos brinda charlas de 5 minutos y comunica las novedades relevantes a mi puesto de trabajo]],#REF!,#REF!
)</f>
        <v>#REF!</v>
      </c>
      <c r="S407" t="s">
        <v>18</v>
      </c>
      <c r="W407" t="s">
        <v>25</v>
      </c>
      <c r="X407" t="s">
        <v>23</v>
      </c>
      <c r="Y407" t="e">
        <f>+_xlfn.XLOOKUP(tbl_encuesta[[#This Row],[Considero a Limtek como un buen lugar para trabajar]],#REF!,#REF!)</f>
        <v>#REF!</v>
      </c>
      <c r="Z407" t="s">
        <v>1083</v>
      </c>
      <c r="AA407" t="s">
        <v>1084</v>
      </c>
      <c r="AB407" t="s">
        <v>28</v>
      </c>
      <c r="AC407" t="s">
        <v>3744</v>
      </c>
      <c r="AD407" t="s">
        <v>3744</v>
      </c>
      <c r="AE407" t="s">
        <v>61</v>
      </c>
    </row>
    <row r="408" spans="1:31" x14ac:dyDescent="0.25">
      <c r="A408">
        <v>119031236122</v>
      </c>
      <c r="B408">
        <v>462598545</v>
      </c>
      <c r="C408" s="1">
        <v>46027.624155092592</v>
      </c>
      <c r="D408" s="1">
        <v>46027.625590277778</v>
      </c>
      <c r="E408" t="s">
        <v>1085</v>
      </c>
      <c r="F408" t="s">
        <v>23</v>
      </c>
      <c r="G408" t="e">
        <f>+_xlfn.XLOOKUP(tbl_encuesta[[#This Row],[Me siento a gusto con el ambiente de trabajo que se genera en mi equipo.]],#REF!,#REF!)</f>
        <v>#REF!</v>
      </c>
      <c r="H408" t="s">
        <v>23</v>
      </c>
      <c r="I408" t="e">
        <f>+_xlfn.XLOOKUP(tbl_encuesta[[#This Row],[Me siento motivado a dar lo mejor de mí y hacer un buen trabajo]],#REF!,#REF!)</f>
        <v>#REF!</v>
      </c>
      <c r="J408" t="s">
        <v>23</v>
      </c>
      <c r="K408" t="e">
        <f>+_xlfn.XLOOKUP(tbl_encuesta[[#This Row],[Mi supervisor o jefe directo me otorga el soporte que necesito para afrontar cualquier problema que afecte mi trabajo]],#REF!,#REF!)</f>
        <v>#REF!</v>
      </c>
      <c r="L408" t="s">
        <v>23</v>
      </c>
      <c r="M408" t="e">
        <f>+_xlfn.XLOOKUP(tbl_encuesta[[#This Row],[Mi supervisor o jefe directo fomenta que nos apoyemos entre todos en el equipo]],#REF!,#REF!)</f>
        <v>#REF!</v>
      </c>
      <c r="N408" t="s">
        <v>23</v>
      </c>
      <c r="O408" t="e">
        <f>+_xlfn.XLOOKUP(tbl_encuesta[[#This Row],[Siento que mi trabajo es reconocido por mi supervisor o jefe directo.]],#REF!,#REF!)</f>
        <v>#REF!</v>
      </c>
      <c r="P408" t="s">
        <v>67</v>
      </c>
      <c r="Q408" t="e">
        <f xml:space="preserve">
_xlfn.XLOOKUP(
tbl_encuesta[[#This Row],[Mi supervisor o jefe directo nos brinda charlas de 5 minutos y comunica las novedades relevantes a mi puesto de trabajo]],#REF!,#REF!
)</f>
        <v>#REF!</v>
      </c>
      <c r="R408" t="s">
        <v>17</v>
      </c>
      <c r="W408" t="s">
        <v>25</v>
      </c>
      <c r="X408" t="s">
        <v>23</v>
      </c>
      <c r="Y408" t="e">
        <f>+_xlfn.XLOOKUP(tbl_encuesta[[#This Row],[Considero a Limtek como un buen lugar para trabajar]],#REF!,#REF!)</f>
        <v>#REF!</v>
      </c>
      <c r="Z408" t="s">
        <v>101</v>
      </c>
      <c r="AA408" t="s">
        <v>1086</v>
      </c>
      <c r="AB408" t="s">
        <v>28</v>
      </c>
      <c r="AC408" t="s">
        <v>3744</v>
      </c>
      <c r="AD408" t="s">
        <v>3744</v>
      </c>
      <c r="AE408" t="s">
        <v>34</v>
      </c>
    </row>
    <row r="409" spans="1:31" x14ac:dyDescent="0.25">
      <c r="A409">
        <v>119031234082</v>
      </c>
      <c r="B409">
        <v>462598545</v>
      </c>
      <c r="C409" s="1">
        <v>46027.620659722219</v>
      </c>
      <c r="D409" s="1">
        <v>46027.62332175926</v>
      </c>
      <c r="E409" t="s">
        <v>1087</v>
      </c>
      <c r="F409" t="s">
        <v>23</v>
      </c>
      <c r="G409" t="e">
        <f>+_xlfn.XLOOKUP(tbl_encuesta[[#This Row],[Me siento a gusto con el ambiente de trabajo que se genera en mi equipo.]],#REF!,#REF!)</f>
        <v>#REF!</v>
      </c>
      <c r="H409" t="s">
        <v>23</v>
      </c>
      <c r="I409" t="e">
        <f>+_xlfn.XLOOKUP(tbl_encuesta[[#This Row],[Me siento motivado a dar lo mejor de mí y hacer un buen trabajo]],#REF!,#REF!)</f>
        <v>#REF!</v>
      </c>
      <c r="J409" t="s">
        <v>23</v>
      </c>
      <c r="K409" t="e">
        <f>+_xlfn.XLOOKUP(tbl_encuesta[[#This Row],[Mi supervisor o jefe directo me otorga el soporte que necesito para afrontar cualquier problema que afecte mi trabajo]],#REF!,#REF!)</f>
        <v>#REF!</v>
      </c>
      <c r="L409" t="s">
        <v>23</v>
      </c>
      <c r="M409" t="e">
        <f>+_xlfn.XLOOKUP(tbl_encuesta[[#This Row],[Mi supervisor o jefe directo fomenta que nos apoyemos entre todos en el equipo]],#REF!,#REF!)</f>
        <v>#REF!</v>
      </c>
      <c r="N409" t="s">
        <v>22</v>
      </c>
      <c r="O409" t="e">
        <f>+_xlfn.XLOOKUP(tbl_encuesta[[#This Row],[Siento que mi trabajo es reconocido por mi supervisor o jefe directo.]],#REF!,#REF!)</f>
        <v>#REF!</v>
      </c>
      <c r="P409" t="s">
        <v>67</v>
      </c>
      <c r="Q409" t="e">
        <f xml:space="preserve">
_xlfn.XLOOKUP(
tbl_encuesta[[#This Row],[Mi supervisor o jefe directo nos brinda charlas de 5 minutos y comunica las novedades relevantes a mi puesto de trabajo]],#REF!,#REF!
)</f>
        <v>#REF!</v>
      </c>
      <c r="R409" t="s">
        <v>17</v>
      </c>
      <c r="U409" t="s">
        <v>20</v>
      </c>
      <c r="W409" t="s">
        <v>25</v>
      </c>
      <c r="X409" t="s">
        <v>23</v>
      </c>
      <c r="Y409" t="e">
        <f>+_xlfn.XLOOKUP(tbl_encuesta[[#This Row],[Considero a Limtek como un buen lugar para trabajar]],#REF!,#REF!)</f>
        <v>#REF!</v>
      </c>
      <c r="Z409" t="s">
        <v>1088</v>
      </c>
      <c r="AA409" t="s">
        <v>1089</v>
      </c>
      <c r="AB409" t="s">
        <v>28</v>
      </c>
      <c r="AC409" s="3" t="s">
        <v>3802</v>
      </c>
      <c r="AD409" s="3" t="s">
        <v>3808</v>
      </c>
      <c r="AE409" t="s">
        <v>61</v>
      </c>
    </row>
    <row r="410" spans="1:31" x14ac:dyDescent="0.25">
      <c r="A410">
        <v>119031233295</v>
      </c>
      <c r="B410">
        <v>462598545</v>
      </c>
      <c r="C410" s="1">
        <v>46027.617708333331</v>
      </c>
      <c r="D410" s="1">
        <v>46027.622488425928</v>
      </c>
      <c r="E410" t="s">
        <v>1090</v>
      </c>
      <c r="F410" t="s">
        <v>23</v>
      </c>
      <c r="G410" t="e">
        <f>+_xlfn.XLOOKUP(tbl_encuesta[[#This Row],[Me siento a gusto con el ambiente de trabajo que se genera en mi equipo.]],#REF!,#REF!)</f>
        <v>#REF!</v>
      </c>
      <c r="H410" t="s">
        <v>23</v>
      </c>
      <c r="I410" t="e">
        <f>+_xlfn.XLOOKUP(tbl_encuesta[[#This Row],[Me siento motivado a dar lo mejor de mí y hacer un buen trabajo]],#REF!,#REF!)</f>
        <v>#REF!</v>
      </c>
      <c r="J410" t="s">
        <v>23</v>
      </c>
      <c r="K410" t="e">
        <f>+_xlfn.XLOOKUP(tbl_encuesta[[#This Row],[Mi supervisor o jefe directo me otorga el soporte que necesito para afrontar cualquier problema que afecte mi trabajo]],#REF!,#REF!)</f>
        <v>#REF!</v>
      </c>
      <c r="L410" t="s">
        <v>23</v>
      </c>
      <c r="M410" t="e">
        <f>+_xlfn.XLOOKUP(tbl_encuesta[[#This Row],[Mi supervisor o jefe directo fomenta que nos apoyemos entre todos en el equipo]],#REF!,#REF!)</f>
        <v>#REF!</v>
      </c>
      <c r="N410" t="s">
        <v>23</v>
      </c>
      <c r="O410" t="e">
        <f>+_xlfn.XLOOKUP(tbl_encuesta[[#This Row],[Siento que mi trabajo es reconocido por mi supervisor o jefe directo.]],#REF!,#REF!)</f>
        <v>#REF!</v>
      </c>
      <c r="P410" t="s">
        <v>31</v>
      </c>
      <c r="Q410" t="e">
        <f xml:space="preserve">
_xlfn.XLOOKUP(
tbl_encuesta[[#This Row],[Mi supervisor o jefe directo nos brinda charlas de 5 minutos y comunica las novedades relevantes a mi puesto de trabajo]],#REF!,#REF!
)</f>
        <v>#REF!</v>
      </c>
      <c r="R410" t="s">
        <v>17</v>
      </c>
      <c r="T410" t="s">
        <v>19</v>
      </c>
      <c r="W410" t="s">
        <v>25</v>
      </c>
      <c r="X410" t="s">
        <v>23</v>
      </c>
      <c r="Y410" t="e">
        <f>+_xlfn.XLOOKUP(tbl_encuesta[[#This Row],[Considero a Limtek como un buen lugar para trabajar]],#REF!,#REF!)</f>
        <v>#REF!</v>
      </c>
      <c r="Z410" t="s">
        <v>1091</v>
      </c>
      <c r="AA410" t="s">
        <v>122</v>
      </c>
      <c r="AB410" t="s">
        <v>581</v>
      </c>
      <c r="AC410" s="3" t="s">
        <v>3610</v>
      </c>
      <c r="AD410" s="3" t="s">
        <v>3644</v>
      </c>
      <c r="AE410" t="s">
        <v>55</v>
      </c>
    </row>
    <row r="411" spans="1:31" x14ac:dyDescent="0.25">
      <c r="A411">
        <v>119031227811</v>
      </c>
      <c r="B411">
        <v>462598545</v>
      </c>
      <c r="C411" s="1">
        <v>46027.613240740742</v>
      </c>
      <c r="D411" s="1">
        <v>46027.616793981484</v>
      </c>
      <c r="E411" t="s">
        <v>1092</v>
      </c>
      <c r="F411" t="s">
        <v>23</v>
      </c>
      <c r="G411" t="e">
        <f>+_xlfn.XLOOKUP(tbl_encuesta[[#This Row],[Me siento a gusto con el ambiente de trabajo que se genera en mi equipo.]],#REF!,#REF!)</f>
        <v>#REF!</v>
      </c>
      <c r="H411" t="s">
        <v>23</v>
      </c>
      <c r="I411" t="e">
        <f>+_xlfn.XLOOKUP(tbl_encuesta[[#This Row],[Me siento motivado a dar lo mejor de mí y hacer un buen trabajo]],#REF!,#REF!)</f>
        <v>#REF!</v>
      </c>
      <c r="J411" t="s">
        <v>23</v>
      </c>
      <c r="K411" t="e">
        <f>+_xlfn.XLOOKUP(tbl_encuesta[[#This Row],[Mi supervisor o jefe directo me otorga el soporte que necesito para afrontar cualquier problema que afecte mi trabajo]],#REF!,#REF!)</f>
        <v>#REF!</v>
      </c>
      <c r="L411" t="s">
        <v>23</v>
      </c>
      <c r="M411" t="e">
        <f>+_xlfn.XLOOKUP(tbl_encuesta[[#This Row],[Mi supervisor o jefe directo fomenta que nos apoyemos entre todos en el equipo]],#REF!,#REF!)</f>
        <v>#REF!</v>
      </c>
      <c r="N411" t="s">
        <v>23</v>
      </c>
      <c r="O411" t="e">
        <f>+_xlfn.XLOOKUP(tbl_encuesta[[#This Row],[Siento que mi trabajo es reconocido por mi supervisor o jefe directo.]],#REF!,#REF!)</f>
        <v>#REF!</v>
      </c>
      <c r="P411" t="s">
        <v>31</v>
      </c>
      <c r="Q411" t="e">
        <f xml:space="preserve">
_xlfn.XLOOKUP(
tbl_encuesta[[#This Row],[Mi supervisor o jefe directo nos brinda charlas de 5 minutos y comunica las novedades relevantes a mi puesto de trabajo]],#REF!,#REF!
)</f>
        <v>#REF!</v>
      </c>
      <c r="T411" t="s">
        <v>19</v>
      </c>
      <c r="W411" t="s">
        <v>25</v>
      </c>
      <c r="X411" t="s">
        <v>23</v>
      </c>
      <c r="Y411" t="e">
        <f>+_xlfn.XLOOKUP(tbl_encuesta[[#This Row],[Considero a Limtek como un buen lugar para trabajar]],#REF!,#REF!)</f>
        <v>#REF!</v>
      </c>
      <c r="Z411" t="s">
        <v>1093</v>
      </c>
      <c r="AA411" t="s">
        <v>1094</v>
      </c>
      <c r="AB411" t="s">
        <v>581</v>
      </c>
      <c r="AC411" s="3" t="s">
        <v>3610</v>
      </c>
      <c r="AD411" s="3" t="s">
        <v>3645</v>
      </c>
      <c r="AE411" t="s">
        <v>29</v>
      </c>
    </row>
    <row r="412" spans="1:31" x14ac:dyDescent="0.25">
      <c r="A412">
        <v>119031219064</v>
      </c>
      <c r="B412">
        <v>462598545</v>
      </c>
      <c r="C412" s="1">
        <v>46027.603043981479</v>
      </c>
      <c r="D412" s="1">
        <v>46027.607025462959</v>
      </c>
      <c r="E412" t="s">
        <v>1095</v>
      </c>
      <c r="F412" t="s">
        <v>23</v>
      </c>
      <c r="G412" t="e">
        <f>+_xlfn.XLOOKUP(tbl_encuesta[[#This Row],[Me siento a gusto con el ambiente de trabajo que se genera en mi equipo.]],#REF!,#REF!)</f>
        <v>#REF!</v>
      </c>
      <c r="H412" t="s">
        <v>23</v>
      </c>
      <c r="I412" t="e">
        <f>+_xlfn.XLOOKUP(tbl_encuesta[[#This Row],[Me siento motivado a dar lo mejor de mí y hacer un buen trabajo]],#REF!,#REF!)</f>
        <v>#REF!</v>
      </c>
      <c r="J412" t="s">
        <v>23</v>
      </c>
      <c r="K412" t="e">
        <f>+_xlfn.XLOOKUP(tbl_encuesta[[#This Row],[Mi supervisor o jefe directo me otorga el soporte que necesito para afrontar cualquier problema que afecte mi trabajo]],#REF!,#REF!)</f>
        <v>#REF!</v>
      </c>
      <c r="L412" t="s">
        <v>23</v>
      </c>
      <c r="M412" t="e">
        <f>+_xlfn.XLOOKUP(tbl_encuesta[[#This Row],[Mi supervisor o jefe directo fomenta que nos apoyemos entre todos en el equipo]],#REF!,#REF!)</f>
        <v>#REF!</v>
      </c>
      <c r="N412" t="s">
        <v>23</v>
      </c>
      <c r="O412" t="e">
        <f>+_xlfn.XLOOKUP(tbl_encuesta[[#This Row],[Siento que mi trabajo es reconocido por mi supervisor o jefe directo.]],#REF!,#REF!)</f>
        <v>#REF!</v>
      </c>
      <c r="P412" t="s">
        <v>31</v>
      </c>
      <c r="Q412" t="e">
        <f xml:space="preserve">
_xlfn.XLOOKUP(
tbl_encuesta[[#This Row],[Mi supervisor o jefe directo nos brinda charlas de 5 minutos y comunica las novedades relevantes a mi puesto de trabajo]],#REF!,#REF!
)</f>
        <v>#REF!</v>
      </c>
      <c r="T412" t="s">
        <v>19</v>
      </c>
      <c r="U412" t="s">
        <v>20</v>
      </c>
      <c r="W412" t="s">
        <v>25</v>
      </c>
      <c r="X412" t="s">
        <v>23</v>
      </c>
      <c r="Y412" t="e">
        <f>+_xlfn.XLOOKUP(tbl_encuesta[[#This Row],[Considero a Limtek como un buen lugar para trabajar]],#REF!,#REF!)</f>
        <v>#REF!</v>
      </c>
      <c r="Z412" t="s">
        <v>1096</v>
      </c>
      <c r="AA412" t="s">
        <v>1097</v>
      </c>
      <c r="AB412" t="s">
        <v>581</v>
      </c>
      <c r="AC412" s="3" t="s">
        <v>3610</v>
      </c>
      <c r="AD412" s="3" t="s">
        <v>3646</v>
      </c>
      <c r="AE412" t="s">
        <v>34</v>
      </c>
    </row>
    <row r="413" spans="1:31" x14ac:dyDescent="0.25">
      <c r="A413">
        <v>119031209068</v>
      </c>
      <c r="B413">
        <v>462598545</v>
      </c>
      <c r="C413" s="1">
        <v>46027.590879629628</v>
      </c>
      <c r="D413" s="1">
        <v>46027.595879629633</v>
      </c>
      <c r="E413" t="s">
        <v>1087</v>
      </c>
      <c r="F413" t="s">
        <v>23</v>
      </c>
      <c r="G413" t="e">
        <f>+_xlfn.XLOOKUP(tbl_encuesta[[#This Row],[Me siento a gusto con el ambiente de trabajo que se genera en mi equipo.]],#REF!,#REF!)</f>
        <v>#REF!</v>
      </c>
      <c r="H413" t="s">
        <v>23</v>
      </c>
      <c r="I413" t="e">
        <f>+_xlfn.XLOOKUP(tbl_encuesta[[#This Row],[Me siento motivado a dar lo mejor de mí y hacer un buen trabajo]],#REF!,#REF!)</f>
        <v>#REF!</v>
      </c>
      <c r="J413" t="s">
        <v>23</v>
      </c>
      <c r="K413" t="e">
        <f>+_xlfn.XLOOKUP(tbl_encuesta[[#This Row],[Mi supervisor o jefe directo me otorga el soporte que necesito para afrontar cualquier problema que afecte mi trabajo]],#REF!,#REF!)</f>
        <v>#REF!</v>
      </c>
      <c r="L413" t="s">
        <v>23</v>
      </c>
      <c r="M413" t="e">
        <f>+_xlfn.XLOOKUP(tbl_encuesta[[#This Row],[Mi supervisor o jefe directo fomenta que nos apoyemos entre todos en el equipo]],#REF!,#REF!)</f>
        <v>#REF!</v>
      </c>
      <c r="N413" t="s">
        <v>23</v>
      </c>
      <c r="O413" t="e">
        <f>+_xlfn.XLOOKUP(tbl_encuesta[[#This Row],[Siento que mi trabajo es reconocido por mi supervisor o jefe directo.]],#REF!,#REF!)</f>
        <v>#REF!</v>
      </c>
      <c r="P413" t="s">
        <v>31</v>
      </c>
      <c r="Q413" t="e">
        <f xml:space="preserve">
_xlfn.XLOOKUP(
tbl_encuesta[[#This Row],[Mi supervisor o jefe directo nos brinda charlas de 5 minutos y comunica las novedades relevantes a mi puesto de trabajo]],#REF!,#REF!
)</f>
        <v>#REF!</v>
      </c>
      <c r="R413" t="s">
        <v>17</v>
      </c>
      <c r="W413" t="s">
        <v>25</v>
      </c>
      <c r="X413" t="s">
        <v>23</v>
      </c>
      <c r="Y413" t="e">
        <f>+_xlfn.XLOOKUP(tbl_encuesta[[#This Row],[Considero a Limtek como un buen lugar para trabajar]],#REF!,#REF!)</f>
        <v>#REF!</v>
      </c>
      <c r="Z413" t="s">
        <v>193</v>
      </c>
      <c r="AA413" t="s">
        <v>1098</v>
      </c>
      <c r="AB413" t="s">
        <v>28</v>
      </c>
      <c r="AC413" s="3" t="s">
        <v>3802</v>
      </c>
      <c r="AD413" s="3" t="s">
        <v>3808</v>
      </c>
      <c r="AE413" t="s">
        <v>34</v>
      </c>
    </row>
    <row r="414" spans="1:31" x14ac:dyDescent="0.25">
      <c r="A414">
        <v>119031208694</v>
      </c>
      <c r="B414">
        <v>462598545</v>
      </c>
      <c r="C414" s="1">
        <v>46027.574293981481</v>
      </c>
      <c r="D414" s="1">
        <v>46027.59547453704</v>
      </c>
      <c r="E414" t="s">
        <v>1099</v>
      </c>
      <c r="F414" t="s">
        <v>23</v>
      </c>
      <c r="G414" t="e">
        <f>+_xlfn.XLOOKUP(tbl_encuesta[[#This Row],[Me siento a gusto con el ambiente de trabajo que se genera en mi equipo.]],#REF!,#REF!)</f>
        <v>#REF!</v>
      </c>
      <c r="H414" t="s">
        <v>23</v>
      </c>
      <c r="I414" t="e">
        <f>+_xlfn.XLOOKUP(tbl_encuesta[[#This Row],[Me siento motivado a dar lo mejor de mí y hacer un buen trabajo]],#REF!,#REF!)</f>
        <v>#REF!</v>
      </c>
      <c r="J414" t="s">
        <v>23</v>
      </c>
      <c r="K414" t="e">
        <f>+_xlfn.XLOOKUP(tbl_encuesta[[#This Row],[Mi supervisor o jefe directo me otorga el soporte que necesito para afrontar cualquier problema que afecte mi trabajo]],#REF!,#REF!)</f>
        <v>#REF!</v>
      </c>
      <c r="L414" t="s">
        <v>22</v>
      </c>
      <c r="M414" t="e">
        <f>+_xlfn.XLOOKUP(tbl_encuesta[[#This Row],[Mi supervisor o jefe directo fomenta que nos apoyemos entre todos en el equipo]],#REF!,#REF!)</f>
        <v>#REF!</v>
      </c>
      <c r="N414" t="s">
        <v>23</v>
      </c>
      <c r="O414" t="e">
        <f>+_xlfn.XLOOKUP(tbl_encuesta[[#This Row],[Siento que mi trabajo es reconocido por mi supervisor o jefe directo.]],#REF!,#REF!)</f>
        <v>#REF!</v>
      </c>
      <c r="P414" t="s">
        <v>31</v>
      </c>
      <c r="Q414" t="e">
        <f xml:space="preserve">
_xlfn.XLOOKUP(
tbl_encuesta[[#This Row],[Mi supervisor o jefe directo nos brinda charlas de 5 minutos y comunica las novedades relevantes a mi puesto de trabajo]],#REF!,#REF!
)</f>
        <v>#REF!</v>
      </c>
      <c r="R414" t="s">
        <v>17</v>
      </c>
      <c r="T414" t="s">
        <v>19</v>
      </c>
      <c r="W414" t="s">
        <v>25</v>
      </c>
      <c r="X414" t="s">
        <v>23</v>
      </c>
      <c r="Y414" t="e">
        <f>+_xlfn.XLOOKUP(tbl_encuesta[[#This Row],[Considero a Limtek como un buen lugar para trabajar]],#REF!,#REF!)</f>
        <v>#REF!</v>
      </c>
      <c r="Z414" t="s">
        <v>1100</v>
      </c>
      <c r="AA414" t="s">
        <v>1101</v>
      </c>
      <c r="AB414" t="s">
        <v>59</v>
      </c>
      <c r="AC414" s="3" t="s">
        <v>3610</v>
      </c>
      <c r="AD414" s="3" t="s">
        <v>3610</v>
      </c>
      <c r="AE414" t="s">
        <v>34</v>
      </c>
    </row>
    <row r="415" spans="1:31" x14ac:dyDescent="0.25">
      <c r="A415">
        <v>119031194016</v>
      </c>
      <c r="B415">
        <v>462598545</v>
      </c>
      <c r="C415" s="1">
        <v>46027.571886574071</v>
      </c>
      <c r="D415" s="1">
        <v>46027.579976851855</v>
      </c>
      <c r="E415" t="s">
        <v>1102</v>
      </c>
      <c r="F415" t="s">
        <v>43</v>
      </c>
      <c r="G415" t="e">
        <f>+_xlfn.XLOOKUP(tbl_encuesta[[#This Row],[Me siento a gusto con el ambiente de trabajo que se genera en mi equipo.]],#REF!,#REF!)</f>
        <v>#REF!</v>
      </c>
      <c r="H415" t="s">
        <v>23</v>
      </c>
      <c r="I415" t="e">
        <f>+_xlfn.XLOOKUP(tbl_encuesta[[#This Row],[Me siento motivado a dar lo mejor de mí y hacer un buen trabajo]],#REF!,#REF!)</f>
        <v>#REF!</v>
      </c>
      <c r="J415" t="s">
        <v>22</v>
      </c>
      <c r="K415" t="e">
        <f>+_xlfn.XLOOKUP(tbl_encuesta[[#This Row],[Mi supervisor o jefe directo me otorga el soporte que necesito para afrontar cualquier problema que afecte mi trabajo]],#REF!,#REF!)</f>
        <v>#REF!</v>
      </c>
      <c r="L415" t="s">
        <v>23</v>
      </c>
      <c r="M415" t="e">
        <f>+_xlfn.XLOOKUP(tbl_encuesta[[#This Row],[Mi supervisor o jefe directo fomenta que nos apoyemos entre todos en el equipo]],#REF!,#REF!)</f>
        <v>#REF!</v>
      </c>
      <c r="N415" t="s">
        <v>23</v>
      </c>
      <c r="O415" t="e">
        <f>+_xlfn.XLOOKUP(tbl_encuesta[[#This Row],[Siento que mi trabajo es reconocido por mi supervisor o jefe directo.]],#REF!,#REF!)</f>
        <v>#REF!</v>
      </c>
      <c r="P415" t="s">
        <v>31</v>
      </c>
      <c r="Q415" t="e">
        <f xml:space="preserve">
_xlfn.XLOOKUP(
tbl_encuesta[[#This Row],[Mi supervisor o jefe directo nos brinda charlas de 5 minutos y comunica las novedades relevantes a mi puesto de trabajo]],#REF!,#REF!
)</f>
        <v>#REF!</v>
      </c>
      <c r="V415" t="s">
        <v>1103</v>
      </c>
      <c r="W415" t="s">
        <v>25</v>
      </c>
      <c r="X415" t="s">
        <v>22</v>
      </c>
      <c r="Y415" t="e">
        <f>+_xlfn.XLOOKUP(tbl_encuesta[[#This Row],[Considero a Limtek como un buen lugar para trabajar]],#REF!,#REF!)</f>
        <v>#REF!</v>
      </c>
      <c r="Z415" t="s">
        <v>1104</v>
      </c>
      <c r="AA415" t="s">
        <v>1105</v>
      </c>
      <c r="AB415" t="s">
        <v>581</v>
      </c>
      <c r="AC415" s="3" t="s">
        <v>3768</v>
      </c>
      <c r="AD415" s="3" t="s">
        <v>3768</v>
      </c>
      <c r="AE415" t="s">
        <v>29</v>
      </c>
    </row>
    <row r="416" spans="1:31" x14ac:dyDescent="0.25">
      <c r="A416">
        <v>119031186830</v>
      </c>
      <c r="B416">
        <v>462598545</v>
      </c>
      <c r="C416" s="1">
        <v>46027.567349537036</v>
      </c>
      <c r="D416" s="1">
        <v>46027.572291666664</v>
      </c>
      <c r="E416" t="s">
        <v>1106</v>
      </c>
      <c r="F416" t="s">
        <v>23</v>
      </c>
      <c r="G416" t="e">
        <f>+_xlfn.XLOOKUP(tbl_encuesta[[#This Row],[Me siento a gusto con el ambiente de trabajo que se genera en mi equipo.]],#REF!,#REF!)</f>
        <v>#REF!</v>
      </c>
      <c r="H416" t="s">
        <v>23</v>
      </c>
      <c r="I416" t="e">
        <f>+_xlfn.XLOOKUP(tbl_encuesta[[#This Row],[Me siento motivado a dar lo mejor de mí y hacer un buen trabajo]],#REF!,#REF!)</f>
        <v>#REF!</v>
      </c>
      <c r="J416" t="s">
        <v>23</v>
      </c>
      <c r="K416" t="e">
        <f>+_xlfn.XLOOKUP(tbl_encuesta[[#This Row],[Mi supervisor o jefe directo me otorga el soporte que necesito para afrontar cualquier problema que afecte mi trabajo]],#REF!,#REF!)</f>
        <v>#REF!</v>
      </c>
      <c r="L416" t="s">
        <v>23</v>
      </c>
      <c r="M416" t="e">
        <f>+_xlfn.XLOOKUP(tbl_encuesta[[#This Row],[Mi supervisor o jefe directo fomenta que nos apoyemos entre todos en el equipo]],#REF!,#REF!)</f>
        <v>#REF!</v>
      </c>
      <c r="N416" t="s">
        <v>23</v>
      </c>
      <c r="O416" t="e">
        <f>+_xlfn.XLOOKUP(tbl_encuesta[[#This Row],[Siento que mi trabajo es reconocido por mi supervisor o jefe directo.]],#REF!,#REF!)</f>
        <v>#REF!</v>
      </c>
      <c r="P416" t="s">
        <v>31</v>
      </c>
      <c r="Q416" t="e">
        <f xml:space="preserve">
_xlfn.XLOOKUP(
tbl_encuesta[[#This Row],[Mi supervisor o jefe directo nos brinda charlas de 5 minutos y comunica las novedades relevantes a mi puesto de trabajo]],#REF!,#REF!
)</f>
        <v>#REF!</v>
      </c>
      <c r="R416" t="s">
        <v>17</v>
      </c>
      <c r="S416" t="s">
        <v>18</v>
      </c>
      <c r="W416" t="s">
        <v>46</v>
      </c>
      <c r="X416" t="s">
        <v>23</v>
      </c>
      <c r="Y416" t="e">
        <f>+_xlfn.XLOOKUP(tbl_encuesta[[#This Row],[Considero a Limtek como un buen lugar para trabajar]],#REF!,#REF!)</f>
        <v>#REF!</v>
      </c>
      <c r="Z416" t="s">
        <v>215</v>
      </c>
      <c r="AA416" t="s">
        <v>1107</v>
      </c>
      <c r="AB416" t="s">
        <v>581</v>
      </c>
      <c r="AC416" s="3" t="s">
        <v>3716</v>
      </c>
      <c r="AD416" s="3" t="s">
        <v>3716</v>
      </c>
      <c r="AE416" t="s">
        <v>29</v>
      </c>
    </row>
    <row r="417" spans="1:31" x14ac:dyDescent="0.25">
      <c r="A417">
        <v>119031186605</v>
      </c>
      <c r="B417">
        <v>462598545</v>
      </c>
      <c r="C417" s="1">
        <v>46027.565451388888</v>
      </c>
      <c r="D417" s="1">
        <v>46027.572060185186</v>
      </c>
      <c r="E417" t="s">
        <v>1106</v>
      </c>
      <c r="F417" t="s">
        <v>23</v>
      </c>
      <c r="G417" t="e">
        <f>+_xlfn.XLOOKUP(tbl_encuesta[[#This Row],[Me siento a gusto con el ambiente de trabajo que se genera en mi equipo.]],#REF!,#REF!)</f>
        <v>#REF!</v>
      </c>
      <c r="H417" t="s">
        <v>23</v>
      </c>
      <c r="I417" t="e">
        <f>+_xlfn.XLOOKUP(tbl_encuesta[[#This Row],[Me siento motivado a dar lo mejor de mí y hacer un buen trabajo]],#REF!,#REF!)</f>
        <v>#REF!</v>
      </c>
      <c r="J417" t="s">
        <v>23</v>
      </c>
      <c r="K417" t="e">
        <f>+_xlfn.XLOOKUP(tbl_encuesta[[#This Row],[Mi supervisor o jefe directo me otorga el soporte que necesito para afrontar cualquier problema que afecte mi trabajo]],#REF!,#REF!)</f>
        <v>#REF!</v>
      </c>
      <c r="L417" t="s">
        <v>23</v>
      </c>
      <c r="M417" t="e">
        <f>+_xlfn.XLOOKUP(tbl_encuesta[[#This Row],[Mi supervisor o jefe directo fomenta que nos apoyemos entre todos en el equipo]],#REF!,#REF!)</f>
        <v>#REF!</v>
      </c>
      <c r="N417" t="s">
        <v>23</v>
      </c>
      <c r="O417" t="e">
        <f>+_xlfn.XLOOKUP(tbl_encuesta[[#This Row],[Siento que mi trabajo es reconocido por mi supervisor o jefe directo.]],#REF!,#REF!)</f>
        <v>#REF!</v>
      </c>
      <c r="P417" t="s">
        <v>31</v>
      </c>
      <c r="Q417" t="e">
        <f xml:space="preserve">
_xlfn.XLOOKUP(
tbl_encuesta[[#This Row],[Mi supervisor o jefe directo nos brinda charlas de 5 minutos y comunica las novedades relevantes a mi puesto de trabajo]],#REF!,#REF!
)</f>
        <v>#REF!</v>
      </c>
      <c r="R417" t="s">
        <v>17</v>
      </c>
      <c r="W417" t="s">
        <v>25</v>
      </c>
      <c r="X417" t="s">
        <v>23</v>
      </c>
      <c r="Y417" t="e">
        <f>+_xlfn.XLOOKUP(tbl_encuesta[[#This Row],[Considero a Limtek como un buen lugar para trabajar]],#REF!,#REF!)</f>
        <v>#REF!</v>
      </c>
      <c r="Z417" t="s">
        <v>1108</v>
      </c>
      <c r="AA417" t="s">
        <v>1109</v>
      </c>
      <c r="AB417" t="s">
        <v>581</v>
      </c>
      <c r="AC417" s="3" t="s">
        <v>3716</v>
      </c>
      <c r="AD417" s="3" t="s">
        <v>3716</v>
      </c>
      <c r="AE417" t="s">
        <v>29</v>
      </c>
    </row>
    <row r="418" spans="1:31" x14ac:dyDescent="0.25">
      <c r="A418">
        <v>119031186157</v>
      </c>
      <c r="B418">
        <v>462598545</v>
      </c>
      <c r="C418" s="1">
        <v>46027.565462962964</v>
      </c>
      <c r="D418" s="1">
        <v>46027.571643518517</v>
      </c>
      <c r="E418" t="s">
        <v>1110</v>
      </c>
      <c r="F418" t="s">
        <v>23</v>
      </c>
      <c r="G418" t="e">
        <f>+_xlfn.XLOOKUP(tbl_encuesta[[#This Row],[Me siento a gusto con el ambiente de trabajo que se genera en mi equipo.]],#REF!,#REF!)</f>
        <v>#REF!</v>
      </c>
      <c r="H418" t="s">
        <v>23</v>
      </c>
      <c r="I418" t="e">
        <f>+_xlfn.XLOOKUP(tbl_encuesta[[#This Row],[Me siento motivado a dar lo mejor de mí y hacer un buen trabajo]],#REF!,#REF!)</f>
        <v>#REF!</v>
      </c>
      <c r="J418" t="s">
        <v>22</v>
      </c>
      <c r="K418" t="e">
        <f>+_xlfn.XLOOKUP(tbl_encuesta[[#This Row],[Mi supervisor o jefe directo me otorga el soporte que necesito para afrontar cualquier problema que afecte mi trabajo]],#REF!,#REF!)</f>
        <v>#REF!</v>
      </c>
      <c r="L418" t="s">
        <v>22</v>
      </c>
      <c r="M418" t="e">
        <f>+_xlfn.XLOOKUP(tbl_encuesta[[#This Row],[Mi supervisor o jefe directo fomenta que nos apoyemos entre todos en el equipo]],#REF!,#REF!)</f>
        <v>#REF!</v>
      </c>
      <c r="N418" t="s">
        <v>22</v>
      </c>
      <c r="O418" t="e">
        <f>+_xlfn.XLOOKUP(tbl_encuesta[[#This Row],[Siento que mi trabajo es reconocido por mi supervisor o jefe directo.]],#REF!,#REF!)</f>
        <v>#REF!</v>
      </c>
      <c r="P418" t="s">
        <v>24</v>
      </c>
      <c r="Q418" t="e">
        <f xml:space="preserve">
_xlfn.XLOOKUP(
tbl_encuesta[[#This Row],[Mi supervisor o jefe directo nos brinda charlas de 5 minutos y comunica las novedades relevantes a mi puesto de trabajo]],#REF!,#REF!
)</f>
        <v>#REF!</v>
      </c>
      <c r="R418" t="s">
        <v>17</v>
      </c>
      <c r="W418" t="s">
        <v>25</v>
      </c>
      <c r="X418" t="s">
        <v>22</v>
      </c>
      <c r="Y418" t="e">
        <f>+_xlfn.XLOOKUP(tbl_encuesta[[#This Row],[Considero a Limtek como un buen lugar para trabajar]],#REF!,#REF!)</f>
        <v>#REF!</v>
      </c>
      <c r="Z418" t="s">
        <v>1111</v>
      </c>
      <c r="AA418" t="s">
        <v>1112</v>
      </c>
      <c r="AB418" t="s">
        <v>720</v>
      </c>
      <c r="AC418" s="3" t="s">
        <v>3610</v>
      </c>
      <c r="AD418" s="3" t="s">
        <v>3647</v>
      </c>
      <c r="AE418" t="s">
        <v>34</v>
      </c>
    </row>
    <row r="419" spans="1:31" x14ac:dyDescent="0.25">
      <c r="A419">
        <v>119031179091</v>
      </c>
      <c r="B419">
        <v>462598545</v>
      </c>
      <c r="C419" s="1">
        <v>46027.561203703706</v>
      </c>
      <c r="D419" s="1">
        <v>46027.564444444448</v>
      </c>
      <c r="E419" t="s">
        <v>1113</v>
      </c>
      <c r="F419" t="s">
        <v>23</v>
      </c>
      <c r="G419" t="e">
        <f>+_xlfn.XLOOKUP(tbl_encuesta[[#This Row],[Me siento a gusto con el ambiente de trabajo que se genera en mi equipo.]],#REF!,#REF!)</f>
        <v>#REF!</v>
      </c>
      <c r="H419" t="s">
        <v>23</v>
      </c>
      <c r="I419" t="e">
        <f>+_xlfn.XLOOKUP(tbl_encuesta[[#This Row],[Me siento motivado a dar lo mejor de mí y hacer un buen trabajo]],#REF!,#REF!)</f>
        <v>#REF!</v>
      </c>
      <c r="J419" t="s">
        <v>23</v>
      </c>
      <c r="K419" t="e">
        <f>+_xlfn.XLOOKUP(tbl_encuesta[[#This Row],[Mi supervisor o jefe directo me otorga el soporte que necesito para afrontar cualquier problema que afecte mi trabajo]],#REF!,#REF!)</f>
        <v>#REF!</v>
      </c>
      <c r="L419" t="s">
        <v>23</v>
      </c>
      <c r="M419" t="e">
        <f>+_xlfn.XLOOKUP(tbl_encuesta[[#This Row],[Mi supervisor o jefe directo fomenta que nos apoyemos entre todos en el equipo]],#REF!,#REF!)</f>
        <v>#REF!</v>
      </c>
      <c r="N419" t="s">
        <v>23</v>
      </c>
      <c r="O419" t="e">
        <f>+_xlfn.XLOOKUP(tbl_encuesta[[#This Row],[Siento que mi trabajo es reconocido por mi supervisor o jefe directo.]],#REF!,#REF!)</f>
        <v>#REF!</v>
      </c>
      <c r="P419" t="s">
        <v>31</v>
      </c>
      <c r="Q419" t="e">
        <f xml:space="preserve">
_xlfn.XLOOKUP(
tbl_encuesta[[#This Row],[Mi supervisor o jefe directo nos brinda charlas de 5 minutos y comunica las novedades relevantes a mi puesto de trabajo]],#REF!,#REF!
)</f>
        <v>#REF!</v>
      </c>
      <c r="R419" t="s">
        <v>17</v>
      </c>
      <c r="W419" t="s">
        <v>25</v>
      </c>
      <c r="X419" t="s">
        <v>23</v>
      </c>
      <c r="Y419" t="e">
        <f>+_xlfn.XLOOKUP(tbl_encuesta[[#This Row],[Considero a Limtek como un buen lugar para trabajar]],#REF!,#REF!)</f>
        <v>#REF!</v>
      </c>
      <c r="Z419" t="s">
        <v>1114</v>
      </c>
      <c r="AA419" t="s">
        <v>1115</v>
      </c>
      <c r="AB419" t="s">
        <v>581</v>
      </c>
      <c r="AC419" s="3" t="s">
        <v>3610</v>
      </c>
      <c r="AD419" s="3" t="s">
        <v>3648</v>
      </c>
      <c r="AE419" t="s">
        <v>34</v>
      </c>
    </row>
    <row r="420" spans="1:31" x14ac:dyDescent="0.25">
      <c r="A420">
        <v>119031173449</v>
      </c>
      <c r="B420">
        <v>462598545</v>
      </c>
      <c r="C420" s="1">
        <v>46027.553715277776</v>
      </c>
      <c r="D420" s="1">
        <v>46027.558923611112</v>
      </c>
      <c r="E420" t="s">
        <v>1116</v>
      </c>
      <c r="F420" t="s">
        <v>23</v>
      </c>
      <c r="G420" t="e">
        <f>+_xlfn.XLOOKUP(tbl_encuesta[[#This Row],[Me siento a gusto con el ambiente de trabajo que se genera en mi equipo.]],#REF!,#REF!)</f>
        <v>#REF!</v>
      </c>
      <c r="H420" t="s">
        <v>23</v>
      </c>
      <c r="I420" t="e">
        <f>+_xlfn.XLOOKUP(tbl_encuesta[[#This Row],[Me siento motivado a dar lo mejor de mí y hacer un buen trabajo]],#REF!,#REF!)</f>
        <v>#REF!</v>
      </c>
      <c r="J420" t="s">
        <v>22</v>
      </c>
      <c r="K420" t="e">
        <f>+_xlfn.XLOOKUP(tbl_encuesta[[#This Row],[Mi supervisor o jefe directo me otorga el soporte que necesito para afrontar cualquier problema que afecte mi trabajo]],#REF!,#REF!)</f>
        <v>#REF!</v>
      </c>
      <c r="L420" t="s">
        <v>23</v>
      </c>
      <c r="M420" t="e">
        <f>+_xlfn.XLOOKUP(tbl_encuesta[[#This Row],[Mi supervisor o jefe directo fomenta que nos apoyemos entre todos en el equipo]],#REF!,#REF!)</f>
        <v>#REF!</v>
      </c>
      <c r="N420" t="s">
        <v>22</v>
      </c>
      <c r="O420" t="e">
        <f>+_xlfn.XLOOKUP(tbl_encuesta[[#This Row],[Siento que mi trabajo es reconocido por mi supervisor o jefe directo.]],#REF!,#REF!)</f>
        <v>#REF!</v>
      </c>
      <c r="P420" t="s">
        <v>31</v>
      </c>
      <c r="Q420" t="e">
        <f xml:space="preserve">
_xlfn.XLOOKUP(
tbl_encuesta[[#This Row],[Mi supervisor o jefe directo nos brinda charlas de 5 minutos y comunica las novedades relevantes a mi puesto de trabajo]],#REF!,#REF!
)</f>
        <v>#REF!</v>
      </c>
      <c r="R420" t="s">
        <v>17</v>
      </c>
      <c r="W420" t="s">
        <v>25</v>
      </c>
      <c r="X420" t="s">
        <v>23</v>
      </c>
      <c r="Y420" t="e">
        <f>+_xlfn.XLOOKUP(tbl_encuesta[[#This Row],[Considero a Limtek como un buen lugar para trabajar]],#REF!,#REF!)</f>
        <v>#REF!</v>
      </c>
      <c r="Z420" t="s">
        <v>1117</v>
      </c>
      <c r="AA420" t="s">
        <v>1118</v>
      </c>
      <c r="AB420" t="s">
        <v>720</v>
      </c>
      <c r="AC420" t="s">
        <v>3744</v>
      </c>
      <c r="AD420" t="s">
        <v>3744</v>
      </c>
      <c r="AE420" t="s">
        <v>61</v>
      </c>
    </row>
    <row r="421" spans="1:31" x14ac:dyDescent="0.25">
      <c r="A421">
        <v>119031164976</v>
      </c>
      <c r="B421">
        <v>462598545</v>
      </c>
      <c r="C421" s="1">
        <v>46027.548483796294</v>
      </c>
      <c r="D421" s="1">
        <v>46027.550451388888</v>
      </c>
      <c r="E421" t="s">
        <v>1119</v>
      </c>
      <c r="F421" t="s">
        <v>23</v>
      </c>
      <c r="G421" t="e">
        <f>+_xlfn.XLOOKUP(tbl_encuesta[[#This Row],[Me siento a gusto con el ambiente de trabajo que se genera en mi equipo.]],#REF!,#REF!)</f>
        <v>#REF!</v>
      </c>
      <c r="H421" t="s">
        <v>23</v>
      </c>
      <c r="I421" t="e">
        <f>+_xlfn.XLOOKUP(tbl_encuesta[[#This Row],[Me siento motivado a dar lo mejor de mí y hacer un buen trabajo]],#REF!,#REF!)</f>
        <v>#REF!</v>
      </c>
      <c r="J421" t="s">
        <v>23</v>
      </c>
      <c r="K421" t="e">
        <f>+_xlfn.XLOOKUP(tbl_encuesta[[#This Row],[Mi supervisor o jefe directo me otorga el soporte que necesito para afrontar cualquier problema que afecte mi trabajo]],#REF!,#REF!)</f>
        <v>#REF!</v>
      </c>
      <c r="L421" t="s">
        <v>23</v>
      </c>
      <c r="M421" t="e">
        <f>+_xlfn.XLOOKUP(tbl_encuesta[[#This Row],[Mi supervisor o jefe directo fomenta que nos apoyemos entre todos en el equipo]],#REF!,#REF!)</f>
        <v>#REF!</v>
      </c>
      <c r="N421" t="s">
        <v>23</v>
      </c>
      <c r="O421" t="e">
        <f>+_xlfn.XLOOKUP(tbl_encuesta[[#This Row],[Siento que mi trabajo es reconocido por mi supervisor o jefe directo.]],#REF!,#REF!)</f>
        <v>#REF!</v>
      </c>
      <c r="P421" t="s">
        <v>31</v>
      </c>
      <c r="Q421" t="e">
        <f xml:space="preserve">
_xlfn.XLOOKUP(
tbl_encuesta[[#This Row],[Mi supervisor o jefe directo nos brinda charlas de 5 minutos y comunica las novedades relevantes a mi puesto de trabajo]],#REF!,#REF!
)</f>
        <v>#REF!</v>
      </c>
      <c r="S421" t="s">
        <v>18</v>
      </c>
      <c r="U421" t="s">
        <v>20</v>
      </c>
      <c r="W421" t="s">
        <v>25</v>
      </c>
      <c r="X421" t="s">
        <v>23</v>
      </c>
      <c r="Y421" t="e">
        <f>+_xlfn.XLOOKUP(tbl_encuesta[[#This Row],[Considero a Limtek como un buen lugar para trabajar]],#REF!,#REF!)</f>
        <v>#REF!</v>
      </c>
      <c r="Z421" t="s">
        <v>1120</v>
      </c>
      <c r="AA421" t="s">
        <v>1121</v>
      </c>
      <c r="AB421" t="s">
        <v>581</v>
      </c>
      <c r="AC421" s="3" t="s">
        <v>3716</v>
      </c>
      <c r="AD421" s="3" t="s">
        <v>814</v>
      </c>
      <c r="AE421" t="s">
        <v>29</v>
      </c>
    </row>
    <row r="422" spans="1:31" x14ac:dyDescent="0.25">
      <c r="A422">
        <v>119031156149</v>
      </c>
      <c r="B422">
        <v>462598545</v>
      </c>
      <c r="C422" s="1">
        <v>46027.540520833332</v>
      </c>
      <c r="D422" s="1">
        <v>46027.541967592595</v>
      </c>
      <c r="E422" t="s">
        <v>1122</v>
      </c>
      <c r="F422" t="s">
        <v>23</v>
      </c>
      <c r="G422" t="e">
        <f>+_xlfn.XLOOKUP(tbl_encuesta[[#This Row],[Me siento a gusto con el ambiente de trabajo que se genera en mi equipo.]],#REF!,#REF!)</f>
        <v>#REF!</v>
      </c>
      <c r="H422" t="s">
        <v>23</v>
      </c>
      <c r="I422" t="e">
        <f>+_xlfn.XLOOKUP(tbl_encuesta[[#This Row],[Me siento motivado a dar lo mejor de mí y hacer un buen trabajo]],#REF!,#REF!)</f>
        <v>#REF!</v>
      </c>
      <c r="J422" t="s">
        <v>23</v>
      </c>
      <c r="K422" t="e">
        <f>+_xlfn.XLOOKUP(tbl_encuesta[[#This Row],[Mi supervisor o jefe directo me otorga el soporte que necesito para afrontar cualquier problema que afecte mi trabajo]],#REF!,#REF!)</f>
        <v>#REF!</v>
      </c>
      <c r="L422" t="s">
        <v>23</v>
      </c>
      <c r="M422" t="e">
        <f>+_xlfn.XLOOKUP(tbl_encuesta[[#This Row],[Mi supervisor o jefe directo fomenta que nos apoyemos entre todos en el equipo]],#REF!,#REF!)</f>
        <v>#REF!</v>
      </c>
      <c r="N422" t="s">
        <v>23</v>
      </c>
      <c r="O422" t="e">
        <f>+_xlfn.XLOOKUP(tbl_encuesta[[#This Row],[Siento que mi trabajo es reconocido por mi supervisor o jefe directo.]],#REF!,#REF!)</f>
        <v>#REF!</v>
      </c>
      <c r="P422" t="s">
        <v>31</v>
      </c>
      <c r="Q422" t="e">
        <f xml:space="preserve">
_xlfn.XLOOKUP(
tbl_encuesta[[#This Row],[Mi supervisor o jefe directo nos brinda charlas de 5 minutos y comunica las novedades relevantes a mi puesto de trabajo]],#REF!,#REF!
)</f>
        <v>#REF!</v>
      </c>
      <c r="R422" t="s">
        <v>17</v>
      </c>
      <c r="S422" t="s">
        <v>18</v>
      </c>
      <c r="W422" t="s">
        <v>25</v>
      </c>
      <c r="X422" t="s">
        <v>23</v>
      </c>
      <c r="Y422" t="e">
        <f>+_xlfn.XLOOKUP(tbl_encuesta[[#This Row],[Considero a Limtek como un buen lugar para trabajar]],#REF!,#REF!)</f>
        <v>#REF!</v>
      </c>
      <c r="Z422" t="s">
        <v>1123</v>
      </c>
      <c r="AA422" t="s">
        <v>1124</v>
      </c>
      <c r="AB422" t="s">
        <v>581</v>
      </c>
      <c r="AC422" s="3" t="s">
        <v>3716</v>
      </c>
      <c r="AD422" s="3" t="s">
        <v>3716</v>
      </c>
      <c r="AE422" t="s">
        <v>69</v>
      </c>
    </row>
    <row r="423" spans="1:31" x14ac:dyDescent="0.25">
      <c r="A423">
        <v>119031152337</v>
      </c>
      <c r="B423">
        <v>462598545</v>
      </c>
      <c r="C423" s="1">
        <v>46027.533043981479</v>
      </c>
      <c r="D423" s="1">
        <v>46027.537812499999</v>
      </c>
      <c r="E423" t="s">
        <v>1106</v>
      </c>
      <c r="F423" t="s">
        <v>23</v>
      </c>
      <c r="G423" t="e">
        <f>+_xlfn.XLOOKUP(tbl_encuesta[[#This Row],[Me siento a gusto con el ambiente de trabajo que se genera en mi equipo.]],#REF!,#REF!)</f>
        <v>#REF!</v>
      </c>
      <c r="H423" t="s">
        <v>23</v>
      </c>
      <c r="I423" t="e">
        <f>+_xlfn.XLOOKUP(tbl_encuesta[[#This Row],[Me siento motivado a dar lo mejor de mí y hacer un buen trabajo]],#REF!,#REF!)</f>
        <v>#REF!</v>
      </c>
      <c r="J423" t="s">
        <v>23</v>
      </c>
      <c r="K423" t="e">
        <f>+_xlfn.XLOOKUP(tbl_encuesta[[#This Row],[Mi supervisor o jefe directo me otorga el soporte que necesito para afrontar cualquier problema que afecte mi trabajo]],#REF!,#REF!)</f>
        <v>#REF!</v>
      </c>
      <c r="L423" t="s">
        <v>23</v>
      </c>
      <c r="M423" t="e">
        <f>+_xlfn.XLOOKUP(tbl_encuesta[[#This Row],[Mi supervisor o jefe directo fomenta que nos apoyemos entre todos en el equipo]],#REF!,#REF!)</f>
        <v>#REF!</v>
      </c>
      <c r="N423" t="s">
        <v>23</v>
      </c>
      <c r="O423" t="e">
        <f>+_xlfn.XLOOKUP(tbl_encuesta[[#This Row],[Siento que mi trabajo es reconocido por mi supervisor o jefe directo.]],#REF!,#REF!)</f>
        <v>#REF!</v>
      </c>
      <c r="P423" t="s">
        <v>31</v>
      </c>
      <c r="Q423" t="e">
        <f xml:space="preserve">
_xlfn.XLOOKUP(
tbl_encuesta[[#This Row],[Mi supervisor o jefe directo nos brinda charlas de 5 minutos y comunica las novedades relevantes a mi puesto de trabajo]],#REF!,#REF!
)</f>
        <v>#REF!</v>
      </c>
      <c r="R423" t="s">
        <v>17</v>
      </c>
      <c r="S423" t="s">
        <v>18</v>
      </c>
      <c r="W423" t="s">
        <v>25</v>
      </c>
      <c r="X423" t="s">
        <v>22</v>
      </c>
      <c r="Y423" t="e">
        <f>+_xlfn.XLOOKUP(tbl_encuesta[[#This Row],[Considero a Limtek como un buen lugar para trabajar]],#REF!,#REF!)</f>
        <v>#REF!</v>
      </c>
      <c r="Z423" t="s">
        <v>1125</v>
      </c>
      <c r="AA423" t="s">
        <v>1126</v>
      </c>
      <c r="AB423" t="s">
        <v>581</v>
      </c>
      <c r="AC423" s="3" t="s">
        <v>3768</v>
      </c>
      <c r="AD423" s="3" t="s">
        <v>3768</v>
      </c>
      <c r="AE423" t="s">
        <v>69</v>
      </c>
    </row>
    <row r="424" spans="1:31" x14ac:dyDescent="0.25">
      <c r="A424">
        <v>119031152087</v>
      </c>
      <c r="B424">
        <v>462598545</v>
      </c>
      <c r="C424" s="1">
        <v>46027.526365740741</v>
      </c>
      <c r="D424" s="1">
        <v>46027.537546296298</v>
      </c>
      <c r="E424" t="s">
        <v>1127</v>
      </c>
      <c r="F424" t="s">
        <v>23</v>
      </c>
      <c r="G424" t="e">
        <f>+_xlfn.XLOOKUP(tbl_encuesta[[#This Row],[Me siento a gusto con el ambiente de trabajo que se genera en mi equipo.]],#REF!,#REF!)</f>
        <v>#REF!</v>
      </c>
      <c r="H424" t="s">
        <v>23</v>
      </c>
      <c r="I424" t="e">
        <f>+_xlfn.XLOOKUP(tbl_encuesta[[#This Row],[Me siento motivado a dar lo mejor de mí y hacer un buen trabajo]],#REF!,#REF!)</f>
        <v>#REF!</v>
      </c>
      <c r="J424" t="s">
        <v>23</v>
      </c>
      <c r="K424" t="e">
        <f>+_xlfn.XLOOKUP(tbl_encuesta[[#This Row],[Mi supervisor o jefe directo me otorga el soporte que necesito para afrontar cualquier problema que afecte mi trabajo]],#REF!,#REF!)</f>
        <v>#REF!</v>
      </c>
      <c r="L424" t="s">
        <v>23</v>
      </c>
      <c r="M424" t="e">
        <f>+_xlfn.XLOOKUP(tbl_encuesta[[#This Row],[Mi supervisor o jefe directo fomenta que nos apoyemos entre todos en el equipo]],#REF!,#REF!)</f>
        <v>#REF!</v>
      </c>
      <c r="N424" t="s">
        <v>23</v>
      </c>
      <c r="O424" t="e">
        <f>+_xlfn.XLOOKUP(tbl_encuesta[[#This Row],[Siento que mi trabajo es reconocido por mi supervisor o jefe directo.]],#REF!,#REF!)</f>
        <v>#REF!</v>
      </c>
      <c r="P424" t="s">
        <v>31</v>
      </c>
      <c r="Q424" t="e">
        <f xml:space="preserve">
_xlfn.XLOOKUP(
tbl_encuesta[[#This Row],[Mi supervisor o jefe directo nos brinda charlas de 5 minutos y comunica las novedades relevantes a mi puesto de trabajo]],#REF!,#REF!
)</f>
        <v>#REF!</v>
      </c>
      <c r="R424" t="s">
        <v>17</v>
      </c>
      <c r="S424" t="s">
        <v>18</v>
      </c>
      <c r="W424" t="s">
        <v>25</v>
      </c>
      <c r="X424" t="s">
        <v>23</v>
      </c>
      <c r="Y424" t="e">
        <f>+_xlfn.XLOOKUP(tbl_encuesta[[#This Row],[Considero a Limtek como un buen lugar para trabajar]],#REF!,#REF!)</f>
        <v>#REF!</v>
      </c>
      <c r="Z424" t="s">
        <v>1128</v>
      </c>
      <c r="AA424" t="s">
        <v>1129</v>
      </c>
      <c r="AB424" t="s">
        <v>581</v>
      </c>
      <c r="AC424" s="3" t="s">
        <v>3610</v>
      </c>
      <c r="AD424" s="3" t="s">
        <v>3649</v>
      </c>
      <c r="AE424" t="s">
        <v>34</v>
      </c>
    </row>
    <row r="425" spans="1:31" x14ac:dyDescent="0.25">
      <c r="A425">
        <v>119031150600</v>
      </c>
      <c r="B425">
        <v>462598545</v>
      </c>
      <c r="C425" s="1">
        <v>46027.534675925926</v>
      </c>
      <c r="D425" s="1">
        <v>46027.536087962966</v>
      </c>
      <c r="E425" t="s">
        <v>1130</v>
      </c>
      <c r="F425" t="s">
        <v>23</v>
      </c>
      <c r="G425" t="e">
        <f>+_xlfn.XLOOKUP(tbl_encuesta[[#This Row],[Me siento a gusto con el ambiente de trabajo que se genera en mi equipo.]],#REF!,#REF!)</f>
        <v>#REF!</v>
      </c>
      <c r="H425" t="s">
        <v>23</v>
      </c>
      <c r="I425" t="e">
        <f>+_xlfn.XLOOKUP(tbl_encuesta[[#This Row],[Me siento motivado a dar lo mejor de mí y hacer un buen trabajo]],#REF!,#REF!)</f>
        <v>#REF!</v>
      </c>
      <c r="J425" t="s">
        <v>23</v>
      </c>
      <c r="K425" t="e">
        <f>+_xlfn.XLOOKUP(tbl_encuesta[[#This Row],[Mi supervisor o jefe directo me otorga el soporte que necesito para afrontar cualquier problema que afecte mi trabajo]],#REF!,#REF!)</f>
        <v>#REF!</v>
      </c>
      <c r="L425" t="s">
        <v>23</v>
      </c>
      <c r="M425" t="e">
        <f>+_xlfn.XLOOKUP(tbl_encuesta[[#This Row],[Mi supervisor o jefe directo fomenta que nos apoyemos entre todos en el equipo]],#REF!,#REF!)</f>
        <v>#REF!</v>
      </c>
      <c r="N425" t="s">
        <v>23</v>
      </c>
      <c r="O425" t="e">
        <f>+_xlfn.XLOOKUP(tbl_encuesta[[#This Row],[Siento que mi trabajo es reconocido por mi supervisor o jefe directo.]],#REF!,#REF!)</f>
        <v>#REF!</v>
      </c>
      <c r="P425" t="s">
        <v>31</v>
      </c>
      <c r="Q425" t="e">
        <f xml:space="preserve">
_xlfn.XLOOKUP(
tbl_encuesta[[#This Row],[Mi supervisor o jefe directo nos brinda charlas de 5 minutos y comunica las novedades relevantes a mi puesto de trabajo]],#REF!,#REF!
)</f>
        <v>#REF!</v>
      </c>
      <c r="R425" t="s">
        <v>17</v>
      </c>
      <c r="T425" t="s">
        <v>19</v>
      </c>
      <c r="W425" t="s">
        <v>25</v>
      </c>
      <c r="X425" t="s">
        <v>23</v>
      </c>
      <c r="Y425" t="e">
        <f>+_xlfn.XLOOKUP(tbl_encuesta[[#This Row],[Considero a Limtek como un buen lugar para trabajar]],#REF!,#REF!)</f>
        <v>#REF!</v>
      </c>
      <c r="Z425" t="s">
        <v>135</v>
      </c>
      <c r="AA425" t="s">
        <v>1131</v>
      </c>
      <c r="AB425" t="s">
        <v>581</v>
      </c>
      <c r="AC425" s="3" t="s">
        <v>3716</v>
      </c>
      <c r="AD425" s="3" t="s">
        <v>3716</v>
      </c>
      <c r="AE425" t="s">
        <v>29</v>
      </c>
    </row>
    <row r="426" spans="1:31" x14ac:dyDescent="0.25">
      <c r="A426">
        <v>119031149626</v>
      </c>
      <c r="B426">
        <v>462598545</v>
      </c>
      <c r="C426" s="1">
        <v>46027.532326388886</v>
      </c>
      <c r="D426" s="1">
        <v>46027.535138888888</v>
      </c>
      <c r="E426" t="s">
        <v>1132</v>
      </c>
      <c r="F426" t="s">
        <v>23</v>
      </c>
      <c r="G426" t="e">
        <f>+_xlfn.XLOOKUP(tbl_encuesta[[#This Row],[Me siento a gusto con el ambiente de trabajo que se genera en mi equipo.]],#REF!,#REF!)</f>
        <v>#REF!</v>
      </c>
      <c r="H426" t="s">
        <v>23</v>
      </c>
      <c r="I426" t="e">
        <f>+_xlfn.XLOOKUP(tbl_encuesta[[#This Row],[Me siento motivado a dar lo mejor de mí y hacer un buen trabajo]],#REF!,#REF!)</f>
        <v>#REF!</v>
      </c>
      <c r="J426" t="s">
        <v>23</v>
      </c>
      <c r="K426" t="e">
        <f>+_xlfn.XLOOKUP(tbl_encuesta[[#This Row],[Mi supervisor o jefe directo me otorga el soporte que necesito para afrontar cualquier problema que afecte mi trabajo]],#REF!,#REF!)</f>
        <v>#REF!</v>
      </c>
      <c r="L426" t="s">
        <v>23</v>
      </c>
      <c r="M426" t="e">
        <f>+_xlfn.XLOOKUP(tbl_encuesta[[#This Row],[Mi supervisor o jefe directo fomenta que nos apoyemos entre todos en el equipo]],#REF!,#REF!)</f>
        <v>#REF!</v>
      </c>
      <c r="N426" t="s">
        <v>23</v>
      </c>
      <c r="O426" t="e">
        <f>+_xlfn.XLOOKUP(tbl_encuesta[[#This Row],[Siento que mi trabajo es reconocido por mi supervisor o jefe directo.]],#REF!,#REF!)</f>
        <v>#REF!</v>
      </c>
      <c r="P426" t="s">
        <v>31</v>
      </c>
      <c r="Q426" t="e">
        <f xml:space="preserve">
_xlfn.XLOOKUP(
tbl_encuesta[[#This Row],[Mi supervisor o jefe directo nos brinda charlas de 5 minutos y comunica las novedades relevantes a mi puesto de trabajo]],#REF!,#REF!
)</f>
        <v>#REF!</v>
      </c>
      <c r="S426" t="s">
        <v>18</v>
      </c>
      <c r="U426" t="s">
        <v>20</v>
      </c>
      <c r="W426" t="s">
        <v>25</v>
      </c>
      <c r="X426" t="s">
        <v>23</v>
      </c>
      <c r="Y426" t="e">
        <f>+_xlfn.XLOOKUP(tbl_encuesta[[#This Row],[Considero a Limtek como un buen lugar para trabajar]],#REF!,#REF!)</f>
        <v>#REF!</v>
      </c>
      <c r="Z426" t="s">
        <v>1133</v>
      </c>
      <c r="AA426" t="s">
        <v>1134</v>
      </c>
      <c r="AB426" t="s">
        <v>581</v>
      </c>
      <c r="AC426" s="3" t="s">
        <v>3716</v>
      </c>
      <c r="AD426" s="3" t="s">
        <v>814</v>
      </c>
      <c r="AE426" t="s">
        <v>29</v>
      </c>
    </row>
    <row r="427" spans="1:31" x14ac:dyDescent="0.25">
      <c r="A427">
        <v>119031143733</v>
      </c>
      <c r="B427">
        <v>462598545</v>
      </c>
      <c r="C427" s="1">
        <v>46027.522372685184</v>
      </c>
      <c r="D427" s="1">
        <v>46027.529131944444</v>
      </c>
      <c r="E427" t="s">
        <v>1106</v>
      </c>
      <c r="F427" t="s">
        <v>22</v>
      </c>
      <c r="G427" t="e">
        <f>+_xlfn.XLOOKUP(tbl_encuesta[[#This Row],[Me siento a gusto con el ambiente de trabajo que se genera en mi equipo.]],#REF!,#REF!)</f>
        <v>#REF!</v>
      </c>
      <c r="H427" t="s">
        <v>23</v>
      </c>
      <c r="I427" t="e">
        <f>+_xlfn.XLOOKUP(tbl_encuesta[[#This Row],[Me siento motivado a dar lo mejor de mí y hacer un buen trabajo]],#REF!,#REF!)</f>
        <v>#REF!</v>
      </c>
      <c r="J427" t="s">
        <v>23</v>
      </c>
      <c r="K427" t="e">
        <f>+_xlfn.XLOOKUP(tbl_encuesta[[#This Row],[Mi supervisor o jefe directo me otorga el soporte que necesito para afrontar cualquier problema que afecte mi trabajo]],#REF!,#REF!)</f>
        <v>#REF!</v>
      </c>
      <c r="L427" t="s">
        <v>23</v>
      </c>
      <c r="M427" t="e">
        <f>+_xlfn.XLOOKUP(tbl_encuesta[[#This Row],[Mi supervisor o jefe directo fomenta que nos apoyemos entre todos en el equipo]],#REF!,#REF!)</f>
        <v>#REF!</v>
      </c>
      <c r="N427" t="s">
        <v>23</v>
      </c>
      <c r="O427" t="e">
        <f>+_xlfn.XLOOKUP(tbl_encuesta[[#This Row],[Siento que mi trabajo es reconocido por mi supervisor o jefe directo.]],#REF!,#REF!)</f>
        <v>#REF!</v>
      </c>
      <c r="P427" t="s">
        <v>31</v>
      </c>
      <c r="Q427" t="e">
        <f xml:space="preserve">
_xlfn.XLOOKUP(
tbl_encuesta[[#This Row],[Mi supervisor o jefe directo nos brinda charlas de 5 minutos y comunica las novedades relevantes a mi puesto de trabajo]],#REF!,#REF!
)</f>
        <v>#REF!</v>
      </c>
      <c r="U427" t="s">
        <v>20</v>
      </c>
      <c r="W427" t="s">
        <v>25</v>
      </c>
      <c r="X427" t="s">
        <v>23</v>
      </c>
      <c r="Y427" t="e">
        <f>+_xlfn.XLOOKUP(tbl_encuesta[[#This Row],[Considero a Limtek como un buen lugar para trabajar]],#REF!,#REF!)</f>
        <v>#REF!</v>
      </c>
      <c r="Z427" t="s">
        <v>1135</v>
      </c>
      <c r="AA427" t="s">
        <v>1136</v>
      </c>
      <c r="AB427" t="s">
        <v>581</v>
      </c>
      <c r="AC427" s="3" t="s">
        <v>3716</v>
      </c>
      <c r="AD427" s="3" t="s">
        <v>814</v>
      </c>
      <c r="AE427" t="s">
        <v>29</v>
      </c>
    </row>
    <row r="428" spans="1:31" x14ac:dyDescent="0.25">
      <c r="A428">
        <v>119031140295</v>
      </c>
      <c r="B428">
        <v>462598545</v>
      </c>
      <c r="C428" s="1">
        <v>46027.522083333337</v>
      </c>
      <c r="D428" s="1">
        <v>46027.525740740741</v>
      </c>
      <c r="E428" t="s">
        <v>1137</v>
      </c>
      <c r="F428" t="s">
        <v>23</v>
      </c>
      <c r="G428" t="e">
        <f>+_xlfn.XLOOKUP(tbl_encuesta[[#This Row],[Me siento a gusto con el ambiente de trabajo que se genera en mi equipo.]],#REF!,#REF!)</f>
        <v>#REF!</v>
      </c>
      <c r="H428" t="s">
        <v>23</v>
      </c>
      <c r="I428" t="e">
        <f>+_xlfn.XLOOKUP(tbl_encuesta[[#This Row],[Me siento motivado a dar lo mejor de mí y hacer un buen trabajo]],#REF!,#REF!)</f>
        <v>#REF!</v>
      </c>
      <c r="J428" t="s">
        <v>22</v>
      </c>
      <c r="K428" t="e">
        <f>+_xlfn.XLOOKUP(tbl_encuesta[[#This Row],[Mi supervisor o jefe directo me otorga el soporte que necesito para afrontar cualquier problema que afecte mi trabajo]],#REF!,#REF!)</f>
        <v>#REF!</v>
      </c>
      <c r="L428" t="s">
        <v>22</v>
      </c>
      <c r="M428" t="e">
        <f>+_xlfn.XLOOKUP(tbl_encuesta[[#This Row],[Mi supervisor o jefe directo fomenta que nos apoyemos entre todos en el equipo]],#REF!,#REF!)</f>
        <v>#REF!</v>
      </c>
      <c r="N428" t="s">
        <v>23</v>
      </c>
      <c r="O428" t="e">
        <f>+_xlfn.XLOOKUP(tbl_encuesta[[#This Row],[Siento que mi trabajo es reconocido por mi supervisor o jefe directo.]],#REF!,#REF!)</f>
        <v>#REF!</v>
      </c>
      <c r="P428" t="s">
        <v>31</v>
      </c>
      <c r="Q428" t="e">
        <f xml:space="preserve">
_xlfn.XLOOKUP(
tbl_encuesta[[#This Row],[Mi supervisor o jefe directo nos brinda charlas de 5 minutos y comunica las novedades relevantes a mi puesto de trabajo]],#REF!,#REF!
)</f>
        <v>#REF!</v>
      </c>
      <c r="R428" t="s">
        <v>17</v>
      </c>
      <c r="W428" t="s">
        <v>46</v>
      </c>
      <c r="X428" t="s">
        <v>23</v>
      </c>
      <c r="Y428" t="e">
        <f>+_xlfn.XLOOKUP(tbl_encuesta[[#This Row],[Considero a Limtek como un buen lugar para trabajar]],#REF!,#REF!)</f>
        <v>#REF!</v>
      </c>
      <c r="Z428" t="s">
        <v>1138</v>
      </c>
      <c r="AA428" t="s">
        <v>1139</v>
      </c>
      <c r="AB428" t="s">
        <v>720</v>
      </c>
      <c r="AC428" s="3" t="s">
        <v>3610</v>
      </c>
      <c r="AD428" s="3" t="s">
        <v>3610</v>
      </c>
      <c r="AE428" t="s">
        <v>34</v>
      </c>
    </row>
    <row r="429" spans="1:31" x14ac:dyDescent="0.25">
      <c r="A429">
        <v>119031138582</v>
      </c>
      <c r="B429">
        <v>462598545</v>
      </c>
      <c r="C429" s="1">
        <v>46027.520324074074</v>
      </c>
      <c r="D429" s="1">
        <v>46027.524074074077</v>
      </c>
      <c r="E429" t="s">
        <v>1140</v>
      </c>
      <c r="F429" t="s">
        <v>23</v>
      </c>
      <c r="G429" t="e">
        <f>+_xlfn.XLOOKUP(tbl_encuesta[[#This Row],[Me siento a gusto con el ambiente de trabajo que se genera en mi equipo.]],#REF!,#REF!)</f>
        <v>#REF!</v>
      </c>
      <c r="H429" t="s">
        <v>23</v>
      </c>
      <c r="I429" t="e">
        <f>+_xlfn.XLOOKUP(tbl_encuesta[[#This Row],[Me siento motivado a dar lo mejor de mí y hacer un buen trabajo]],#REF!,#REF!)</f>
        <v>#REF!</v>
      </c>
      <c r="J429" t="s">
        <v>23</v>
      </c>
      <c r="K429" t="e">
        <f>+_xlfn.XLOOKUP(tbl_encuesta[[#This Row],[Mi supervisor o jefe directo me otorga el soporte que necesito para afrontar cualquier problema que afecte mi trabajo]],#REF!,#REF!)</f>
        <v>#REF!</v>
      </c>
      <c r="L429" t="s">
        <v>23</v>
      </c>
      <c r="M429" t="e">
        <f>+_xlfn.XLOOKUP(tbl_encuesta[[#This Row],[Mi supervisor o jefe directo fomenta que nos apoyemos entre todos en el equipo]],#REF!,#REF!)</f>
        <v>#REF!</v>
      </c>
      <c r="N429" t="s">
        <v>23</v>
      </c>
      <c r="O429" t="e">
        <f>+_xlfn.XLOOKUP(tbl_encuesta[[#This Row],[Siento que mi trabajo es reconocido por mi supervisor o jefe directo.]],#REF!,#REF!)</f>
        <v>#REF!</v>
      </c>
      <c r="P429" t="s">
        <v>31</v>
      </c>
      <c r="Q429" t="e">
        <f xml:space="preserve">
_xlfn.XLOOKUP(
tbl_encuesta[[#This Row],[Mi supervisor o jefe directo nos brinda charlas de 5 minutos y comunica las novedades relevantes a mi puesto de trabajo]],#REF!,#REF!
)</f>
        <v>#REF!</v>
      </c>
      <c r="V429" t="s">
        <v>1141</v>
      </c>
      <c r="W429" t="s">
        <v>25</v>
      </c>
      <c r="X429" t="s">
        <v>23</v>
      </c>
      <c r="Y429" t="e">
        <f>+_xlfn.XLOOKUP(tbl_encuesta[[#This Row],[Considero a Limtek como un buen lugar para trabajar]],#REF!,#REF!)</f>
        <v>#REF!</v>
      </c>
      <c r="Z429" t="s">
        <v>1142</v>
      </c>
      <c r="AA429" t="s">
        <v>380</v>
      </c>
      <c r="AB429" t="s">
        <v>720</v>
      </c>
      <c r="AC429" t="s">
        <v>3744</v>
      </c>
      <c r="AD429" t="s">
        <v>3744</v>
      </c>
      <c r="AE429" t="s">
        <v>69</v>
      </c>
    </row>
    <row r="430" spans="1:31" x14ac:dyDescent="0.25">
      <c r="A430">
        <v>119031134692</v>
      </c>
      <c r="B430">
        <v>462598545</v>
      </c>
      <c r="C430" s="1">
        <v>46027.513090277775</v>
      </c>
      <c r="D430" s="1">
        <v>46027.52039351852</v>
      </c>
      <c r="E430" t="s">
        <v>1143</v>
      </c>
      <c r="F430" t="s">
        <v>23</v>
      </c>
      <c r="G430" t="e">
        <f>+_xlfn.XLOOKUP(tbl_encuesta[[#This Row],[Me siento a gusto con el ambiente de trabajo que se genera en mi equipo.]],#REF!,#REF!)</f>
        <v>#REF!</v>
      </c>
      <c r="H430" t="s">
        <v>23</v>
      </c>
      <c r="I430" t="e">
        <f>+_xlfn.XLOOKUP(tbl_encuesta[[#This Row],[Me siento motivado a dar lo mejor de mí y hacer un buen trabajo]],#REF!,#REF!)</f>
        <v>#REF!</v>
      </c>
      <c r="J430" t="s">
        <v>23</v>
      </c>
      <c r="K430" t="e">
        <f>+_xlfn.XLOOKUP(tbl_encuesta[[#This Row],[Mi supervisor o jefe directo me otorga el soporte que necesito para afrontar cualquier problema que afecte mi trabajo]],#REF!,#REF!)</f>
        <v>#REF!</v>
      </c>
      <c r="L430" t="s">
        <v>22</v>
      </c>
      <c r="M430" t="e">
        <f>+_xlfn.XLOOKUP(tbl_encuesta[[#This Row],[Mi supervisor o jefe directo fomenta que nos apoyemos entre todos en el equipo]],#REF!,#REF!)</f>
        <v>#REF!</v>
      </c>
      <c r="N430" t="s">
        <v>23</v>
      </c>
      <c r="O430" t="e">
        <f>+_xlfn.XLOOKUP(tbl_encuesta[[#This Row],[Siento que mi trabajo es reconocido por mi supervisor o jefe directo.]],#REF!,#REF!)</f>
        <v>#REF!</v>
      </c>
      <c r="P430" t="s">
        <v>67</v>
      </c>
      <c r="Q430" t="e">
        <f xml:space="preserve">
_xlfn.XLOOKUP(
tbl_encuesta[[#This Row],[Mi supervisor o jefe directo nos brinda charlas de 5 minutos y comunica las novedades relevantes a mi puesto de trabajo]],#REF!,#REF!
)</f>
        <v>#REF!</v>
      </c>
      <c r="T430" t="s">
        <v>19</v>
      </c>
      <c r="U430" t="s">
        <v>20</v>
      </c>
      <c r="W430" t="s">
        <v>25</v>
      </c>
      <c r="X430" t="s">
        <v>23</v>
      </c>
      <c r="Y430" t="e">
        <f>+_xlfn.XLOOKUP(tbl_encuesta[[#This Row],[Considero a Limtek como un buen lugar para trabajar]],#REF!,#REF!)</f>
        <v>#REF!</v>
      </c>
      <c r="Z430" t="s">
        <v>193</v>
      </c>
      <c r="AA430" t="s">
        <v>1144</v>
      </c>
      <c r="AB430" t="s">
        <v>720</v>
      </c>
      <c r="AC430" s="3" t="s">
        <v>3610</v>
      </c>
      <c r="AD430" s="3" t="s">
        <v>3703</v>
      </c>
      <c r="AE430" t="s">
        <v>34</v>
      </c>
    </row>
    <row r="431" spans="1:31" x14ac:dyDescent="0.25">
      <c r="A431">
        <v>119031132408</v>
      </c>
      <c r="B431">
        <v>462598545</v>
      </c>
      <c r="C431" s="1">
        <v>46027.513680555552</v>
      </c>
      <c r="D431" s="1">
        <v>46027.518020833333</v>
      </c>
      <c r="E431" t="s">
        <v>1145</v>
      </c>
      <c r="F431" t="s">
        <v>23</v>
      </c>
      <c r="G431" t="e">
        <f>+_xlfn.XLOOKUP(tbl_encuesta[[#This Row],[Me siento a gusto con el ambiente de trabajo que se genera en mi equipo.]],#REF!,#REF!)</f>
        <v>#REF!</v>
      </c>
      <c r="H431" t="s">
        <v>23</v>
      </c>
      <c r="I431" t="e">
        <f>+_xlfn.XLOOKUP(tbl_encuesta[[#This Row],[Me siento motivado a dar lo mejor de mí y hacer un buen trabajo]],#REF!,#REF!)</f>
        <v>#REF!</v>
      </c>
      <c r="J431" t="s">
        <v>23</v>
      </c>
      <c r="K431" t="e">
        <f>+_xlfn.XLOOKUP(tbl_encuesta[[#This Row],[Mi supervisor o jefe directo me otorga el soporte que necesito para afrontar cualquier problema que afecte mi trabajo]],#REF!,#REF!)</f>
        <v>#REF!</v>
      </c>
      <c r="L431" t="s">
        <v>23</v>
      </c>
      <c r="M431" t="e">
        <f>+_xlfn.XLOOKUP(tbl_encuesta[[#This Row],[Mi supervisor o jefe directo fomenta que nos apoyemos entre todos en el equipo]],#REF!,#REF!)</f>
        <v>#REF!</v>
      </c>
      <c r="N431" t="s">
        <v>23</v>
      </c>
      <c r="O431" t="e">
        <f>+_xlfn.XLOOKUP(tbl_encuesta[[#This Row],[Siento que mi trabajo es reconocido por mi supervisor o jefe directo.]],#REF!,#REF!)</f>
        <v>#REF!</v>
      </c>
      <c r="P431" t="s">
        <v>31</v>
      </c>
      <c r="Q431" t="e">
        <f xml:space="preserve">
_xlfn.XLOOKUP(
tbl_encuesta[[#This Row],[Mi supervisor o jefe directo nos brinda charlas de 5 minutos y comunica las novedades relevantes a mi puesto de trabajo]],#REF!,#REF!
)</f>
        <v>#REF!</v>
      </c>
      <c r="R431" t="s">
        <v>17</v>
      </c>
      <c r="W431" t="s">
        <v>25</v>
      </c>
      <c r="X431" t="s">
        <v>23</v>
      </c>
      <c r="Y431" t="e">
        <f>+_xlfn.XLOOKUP(tbl_encuesta[[#This Row],[Considero a Limtek como un buen lugar para trabajar]],#REF!,#REF!)</f>
        <v>#REF!</v>
      </c>
      <c r="Z431" t="s">
        <v>399</v>
      </c>
      <c r="AA431" t="s">
        <v>1146</v>
      </c>
      <c r="AB431" t="s">
        <v>581</v>
      </c>
      <c r="AC431" s="3" t="s">
        <v>3716</v>
      </c>
      <c r="AD431" s="3" t="s">
        <v>814</v>
      </c>
      <c r="AE431" t="s">
        <v>29</v>
      </c>
    </row>
    <row r="432" spans="1:31" x14ac:dyDescent="0.25">
      <c r="A432">
        <v>119031130785</v>
      </c>
      <c r="B432">
        <v>462598545</v>
      </c>
      <c r="C432" s="1">
        <v>46027.511192129627</v>
      </c>
      <c r="D432" s="1">
        <v>46027.516365740739</v>
      </c>
      <c r="E432" t="s">
        <v>1147</v>
      </c>
      <c r="F432" t="s">
        <v>23</v>
      </c>
      <c r="G432" t="e">
        <f>+_xlfn.XLOOKUP(tbl_encuesta[[#This Row],[Me siento a gusto con el ambiente de trabajo que se genera en mi equipo.]],#REF!,#REF!)</f>
        <v>#REF!</v>
      </c>
      <c r="H432" t="s">
        <v>23</v>
      </c>
      <c r="I432" t="e">
        <f>+_xlfn.XLOOKUP(tbl_encuesta[[#This Row],[Me siento motivado a dar lo mejor de mí y hacer un buen trabajo]],#REF!,#REF!)</f>
        <v>#REF!</v>
      </c>
      <c r="J432" t="s">
        <v>23</v>
      </c>
      <c r="K432" t="e">
        <f>+_xlfn.XLOOKUP(tbl_encuesta[[#This Row],[Mi supervisor o jefe directo me otorga el soporte que necesito para afrontar cualquier problema que afecte mi trabajo]],#REF!,#REF!)</f>
        <v>#REF!</v>
      </c>
      <c r="L432" t="s">
        <v>23</v>
      </c>
      <c r="M432" t="e">
        <f>+_xlfn.XLOOKUP(tbl_encuesta[[#This Row],[Mi supervisor o jefe directo fomenta que nos apoyemos entre todos en el equipo]],#REF!,#REF!)</f>
        <v>#REF!</v>
      </c>
      <c r="N432" t="s">
        <v>23</v>
      </c>
      <c r="O432" t="e">
        <f>+_xlfn.XLOOKUP(tbl_encuesta[[#This Row],[Siento que mi trabajo es reconocido por mi supervisor o jefe directo.]],#REF!,#REF!)</f>
        <v>#REF!</v>
      </c>
      <c r="P432" t="s">
        <v>31</v>
      </c>
      <c r="Q432" t="e">
        <f xml:space="preserve">
_xlfn.XLOOKUP(
tbl_encuesta[[#This Row],[Mi supervisor o jefe directo nos brinda charlas de 5 minutos y comunica las novedades relevantes a mi puesto de trabajo]],#REF!,#REF!
)</f>
        <v>#REF!</v>
      </c>
      <c r="T432" t="s">
        <v>19</v>
      </c>
      <c r="W432" t="s">
        <v>25</v>
      </c>
      <c r="X432" t="s">
        <v>23</v>
      </c>
      <c r="Y432" t="e">
        <f>+_xlfn.XLOOKUP(tbl_encuesta[[#This Row],[Considero a Limtek como un buen lugar para trabajar]],#REF!,#REF!)</f>
        <v>#REF!</v>
      </c>
      <c r="Z432" t="s">
        <v>1148</v>
      </c>
      <c r="AA432" t="s">
        <v>1149</v>
      </c>
      <c r="AB432" t="s">
        <v>553</v>
      </c>
      <c r="AC432" t="s">
        <v>3744</v>
      </c>
      <c r="AD432" t="s">
        <v>3744</v>
      </c>
      <c r="AE432" t="s">
        <v>55</v>
      </c>
    </row>
    <row r="433" spans="1:31" x14ac:dyDescent="0.25">
      <c r="A433">
        <v>119031128027</v>
      </c>
      <c r="B433">
        <v>462598545</v>
      </c>
      <c r="C433" s="1">
        <v>46027.486064814817</v>
      </c>
      <c r="D433" s="1">
        <v>46027.513854166667</v>
      </c>
      <c r="E433" t="s">
        <v>1150</v>
      </c>
      <c r="F433" t="s">
        <v>23</v>
      </c>
      <c r="G433" t="e">
        <f>+_xlfn.XLOOKUP(tbl_encuesta[[#This Row],[Me siento a gusto con el ambiente de trabajo que se genera en mi equipo.]],#REF!,#REF!)</f>
        <v>#REF!</v>
      </c>
      <c r="H433" t="s">
        <v>23</v>
      </c>
      <c r="I433" t="e">
        <f>+_xlfn.XLOOKUP(tbl_encuesta[[#This Row],[Me siento motivado a dar lo mejor de mí y hacer un buen trabajo]],#REF!,#REF!)</f>
        <v>#REF!</v>
      </c>
      <c r="J433" t="s">
        <v>23</v>
      </c>
      <c r="K433" t="e">
        <f>+_xlfn.XLOOKUP(tbl_encuesta[[#This Row],[Mi supervisor o jefe directo me otorga el soporte que necesito para afrontar cualquier problema que afecte mi trabajo]],#REF!,#REF!)</f>
        <v>#REF!</v>
      </c>
      <c r="L433" t="s">
        <v>23</v>
      </c>
      <c r="M433" t="e">
        <f>+_xlfn.XLOOKUP(tbl_encuesta[[#This Row],[Mi supervisor o jefe directo fomenta que nos apoyemos entre todos en el equipo]],#REF!,#REF!)</f>
        <v>#REF!</v>
      </c>
      <c r="N433" t="s">
        <v>23</v>
      </c>
      <c r="O433" t="e">
        <f>+_xlfn.XLOOKUP(tbl_encuesta[[#This Row],[Siento que mi trabajo es reconocido por mi supervisor o jefe directo.]],#REF!,#REF!)</f>
        <v>#REF!</v>
      </c>
      <c r="P433" t="s">
        <v>31</v>
      </c>
      <c r="Q433" t="e">
        <f xml:space="preserve">
_xlfn.XLOOKUP(
tbl_encuesta[[#This Row],[Mi supervisor o jefe directo nos brinda charlas de 5 minutos y comunica las novedades relevantes a mi puesto de trabajo]],#REF!,#REF!
)</f>
        <v>#REF!</v>
      </c>
      <c r="V433" t="s">
        <v>1151</v>
      </c>
      <c r="W433" t="s">
        <v>25</v>
      </c>
      <c r="X433" t="s">
        <v>22</v>
      </c>
      <c r="Y433" t="e">
        <f>+_xlfn.XLOOKUP(tbl_encuesta[[#This Row],[Considero a Limtek como un buen lugar para trabajar]],#REF!,#REF!)</f>
        <v>#REF!</v>
      </c>
      <c r="Z433" t="s">
        <v>1152</v>
      </c>
      <c r="AA433" t="s">
        <v>1153</v>
      </c>
      <c r="AB433" t="s">
        <v>726</v>
      </c>
      <c r="AC433" s="3" t="s">
        <v>3610</v>
      </c>
      <c r="AD433" s="3" t="s">
        <v>3610</v>
      </c>
      <c r="AE433" t="s">
        <v>34</v>
      </c>
    </row>
    <row r="434" spans="1:31" x14ac:dyDescent="0.25">
      <c r="A434">
        <v>119031125748</v>
      </c>
      <c r="B434">
        <v>462598545</v>
      </c>
      <c r="C434" s="1">
        <v>46027.508819444447</v>
      </c>
      <c r="D434" s="1">
        <v>46027.51185185185</v>
      </c>
      <c r="E434" t="s">
        <v>1154</v>
      </c>
      <c r="F434" t="s">
        <v>23</v>
      </c>
      <c r="G434" t="e">
        <f>+_xlfn.XLOOKUP(tbl_encuesta[[#This Row],[Me siento a gusto con el ambiente de trabajo que se genera en mi equipo.]],#REF!,#REF!)</f>
        <v>#REF!</v>
      </c>
      <c r="H434" t="s">
        <v>23</v>
      </c>
      <c r="I434" t="e">
        <f>+_xlfn.XLOOKUP(tbl_encuesta[[#This Row],[Me siento motivado a dar lo mejor de mí y hacer un buen trabajo]],#REF!,#REF!)</f>
        <v>#REF!</v>
      </c>
      <c r="J434" t="s">
        <v>23</v>
      </c>
      <c r="K434" t="e">
        <f>+_xlfn.XLOOKUP(tbl_encuesta[[#This Row],[Mi supervisor o jefe directo me otorga el soporte que necesito para afrontar cualquier problema que afecte mi trabajo]],#REF!,#REF!)</f>
        <v>#REF!</v>
      </c>
      <c r="L434" t="s">
        <v>23</v>
      </c>
      <c r="M434" t="e">
        <f>+_xlfn.XLOOKUP(tbl_encuesta[[#This Row],[Mi supervisor o jefe directo fomenta que nos apoyemos entre todos en el equipo]],#REF!,#REF!)</f>
        <v>#REF!</v>
      </c>
      <c r="N434" t="s">
        <v>23</v>
      </c>
      <c r="O434" t="e">
        <f>+_xlfn.XLOOKUP(tbl_encuesta[[#This Row],[Siento que mi trabajo es reconocido por mi supervisor o jefe directo.]],#REF!,#REF!)</f>
        <v>#REF!</v>
      </c>
      <c r="P434" t="s">
        <v>31</v>
      </c>
      <c r="Q434" t="e">
        <f xml:space="preserve">
_xlfn.XLOOKUP(
tbl_encuesta[[#This Row],[Mi supervisor o jefe directo nos brinda charlas de 5 minutos y comunica las novedades relevantes a mi puesto de trabajo]],#REF!,#REF!
)</f>
        <v>#REF!</v>
      </c>
      <c r="R434" t="s">
        <v>17</v>
      </c>
      <c r="T434" t="s">
        <v>19</v>
      </c>
      <c r="W434" t="s">
        <v>25</v>
      </c>
      <c r="X434" t="s">
        <v>23</v>
      </c>
      <c r="Y434" t="e">
        <f>+_xlfn.XLOOKUP(tbl_encuesta[[#This Row],[Considero a Limtek como un buen lugar para trabajar]],#REF!,#REF!)</f>
        <v>#REF!</v>
      </c>
      <c r="Z434" t="s">
        <v>1155</v>
      </c>
      <c r="AA434" t="s">
        <v>1156</v>
      </c>
      <c r="AB434" t="s">
        <v>581</v>
      </c>
      <c r="AC434" s="3" t="s">
        <v>3610</v>
      </c>
      <c r="AD434" s="3" t="s">
        <v>3650</v>
      </c>
      <c r="AE434" t="s">
        <v>55</v>
      </c>
    </row>
    <row r="435" spans="1:31" x14ac:dyDescent="0.25">
      <c r="A435">
        <v>119031124900</v>
      </c>
      <c r="B435">
        <v>462598545</v>
      </c>
      <c r="C435" s="1">
        <v>46027.507824074077</v>
      </c>
      <c r="D435" s="1">
        <v>46027.511018518519</v>
      </c>
      <c r="E435" t="s">
        <v>1157</v>
      </c>
      <c r="F435" t="s">
        <v>23</v>
      </c>
      <c r="G435" t="e">
        <f>+_xlfn.XLOOKUP(tbl_encuesta[[#This Row],[Me siento a gusto con el ambiente de trabajo que se genera en mi equipo.]],#REF!,#REF!)</f>
        <v>#REF!</v>
      </c>
      <c r="H435" t="s">
        <v>23</v>
      </c>
      <c r="I435" t="e">
        <f>+_xlfn.XLOOKUP(tbl_encuesta[[#This Row],[Me siento motivado a dar lo mejor de mí y hacer un buen trabajo]],#REF!,#REF!)</f>
        <v>#REF!</v>
      </c>
      <c r="J435" t="s">
        <v>23</v>
      </c>
      <c r="K435" t="e">
        <f>+_xlfn.XLOOKUP(tbl_encuesta[[#This Row],[Mi supervisor o jefe directo me otorga el soporte que necesito para afrontar cualquier problema que afecte mi trabajo]],#REF!,#REF!)</f>
        <v>#REF!</v>
      </c>
      <c r="L435" t="s">
        <v>23</v>
      </c>
      <c r="M435" t="e">
        <f>+_xlfn.XLOOKUP(tbl_encuesta[[#This Row],[Mi supervisor o jefe directo fomenta que nos apoyemos entre todos en el equipo]],#REF!,#REF!)</f>
        <v>#REF!</v>
      </c>
      <c r="N435" t="s">
        <v>23</v>
      </c>
      <c r="O435" t="e">
        <f>+_xlfn.XLOOKUP(tbl_encuesta[[#This Row],[Siento que mi trabajo es reconocido por mi supervisor o jefe directo.]],#REF!,#REF!)</f>
        <v>#REF!</v>
      </c>
      <c r="P435" t="s">
        <v>31</v>
      </c>
      <c r="Q435" t="e">
        <f xml:space="preserve">
_xlfn.XLOOKUP(
tbl_encuesta[[#This Row],[Mi supervisor o jefe directo nos brinda charlas de 5 minutos y comunica las novedades relevantes a mi puesto de trabajo]],#REF!,#REF!
)</f>
        <v>#REF!</v>
      </c>
      <c r="R435" t="s">
        <v>17</v>
      </c>
      <c r="W435" t="s">
        <v>25</v>
      </c>
      <c r="X435" t="s">
        <v>23</v>
      </c>
      <c r="Y435" t="e">
        <f>+_xlfn.XLOOKUP(tbl_encuesta[[#This Row],[Considero a Limtek como un buen lugar para trabajar]],#REF!,#REF!)</f>
        <v>#REF!</v>
      </c>
      <c r="Z435" t="s">
        <v>1158</v>
      </c>
      <c r="AA435" t="s">
        <v>1159</v>
      </c>
      <c r="AB435" t="s">
        <v>581</v>
      </c>
      <c r="AC435" s="3" t="s">
        <v>3610</v>
      </c>
      <c r="AD435" s="3" t="s">
        <v>3610</v>
      </c>
      <c r="AE435" t="s">
        <v>34</v>
      </c>
    </row>
    <row r="436" spans="1:31" x14ac:dyDescent="0.25">
      <c r="A436">
        <v>119031121227</v>
      </c>
      <c r="B436">
        <v>462598545</v>
      </c>
      <c r="C436" s="1">
        <v>46027.505543981482</v>
      </c>
      <c r="D436" s="1">
        <v>46027.5075462963</v>
      </c>
      <c r="E436" t="s">
        <v>1160</v>
      </c>
      <c r="F436" t="s">
        <v>23</v>
      </c>
      <c r="G436" t="e">
        <f>+_xlfn.XLOOKUP(tbl_encuesta[[#This Row],[Me siento a gusto con el ambiente de trabajo que se genera en mi equipo.]],#REF!,#REF!)</f>
        <v>#REF!</v>
      </c>
      <c r="H436" t="s">
        <v>23</v>
      </c>
      <c r="I436" t="e">
        <f>+_xlfn.XLOOKUP(tbl_encuesta[[#This Row],[Me siento motivado a dar lo mejor de mí y hacer un buen trabajo]],#REF!,#REF!)</f>
        <v>#REF!</v>
      </c>
      <c r="J436" t="s">
        <v>23</v>
      </c>
      <c r="K436" t="e">
        <f>+_xlfn.XLOOKUP(tbl_encuesta[[#This Row],[Mi supervisor o jefe directo me otorga el soporte que necesito para afrontar cualquier problema que afecte mi trabajo]],#REF!,#REF!)</f>
        <v>#REF!</v>
      </c>
      <c r="L436" t="s">
        <v>23</v>
      </c>
      <c r="M436" t="e">
        <f>+_xlfn.XLOOKUP(tbl_encuesta[[#This Row],[Mi supervisor o jefe directo fomenta que nos apoyemos entre todos en el equipo]],#REF!,#REF!)</f>
        <v>#REF!</v>
      </c>
      <c r="N436" t="s">
        <v>23</v>
      </c>
      <c r="O436" t="e">
        <f>+_xlfn.XLOOKUP(tbl_encuesta[[#This Row],[Siento que mi trabajo es reconocido por mi supervisor o jefe directo.]],#REF!,#REF!)</f>
        <v>#REF!</v>
      </c>
      <c r="P436" t="s">
        <v>31</v>
      </c>
      <c r="Q436" t="e">
        <f xml:space="preserve">
_xlfn.XLOOKUP(
tbl_encuesta[[#This Row],[Mi supervisor o jefe directo nos brinda charlas de 5 minutos y comunica las novedades relevantes a mi puesto de trabajo]],#REF!,#REF!
)</f>
        <v>#REF!</v>
      </c>
      <c r="R436" t="s">
        <v>17</v>
      </c>
      <c r="W436" t="s">
        <v>25</v>
      </c>
      <c r="X436" t="s">
        <v>23</v>
      </c>
      <c r="Y436" t="e">
        <f>+_xlfn.XLOOKUP(tbl_encuesta[[#This Row],[Considero a Limtek como un buen lugar para trabajar]],#REF!,#REF!)</f>
        <v>#REF!</v>
      </c>
      <c r="Z436" t="s">
        <v>1161</v>
      </c>
      <c r="AA436" t="s">
        <v>1162</v>
      </c>
      <c r="AB436" t="s">
        <v>59</v>
      </c>
      <c r="AC436" s="3" t="s">
        <v>3610</v>
      </c>
      <c r="AD436" s="3" t="s">
        <v>3651</v>
      </c>
      <c r="AE436" t="s">
        <v>69</v>
      </c>
    </row>
    <row r="437" spans="1:31" x14ac:dyDescent="0.25">
      <c r="A437">
        <v>119031121007</v>
      </c>
      <c r="B437">
        <v>462598545</v>
      </c>
      <c r="C437" s="1">
        <v>46027.50072916667</v>
      </c>
      <c r="D437" s="1">
        <v>46027.507349537038</v>
      </c>
      <c r="E437" t="s">
        <v>1163</v>
      </c>
      <c r="F437" t="s">
        <v>23</v>
      </c>
      <c r="G437" t="e">
        <f>+_xlfn.XLOOKUP(tbl_encuesta[[#This Row],[Me siento a gusto con el ambiente de trabajo que se genera en mi equipo.]],#REF!,#REF!)</f>
        <v>#REF!</v>
      </c>
      <c r="H437" t="s">
        <v>23</v>
      </c>
      <c r="I437" t="e">
        <f>+_xlfn.XLOOKUP(tbl_encuesta[[#This Row],[Me siento motivado a dar lo mejor de mí y hacer un buen trabajo]],#REF!,#REF!)</f>
        <v>#REF!</v>
      </c>
      <c r="J437" t="s">
        <v>23</v>
      </c>
      <c r="K437" t="e">
        <f>+_xlfn.XLOOKUP(tbl_encuesta[[#This Row],[Mi supervisor o jefe directo me otorga el soporte que necesito para afrontar cualquier problema que afecte mi trabajo]],#REF!,#REF!)</f>
        <v>#REF!</v>
      </c>
      <c r="L437" t="s">
        <v>23</v>
      </c>
      <c r="M437" t="e">
        <f>+_xlfn.XLOOKUP(tbl_encuesta[[#This Row],[Mi supervisor o jefe directo fomenta que nos apoyemos entre todos en el equipo]],#REF!,#REF!)</f>
        <v>#REF!</v>
      </c>
      <c r="N437" t="s">
        <v>23</v>
      </c>
      <c r="O437" t="e">
        <f>+_xlfn.XLOOKUP(tbl_encuesta[[#This Row],[Siento que mi trabajo es reconocido por mi supervisor o jefe directo.]],#REF!,#REF!)</f>
        <v>#REF!</v>
      </c>
      <c r="P437" t="s">
        <v>67</v>
      </c>
      <c r="Q437" t="e">
        <f xml:space="preserve">
_xlfn.XLOOKUP(
tbl_encuesta[[#This Row],[Mi supervisor o jefe directo nos brinda charlas de 5 minutos y comunica las novedades relevantes a mi puesto de trabajo]],#REF!,#REF!
)</f>
        <v>#REF!</v>
      </c>
      <c r="R437" t="s">
        <v>17</v>
      </c>
      <c r="T437" t="s">
        <v>19</v>
      </c>
      <c r="W437" t="s">
        <v>25</v>
      </c>
      <c r="X437" t="s">
        <v>23</v>
      </c>
      <c r="Y437" t="e">
        <f>+_xlfn.XLOOKUP(tbl_encuesta[[#This Row],[Considero a Limtek como un buen lugar para trabajar]],#REF!,#REF!)</f>
        <v>#REF!</v>
      </c>
      <c r="Z437" t="s">
        <v>1164</v>
      </c>
      <c r="AA437" t="s">
        <v>1165</v>
      </c>
      <c r="AB437" t="s">
        <v>553</v>
      </c>
      <c r="AC437" t="s">
        <v>3744</v>
      </c>
      <c r="AD437" t="s">
        <v>3744</v>
      </c>
      <c r="AE437" t="s">
        <v>55</v>
      </c>
    </row>
    <row r="438" spans="1:31" x14ac:dyDescent="0.25">
      <c r="A438">
        <v>119031119052</v>
      </c>
      <c r="B438">
        <v>462598545</v>
      </c>
      <c r="C438" s="1">
        <v>46027.504305555558</v>
      </c>
      <c r="D438" s="1">
        <v>46027.505462962959</v>
      </c>
      <c r="E438" t="s">
        <v>1166</v>
      </c>
      <c r="F438" t="s">
        <v>23</v>
      </c>
      <c r="G438" t="e">
        <f>+_xlfn.XLOOKUP(tbl_encuesta[[#This Row],[Me siento a gusto con el ambiente de trabajo que se genera en mi equipo.]],#REF!,#REF!)</f>
        <v>#REF!</v>
      </c>
      <c r="H438" t="s">
        <v>23</v>
      </c>
      <c r="I438" t="e">
        <f>+_xlfn.XLOOKUP(tbl_encuesta[[#This Row],[Me siento motivado a dar lo mejor de mí y hacer un buen trabajo]],#REF!,#REF!)</f>
        <v>#REF!</v>
      </c>
      <c r="J438" t="s">
        <v>23</v>
      </c>
      <c r="K438" t="e">
        <f>+_xlfn.XLOOKUP(tbl_encuesta[[#This Row],[Mi supervisor o jefe directo me otorga el soporte que necesito para afrontar cualquier problema que afecte mi trabajo]],#REF!,#REF!)</f>
        <v>#REF!</v>
      </c>
      <c r="L438" t="s">
        <v>23</v>
      </c>
      <c r="M438" t="e">
        <f>+_xlfn.XLOOKUP(tbl_encuesta[[#This Row],[Mi supervisor o jefe directo fomenta que nos apoyemos entre todos en el equipo]],#REF!,#REF!)</f>
        <v>#REF!</v>
      </c>
      <c r="N438" t="s">
        <v>23</v>
      </c>
      <c r="O438" t="e">
        <f>+_xlfn.XLOOKUP(tbl_encuesta[[#This Row],[Siento que mi trabajo es reconocido por mi supervisor o jefe directo.]],#REF!,#REF!)</f>
        <v>#REF!</v>
      </c>
      <c r="P438" t="s">
        <v>67</v>
      </c>
      <c r="Q438" t="e">
        <f xml:space="preserve">
_xlfn.XLOOKUP(
tbl_encuesta[[#This Row],[Mi supervisor o jefe directo nos brinda charlas de 5 minutos y comunica las novedades relevantes a mi puesto de trabajo]],#REF!,#REF!
)</f>
        <v>#REF!</v>
      </c>
      <c r="S438" t="s">
        <v>18</v>
      </c>
      <c r="W438" t="s">
        <v>25</v>
      </c>
      <c r="X438" t="s">
        <v>23</v>
      </c>
      <c r="Y438" t="e">
        <f>+_xlfn.XLOOKUP(tbl_encuesta[[#This Row],[Considero a Limtek como un buen lugar para trabajar]],#REF!,#REF!)</f>
        <v>#REF!</v>
      </c>
      <c r="Z438" t="s">
        <v>1167</v>
      </c>
      <c r="AA438" t="s">
        <v>1168</v>
      </c>
      <c r="AB438" t="s">
        <v>581</v>
      </c>
      <c r="AC438" t="s">
        <v>3744</v>
      </c>
      <c r="AD438" t="s">
        <v>3744</v>
      </c>
      <c r="AE438" t="s">
        <v>69</v>
      </c>
    </row>
    <row r="439" spans="1:31" x14ac:dyDescent="0.25">
      <c r="A439">
        <v>119031118621</v>
      </c>
      <c r="B439">
        <v>462598545</v>
      </c>
      <c r="C439" s="1">
        <v>46027.503831018519</v>
      </c>
      <c r="D439" s="1">
        <v>46027.505046296297</v>
      </c>
      <c r="E439" t="s">
        <v>1169</v>
      </c>
      <c r="F439" t="s">
        <v>23</v>
      </c>
      <c r="G439" t="e">
        <f>+_xlfn.XLOOKUP(tbl_encuesta[[#This Row],[Me siento a gusto con el ambiente de trabajo que se genera en mi equipo.]],#REF!,#REF!)</f>
        <v>#REF!</v>
      </c>
      <c r="H439" t="s">
        <v>23</v>
      </c>
      <c r="I439" t="e">
        <f>+_xlfn.XLOOKUP(tbl_encuesta[[#This Row],[Me siento motivado a dar lo mejor de mí y hacer un buen trabajo]],#REF!,#REF!)</f>
        <v>#REF!</v>
      </c>
      <c r="J439" t="s">
        <v>23</v>
      </c>
      <c r="K439" t="e">
        <f>+_xlfn.XLOOKUP(tbl_encuesta[[#This Row],[Mi supervisor o jefe directo me otorga el soporte que necesito para afrontar cualquier problema que afecte mi trabajo]],#REF!,#REF!)</f>
        <v>#REF!</v>
      </c>
      <c r="L439" t="s">
        <v>23</v>
      </c>
      <c r="M439" t="e">
        <f>+_xlfn.XLOOKUP(tbl_encuesta[[#This Row],[Mi supervisor o jefe directo fomenta que nos apoyemos entre todos en el equipo]],#REF!,#REF!)</f>
        <v>#REF!</v>
      </c>
      <c r="N439" t="s">
        <v>23</v>
      </c>
      <c r="O439" t="e">
        <f>+_xlfn.XLOOKUP(tbl_encuesta[[#This Row],[Siento que mi trabajo es reconocido por mi supervisor o jefe directo.]],#REF!,#REF!)</f>
        <v>#REF!</v>
      </c>
      <c r="P439" t="s">
        <v>31</v>
      </c>
      <c r="Q439" t="e">
        <f xml:space="preserve">
_xlfn.XLOOKUP(
tbl_encuesta[[#This Row],[Mi supervisor o jefe directo nos brinda charlas de 5 minutos y comunica las novedades relevantes a mi puesto de trabajo]],#REF!,#REF!
)</f>
        <v>#REF!</v>
      </c>
      <c r="R439" t="s">
        <v>17</v>
      </c>
      <c r="S439" t="s">
        <v>18</v>
      </c>
      <c r="W439" t="s">
        <v>25</v>
      </c>
      <c r="X439" t="s">
        <v>23</v>
      </c>
      <c r="Y439" t="e">
        <f>+_xlfn.XLOOKUP(tbl_encuesta[[#This Row],[Considero a Limtek como un buen lugar para trabajar]],#REF!,#REF!)</f>
        <v>#REF!</v>
      </c>
      <c r="Z439" t="s">
        <v>1170</v>
      </c>
      <c r="AA439" t="s">
        <v>1171</v>
      </c>
      <c r="AB439" t="s">
        <v>553</v>
      </c>
      <c r="AC439" s="3" t="s">
        <v>3755</v>
      </c>
      <c r="AD439" s="3" t="s">
        <v>3755</v>
      </c>
      <c r="AE439" t="s">
        <v>55</v>
      </c>
    </row>
    <row r="440" spans="1:31" x14ac:dyDescent="0.25">
      <c r="A440">
        <v>119031117755</v>
      </c>
      <c r="B440">
        <v>462598545</v>
      </c>
      <c r="C440" s="1">
        <v>46027.50172453704</v>
      </c>
      <c r="D440" s="1">
        <v>46027.504224537035</v>
      </c>
      <c r="E440" t="s">
        <v>1166</v>
      </c>
      <c r="F440" t="s">
        <v>23</v>
      </c>
      <c r="G440" t="e">
        <f>+_xlfn.XLOOKUP(tbl_encuesta[[#This Row],[Me siento a gusto con el ambiente de trabajo que se genera en mi equipo.]],#REF!,#REF!)</f>
        <v>#REF!</v>
      </c>
      <c r="H440" t="s">
        <v>23</v>
      </c>
      <c r="I440" t="e">
        <f>+_xlfn.XLOOKUP(tbl_encuesta[[#This Row],[Me siento motivado a dar lo mejor de mí y hacer un buen trabajo]],#REF!,#REF!)</f>
        <v>#REF!</v>
      </c>
      <c r="J440" t="s">
        <v>23</v>
      </c>
      <c r="K440" t="e">
        <f>+_xlfn.XLOOKUP(tbl_encuesta[[#This Row],[Mi supervisor o jefe directo me otorga el soporte que necesito para afrontar cualquier problema que afecte mi trabajo]],#REF!,#REF!)</f>
        <v>#REF!</v>
      </c>
      <c r="L440" t="s">
        <v>23</v>
      </c>
      <c r="M440" t="e">
        <f>+_xlfn.XLOOKUP(tbl_encuesta[[#This Row],[Mi supervisor o jefe directo fomenta que nos apoyemos entre todos en el equipo]],#REF!,#REF!)</f>
        <v>#REF!</v>
      </c>
      <c r="N440" t="s">
        <v>23</v>
      </c>
      <c r="O440" t="e">
        <f>+_xlfn.XLOOKUP(tbl_encuesta[[#This Row],[Siento que mi trabajo es reconocido por mi supervisor o jefe directo.]],#REF!,#REF!)</f>
        <v>#REF!</v>
      </c>
      <c r="P440" t="s">
        <v>67</v>
      </c>
      <c r="Q440" t="e">
        <f xml:space="preserve">
_xlfn.XLOOKUP(
tbl_encuesta[[#This Row],[Mi supervisor o jefe directo nos brinda charlas de 5 minutos y comunica las novedades relevantes a mi puesto de trabajo]],#REF!,#REF!
)</f>
        <v>#REF!</v>
      </c>
      <c r="S440" t="s">
        <v>18</v>
      </c>
      <c r="W440" t="s">
        <v>25</v>
      </c>
      <c r="X440" t="s">
        <v>23</v>
      </c>
      <c r="Y440" t="e">
        <f>+_xlfn.XLOOKUP(tbl_encuesta[[#This Row],[Considero a Limtek como un buen lugar para trabajar]],#REF!,#REF!)</f>
        <v>#REF!</v>
      </c>
      <c r="Z440" t="s">
        <v>1172</v>
      </c>
      <c r="AA440" t="s">
        <v>1173</v>
      </c>
      <c r="AB440" t="s">
        <v>581</v>
      </c>
      <c r="AC440" t="s">
        <v>3744</v>
      </c>
      <c r="AD440" t="s">
        <v>3744</v>
      </c>
      <c r="AE440" t="s">
        <v>69</v>
      </c>
    </row>
    <row r="441" spans="1:31" x14ac:dyDescent="0.25">
      <c r="A441">
        <v>119031117006</v>
      </c>
      <c r="B441">
        <v>462598545</v>
      </c>
      <c r="C441" s="1">
        <v>46027.50068287037</v>
      </c>
      <c r="D441" s="1">
        <v>46027.503483796296</v>
      </c>
      <c r="E441" t="s">
        <v>1174</v>
      </c>
      <c r="F441" t="s">
        <v>23</v>
      </c>
      <c r="G441" t="e">
        <f>+_xlfn.XLOOKUP(tbl_encuesta[[#This Row],[Me siento a gusto con el ambiente de trabajo que se genera en mi equipo.]],#REF!,#REF!)</f>
        <v>#REF!</v>
      </c>
      <c r="H441" t="s">
        <v>22</v>
      </c>
      <c r="I441" t="e">
        <f>+_xlfn.XLOOKUP(tbl_encuesta[[#This Row],[Me siento motivado a dar lo mejor de mí y hacer un buen trabajo]],#REF!,#REF!)</f>
        <v>#REF!</v>
      </c>
      <c r="J441" t="s">
        <v>22</v>
      </c>
      <c r="K441" t="e">
        <f>+_xlfn.XLOOKUP(tbl_encuesta[[#This Row],[Mi supervisor o jefe directo me otorga el soporte que necesito para afrontar cualquier problema que afecte mi trabajo]],#REF!,#REF!)</f>
        <v>#REF!</v>
      </c>
      <c r="L441" t="s">
        <v>22</v>
      </c>
      <c r="M441" t="e">
        <f>+_xlfn.XLOOKUP(tbl_encuesta[[#This Row],[Mi supervisor o jefe directo fomenta que nos apoyemos entre todos en el equipo]],#REF!,#REF!)</f>
        <v>#REF!</v>
      </c>
      <c r="N441" t="s">
        <v>22</v>
      </c>
      <c r="O441" t="e">
        <f>+_xlfn.XLOOKUP(tbl_encuesta[[#This Row],[Siento que mi trabajo es reconocido por mi supervisor o jefe directo.]],#REF!,#REF!)</f>
        <v>#REF!</v>
      </c>
      <c r="P441" t="s">
        <v>67</v>
      </c>
      <c r="Q441" t="e">
        <f xml:space="preserve">
_xlfn.XLOOKUP(
tbl_encuesta[[#This Row],[Mi supervisor o jefe directo nos brinda charlas de 5 minutos y comunica las novedades relevantes a mi puesto de trabajo]],#REF!,#REF!
)</f>
        <v>#REF!</v>
      </c>
      <c r="R441" t="s">
        <v>17</v>
      </c>
      <c r="W441" t="s">
        <v>25</v>
      </c>
      <c r="X441" t="s">
        <v>22</v>
      </c>
      <c r="Y441" t="e">
        <f>+_xlfn.XLOOKUP(tbl_encuesta[[#This Row],[Considero a Limtek como un buen lugar para trabajar]],#REF!,#REF!)</f>
        <v>#REF!</v>
      </c>
      <c r="Z441" t="s">
        <v>1175</v>
      </c>
      <c r="AA441" t="s">
        <v>1176</v>
      </c>
      <c r="AB441" t="s">
        <v>581</v>
      </c>
      <c r="AC441" s="3" t="s">
        <v>3716</v>
      </c>
      <c r="AD441" s="3" t="s">
        <v>3716</v>
      </c>
      <c r="AE441" t="s">
        <v>29</v>
      </c>
    </row>
    <row r="442" spans="1:31" x14ac:dyDescent="0.25">
      <c r="A442">
        <v>119031116965</v>
      </c>
      <c r="B442">
        <v>462598545</v>
      </c>
      <c r="C442" s="1">
        <v>46027.499085648145</v>
      </c>
      <c r="D442" s="1">
        <v>46027.503449074073</v>
      </c>
      <c r="E442" t="s">
        <v>1169</v>
      </c>
      <c r="F442" t="s">
        <v>23</v>
      </c>
      <c r="G442" t="e">
        <f>+_xlfn.XLOOKUP(tbl_encuesta[[#This Row],[Me siento a gusto con el ambiente de trabajo que se genera en mi equipo.]],#REF!,#REF!)</f>
        <v>#REF!</v>
      </c>
      <c r="H442" t="s">
        <v>23</v>
      </c>
      <c r="I442" t="e">
        <f>+_xlfn.XLOOKUP(tbl_encuesta[[#This Row],[Me siento motivado a dar lo mejor de mí y hacer un buen trabajo]],#REF!,#REF!)</f>
        <v>#REF!</v>
      </c>
      <c r="J442" t="s">
        <v>23</v>
      </c>
      <c r="K442" t="e">
        <f>+_xlfn.XLOOKUP(tbl_encuesta[[#This Row],[Mi supervisor o jefe directo me otorga el soporte que necesito para afrontar cualquier problema que afecte mi trabajo]],#REF!,#REF!)</f>
        <v>#REF!</v>
      </c>
      <c r="L442" t="s">
        <v>23</v>
      </c>
      <c r="M442" t="e">
        <f>+_xlfn.XLOOKUP(tbl_encuesta[[#This Row],[Mi supervisor o jefe directo fomenta que nos apoyemos entre todos en el equipo]],#REF!,#REF!)</f>
        <v>#REF!</v>
      </c>
      <c r="N442" t="s">
        <v>23</v>
      </c>
      <c r="O442" t="e">
        <f>+_xlfn.XLOOKUP(tbl_encuesta[[#This Row],[Siento que mi trabajo es reconocido por mi supervisor o jefe directo.]],#REF!,#REF!)</f>
        <v>#REF!</v>
      </c>
      <c r="P442" t="s">
        <v>31</v>
      </c>
      <c r="Q442" t="e">
        <f xml:space="preserve">
_xlfn.XLOOKUP(
tbl_encuesta[[#This Row],[Mi supervisor o jefe directo nos brinda charlas de 5 minutos y comunica las novedades relevantes a mi puesto de trabajo]],#REF!,#REF!
)</f>
        <v>#REF!</v>
      </c>
      <c r="S442" t="s">
        <v>18</v>
      </c>
      <c r="T442" t="s">
        <v>19</v>
      </c>
      <c r="W442" t="s">
        <v>25</v>
      </c>
      <c r="X442" t="s">
        <v>23</v>
      </c>
      <c r="Y442" t="e">
        <f>+_xlfn.XLOOKUP(tbl_encuesta[[#This Row],[Considero a Limtek como un buen lugar para trabajar]],#REF!,#REF!)</f>
        <v>#REF!</v>
      </c>
      <c r="Z442" t="s">
        <v>1177</v>
      </c>
      <c r="AA442" t="s">
        <v>1178</v>
      </c>
      <c r="AB442" t="s">
        <v>553</v>
      </c>
      <c r="AC442" s="3" t="s">
        <v>3755</v>
      </c>
      <c r="AD442" s="3" t="s">
        <v>3755</v>
      </c>
      <c r="AE442" t="s">
        <v>61</v>
      </c>
    </row>
    <row r="443" spans="1:31" x14ac:dyDescent="0.25">
      <c r="A443">
        <v>119031114029</v>
      </c>
      <c r="B443">
        <v>462598545</v>
      </c>
      <c r="C443" s="1">
        <v>46027.498819444445</v>
      </c>
      <c r="D443" s="1">
        <v>46027.500636574077</v>
      </c>
      <c r="E443" t="s">
        <v>1179</v>
      </c>
      <c r="F443" t="s">
        <v>23</v>
      </c>
      <c r="G443" t="e">
        <f>+_xlfn.XLOOKUP(tbl_encuesta[[#This Row],[Me siento a gusto con el ambiente de trabajo que se genera en mi equipo.]],#REF!,#REF!)</f>
        <v>#REF!</v>
      </c>
      <c r="H443" t="s">
        <v>23</v>
      </c>
      <c r="I443" t="e">
        <f>+_xlfn.XLOOKUP(tbl_encuesta[[#This Row],[Me siento motivado a dar lo mejor de mí y hacer un buen trabajo]],#REF!,#REF!)</f>
        <v>#REF!</v>
      </c>
      <c r="J443" t="s">
        <v>22</v>
      </c>
      <c r="K443" t="e">
        <f>+_xlfn.XLOOKUP(tbl_encuesta[[#This Row],[Mi supervisor o jefe directo me otorga el soporte que necesito para afrontar cualquier problema que afecte mi trabajo]],#REF!,#REF!)</f>
        <v>#REF!</v>
      </c>
      <c r="L443" t="s">
        <v>22</v>
      </c>
      <c r="M443" t="e">
        <f>+_xlfn.XLOOKUP(tbl_encuesta[[#This Row],[Mi supervisor o jefe directo fomenta que nos apoyemos entre todos en el equipo]],#REF!,#REF!)</f>
        <v>#REF!</v>
      </c>
      <c r="N443" t="s">
        <v>23</v>
      </c>
      <c r="O443" t="e">
        <f>+_xlfn.XLOOKUP(tbl_encuesta[[#This Row],[Siento que mi trabajo es reconocido por mi supervisor o jefe directo.]],#REF!,#REF!)</f>
        <v>#REF!</v>
      </c>
      <c r="P443" t="s">
        <v>31</v>
      </c>
      <c r="Q443" t="e">
        <f xml:space="preserve">
_xlfn.XLOOKUP(
tbl_encuesta[[#This Row],[Mi supervisor o jefe directo nos brinda charlas de 5 minutos y comunica las novedades relevantes a mi puesto de trabajo]],#REF!,#REF!
)</f>
        <v>#REF!</v>
      </c>
      <c r="R443" t="s">
        <v>17</v>
      </c>
      <c r="W443" t="s">
        <v>25</v>
      </c>
      <c r="X443" t="s">
        <v>23</v>
      </c>
      <c r="Y443" t="e">
        <f>+_xlfn.XLOOKUP(tbl_encuesta[[#This Row],[Considero a Limtek como un buen lugar para trabajar]],#REF!,#REF!)</f>
        <v>#REF!</v>
      </c>
      <c r="Z443" t="s">
        <v>3744</v>
      </c>
      <c r="AA443" t="s">
        <v>122</v>
      </c>
      <c r="AB443" t="s">
        <v>1180</v>
      </c>
      <c r="AC443" s="3" t="s">
        <v>3610</v>
      </c>
      <c r="AD443" s="3" t="s">
        <v>3652</v>
      </c>
      <c r="AE443" t="s">
        <v>61</v>
      </c>
    </row>
    <row r="444" spans="1:31" x14ac:dyDescent="0.25">
      <c r="A444">
        <v>119031109415</v>
      </c>
      <c r="B444">
        <v>462598545</v>
      </c>
      <c r="C444" s="1">
        <v>46027.493113425924</v>
      </c>
      <c r="D444" s="1">
        <v>46027.496481481481</v>
      </c>
      <c r="E444" t="s">
        <v>1181</v>
      </c>
      <c r="F444" t="s">
        <v>23</v>
      </c>
      <c r="G444" t="e">
        <f>+_xlfn.XLOOKUP(tbl_encuesta[[#This Row],[Me siento a gusto con el ambiente de trabajo que se genera en mi equipo.]],#REF!,#REF!)</f>
        <v>#REF!</v>
      </c>
      <c r="H444" t="s">
        <v>23</v>
      </c>
      <c r="I444" t="e">
        <f>+_xlfn.XLOOKUP(tbl_encuesta[[#This Row],[Me siento motivado a dar lo mejor de mí y hacer un buen trabajo]],#REF!,#REF!)</f>
        <v>#REF!</v>
      </c>
      <c r="J444" t="s">
        <v>97</v>
      </c>
      <c r="K444" t="e">
        <f>+_xlfn.XLOOKUP(tbl_encuesta[[#This Row],[Mi supervisor o jefe directo me otorga el soporte que necesito para afrontar cualquier problema que afecte mi trabajo]],#REF!,#REF!)</f>
        <v>#REF!</v>
      </c>
      <c r="L444" t="s">
        <v>97</v>
      </c>
      <c r="M444" t="e">
        <f>+_xlfn.XLOOKUP(tbl_encuesta[[#This Row],[Mi supervisor o jefe directo fomenta que nos apoyemos entre todos en el equipo]],#REF!,#REF!)</f>
        <v>#REF!</v>
      </c>
      <c r="N444" t="s">
        <v>22</v>
      </c>
      <c r="O444" t="e">
        <f>+_xlfn.XLOOKUP(tbl_encuesta[[#This Row],[Siento que mi trabajo es reconocido por mi supervisor o jefe directo.]],#REF!,#REF!)</f>
        <v>#REF!</v>
      </c>
      <c r="P444" t="s">
        <v>31</v>
      </c>
      <c r="Q444" t="e">
        <f xml:space="preserve">
_xlfn.XLOOKUP(
tbl_encuesta[[#This Row],[Mi supervisor o jefe directo nos brinda charlas de 5 minutos y comunica las novedades relevantes a mi puesto de trabajo]],#REF!,#REF!
)</f>
        <v>#REF!</v>
      </c>
      <c r="T444" t="s">
        <v>19</v>
      </c>
      <c r="U444" t="s">
        <v>20</v>
      </c>
      <c r="W444" t="s">
        <v>25</v>
      </c>
      <c r="X444" t="s">
        <v>23</v>
      </c>
      <c r="Y444" t="e">
        <f>+_xlfn.XLOOKUP(tbl_encuesta[[#This Row],[Considero a Limtek como un buen lugar para trabajar]],#REF!,#REF!)</f>
        <v>#REF!</v>
      </c>
      <c r="Z444" t="s">
        <v>1182</v>
      </c>
      <c r="AA444" t="s">
        <v>1183</v>
      </c>
      <c r="AB444" t="s">
        <v>581</v>
      </c>
      <c r="AC444" s="3" t="s">
        <v>3716</v>
      </c>
      <c r="AD444" s="3" t="s">
        <v>814</v>
      </c>
      <c r="AE444" t="s">
        <v>34</v>
      </c>
    </row>
    <row r="445" spans="1:31" x14ac:dyDescent="0.25">
      <c r="A445">
        <v>119031109323</v>
      </c>
      <c r="B445">
        <v>462598545</v>
      </c>
      <c r="C445" s="1">
        <v>46027.492037037038</v>
      </c>
      <c r="D445" s="1">
        <v>46027.496400462966</v>
      </c>
      <c r="E445" t="s">
        <v>1184</v>
      </c>
      <c r="F445" t="s">
        <v>23</v>
      </c>
      <c r="G445" t="e">
        <f>+_xlfn.XLOOKUP(tbl_encuesta[[#This Row],[Me siento a gusto con el ambiente de trabajo que se genera en mi equipo.]],#REF!,#REF!)</f>
        <v>#REF!</v>
      </c>
      <c r="H445" t="s">
        <v>23</v>
      </c>
      <c r="I445" t="e">
        <f>+_xlfn.XLOOKUP(tbl_encuesta[[#This Row],[Me siento motivado a dar lo mejor de mí y hacer un buen trabajo]],#REF!,#REF!)</f>
        <v>#REF!</v>
      </c>
      <c r="J445" t="s">
        <v>23</v>
      </c>
      <c r="K445" t="e">
        <f>+_xlfn.XLOOKUP(tbl_encuesta[[#This Row],[Mi supervisor o jefe directo me otorga el soporte que necesito para afrontar cualquier problema que afecte mi trabajo]],#REF!,#REF!)</f>
        <v>#REF!</v>
      </c>
      <c r="L445" t="s">
        <v>23</v>
      </c>
      <c r="M445" t="e">
        <f>+_xlfn.XLOOKUP(tbl_encuesta[[#This Row],[Mi supervisor o jefe directo fomenta que nos apoyemos entre todos en el equipo]],#REF!,#REF!)</f>
        <v>#REF!</v>
      </c>
      <c r="N445" t="s">
        <v>23</v>
      </c>
      <c r="O445" t="e">
        <f>+_xlfn.XLOOKUP(tbl_encuesta[[#This Row],[Siento que mi trabajo es reconocido por mi supervisor o jefe directo.]],#REF!,#REF!)</f>
        <v>#REF!</v>
      </c>
      <c r="P445" t="s">
        <v>31</v>
      </c>
      <c r="Q445" t="e">
        <f xml:space="preserve">
_xlfn.XLOOKUP(
tbl_encuesta[[#This Row],[Mi supervisor o jefe directo nos brinda charlas de 5 minutos y comunica las novedades relevantes a mi puesto de trabajo]],#REF!,#REF!
)</f>
        <v>#REF!</v>
      </c>
      <c r="R445" t="s">
        <v>17</v>
      </c>
      <c r="S445" t="s">
        <v>18</v>
      </c>
      <c r="W445" t="s">
        <v>25</v>
      </c>
      <c r="X445" t="s">
        <v>23</v>
      </c>
      <c r="Y445" t="e">
        <f>+_xlfn.XLOOKUP(tbl_encuesta[[#This Row],[Considero a Limtek como un buen lugar para trabajar]],#REF!,#REF!)</f>
        <v>#REF!</v>
      </c>
      <c r="Z445" t="s">
        <v>1185</v>
      </c>
      <c r="AA445" t="s">
        <v>1186</v>
      </c>
      <c r="AB445" t="s">
        <v>553</v>
      </c>
      <c r="AC445" s="3" t="s">
        <v>3769</v>
      </c>
      <c r="AD445" s="3" t="s">
        <v>3769</v>
      </c>
      <c r="AE445" t="s">
        <v>61</v>
      </c>
    </row>
    <row r="446" spans="1:31" x14ac:dyDescent="0.25">
      <c r="A446">
        <v>119031108992</v>
      </c>
      <c r="B446">
        <v>462598545</v>
      </c>
      <c r="C446" s="1">
        <v>46027.493726851855</v>
      </c>
      <c r="D446" s="1">
        <v>46027.496111111112</v>
      </c>
      <c r="E446" t="s">
        <v>1187</v>
      </c>
      <c r="F446" t="s">
        <v>23</v>
      </c>
      <c r="G446" t="e">
        <f>+_xlfn.XLOOKUP(tbl_encuesta[[#This Row],[Me siento a gusto con el ambiente de trabajo que se genera en mi equipo.]],#REF!,#REF!)</f>
        <v>#REF!</v>
      </c>
      <c r="H446" t="s">
        <v>23</v>
      </c>
      <c r="I446" t="e">
        <f>+_xlfn.XLOOKUP(tbl_encuesta[[#This Row],[Me siento motivado a dar lo mejor de mí y hacer un buen trabajo]],#REF!,#REF!)</f>
        <v>#REF!</v>
      </c>
      <c r="J446" t="s">
        <v>23</v>
      </c>
      <c r="K446" t="e">
        <f>+_xlfn.XLOOKUP(tbl_encuesta[[#This Row],[Mi supervisor o jefe directo me otorga el soporte que necesito para afrontar cualquier problema que afecte mi trabajo]],#REF!,#REF!)</f>
        <v>#REF!</v>
      </c>
      <c r="L446" t="s">
        <v>23</v>
      </c>
      <c r="M446" t="e">
        <f>+_xlfn.XLOOKUP(tbl_encuesta[[#This Row],[Mi supervisor o jefe directo fomenta que nos apoyemos entre todos en el equipo]],#REF!,#REF!)</f>
        <v>#REF!</v>
      </c>
      <c r="N446" t="s">
        <v>23</v>
      </c>
      <c r="O446" t="e">
        <f>+_xlfn.XLOOKUP(tbl_encuesta[[#This Row],[Siento que mi trabajo es reconocido por mi supervisor o jefe directo.]],#REF!,#REF!)</f>
        <v>#REF!</v>
      </c>
      <c r="P446" t="s">
        <v>31</v>
      </c>
      <c r="Q446" t="e">
        <f xml:space="preserve">
_xlfn.XLOOKUP(
tbl_encuesta[[#This Row],[Mi supervisor o jefe directo nos brinda charlas de 5 minutos y comunica las novedades relevantes a mi puesto de trabajo]],#REF!,#REF!
)</f>
        <v>#REF!</v>
      </c>
      <c r="R446" t="s">
        <v>17</v>
      </c>
      <c r="W446" t="s">
        <v>25</v>
      </c>
      <c r="X446" t="s">
        <v>23</v>
      </c>
      <c r="Y446" t="e">
        <f>+_xlfn.XLOOKUP(tbl_encuesta[[#This Row],[Considero a Limtek como un buen lugar para trabajar]],#REF!,#REF!)</f>
        <v>#REF!</v>
      </c>
      <c r="Z446" t="s">
        <v>1188</v>
      </c>
      <c r="AA446" t="s">
        <v>477</v>
      </c>
      <c r="AB446" t="s">
        <v>581</v>
      </c>
      <c r="AC446" s="3" t="s">
        <v>3610</v>
      </c>
      <c r="AD446" s="3" t="s">
        <v>3653</v>
      </c>
      <c r="AE446" t="s">
        <v>55</v>
      </c>
    </row>
    <row r="447" spans="1:31" x14ac:dyDescent="0.25">
      <c r="A447">
        <v>119031107071</v>
      </c>
      <c r="B447">
        <v>462598545</v>
      </c>
      <c r="C447" s="1">
        <v>46027.492013888892</v>
      </c>
      <c r="D447" s="1">
        <v>46027.494513888887</v>
      </c>
      <c r="E447" t="s">
        <v>1189</v>
      </c>
      <c r="F447" t="s">
        <v>22</v>
      </c>
      <c r="G447" t="e">
        <f>+_xlfn.XLOOKUP(tbl_encuesta[[#This Row],[Me siento a gusto con el ambiente de trabajo que se genera en mi equipo.]],#REF!,#REF!)</f>
        <v>#REF!</v>
      </c>
      <c r="H447" t="s">
        <v>23</v>
      </c>
      <c r="I447" t="e">
        <f>+_xlfn.XLOOKUP(tbl_encuesta[[#This Row],[Me siento motivado a dar lo mejor de mí y hacer un buen trabajo]],#REF!,#REF!)</f>
        <v>#REF!</v>
      </c>
      <c r="J447" t="s">
        <v>22</v>
      </c>
      <c r="K447" t="e">
        <f>+_xlfn.XLOOKUP(tbl_encuesta[[#This Row],[Mi supervisor o jefe directo me otorga el soporte que necesito para afrontar cualquier problema que afecte mi trabajo]],#REF!,#REF!)</f>
        <v>#REF!</v>
      </c>
      <c r="L447" t="s">
        <v>22</v>
      </c>
      <c r="M447" t="e">
        <f>+_xlfn.XLOOKUP(tbl_encuesta[[#This Row],[Mi supervisor o jefe directo fomenta que nos apoyemos entre todos en el equipo]],#REF!,#REF!)</f>
        <v>#REF!</v>
      </c>
      <c r="N447" t="s">
        <v>22</v>
      </c>
      <c r="O447" t="e">
        <f>+_xlfn.XLOOKUP(tbl_encuesta[[#This Row],[Siento que mi trabajo es reconocido por mi supervisor o jefe directo.]],#REF!,#REF!)</f>
        <v>#REF!</v>
      </c>
      <c r="P447" t="s">
        <v>67</v>
      </c>
      <c r="Q447" t="e">
        <f xml:space="preserve">
_xlfn.XLOOKUP(
tbl_encuesta[[#This Row],[Mi supervisor o jefe directo nos brinda charlas de 5 minutos y comunica las novedades relevantes a mi puesto de trabajo]],#REF!,#REF!
)</f>
        <v>#REF!</v>
      </c>
      <c r="R447" t="s">
        <v>17</v>
      </c>
      <c r="U447" t="s">
        <v>20</v>
      </c>
      <c r="W447" t="s">
        <v>25</v>
      </c>
      <c r="X447" t="s">
        <v>22</v>
      </c>
      <c r="Y447" t="e">
        <f>+_xlfn.XLOOKUP(tbl_encuesta[[#This Row],[Considero a Limtek como un buen lugar para trabajar]],#REF!,#REF!)</f>
        <v>#REF!</v>
      </c>
      <c r="Z447" t="s">
        <v>1190</v>
      </c>
      <c r="AA447" t="s">
        <v>1191</v>
      </c>
      <c r="AB447" t="s">
        <v>59</v>
      </c>
      <c r="AC447" s="3" t="s">
        <v>3610</v>
      </c>
      <c r="AD447" s="3" t="s">
        <v>3610</v>
      </c>
      <c r="AE447" t="s">
        <v>61</v>
      </c>
    </row>
    <row r="448" spans="1:31" x14ac:dyDescent="0.25">
      <c r="A448">
        <v>119031103278</v>
      </c>
      <c r="B448">
        <v>462598545</v>
      </c>
      <c r="C448" s="1">
        <v>46027.487673611111</v>
      </c>
      <c r="D448" s="1">
        <v>46027.491053240738</v>
      </c>
      <c r="E448" t="s">
        <v>1192</v>
      </c>
      <c r="F448" t="s">
        <v>22</v>
      </c>
      <c r="G448" t="e">
        <f>+_xlfn.XLOOKUP(tbl_encuesta[[#This Row],[Me siento a gusto con el ambiente de trabajo que se genera en mi equipo.]],#REF!,#REF!)</f>
        <v>#REF!</v>
      </c>
      <c r="H448" t="s">
        <v>23</v>
      </c>
      <c r="I448" t="e">
        <f>+_xlfn.XLOOKUP(tbl_encuesta[[#This Row],[Me siento motivado a dar lo mejor de mí y hacer un buen trabajo]],#REF!,#REF!)</f>
        <v>#REF!</v>
      </c>
      <c r="J448" t="s">
        <v>23</v>
      </c>
      <c r="K448" t="e">
        <f>+_xlfn.XLOOKUP(tbl_encuesta[[#This Row],[Mi supervisor o jefe directo me otorga el soporte que necesito para afrontar cualquier problema que afecte mi trabajo]],#REF!,#REF!)</f>
        <v>#REF!</v>
      </c>
      <c r="L448" t="s">
        <v>23</v>
      </c>
      <c r="M448" t="e">
        <f>+_xlfn.XLOOKUP(tbl_encuesta[[#This Row],[Mi supervisor o jefe directo fomenta que nos apoyemos entre todos en el equipo]],#REF!,#REF!)</f>
        <v>#REF!</v>
      </c>
      <c r="N448" t="s">
        <v>23</v>
      </c>
      <c r="O448" t="e">
        <f>+_xlfn.XLOOKUP(tbl_encuesta[[#This Row],[Siento que mi trabajo es reconocido por mi supervisor o jefe directo.]],#REF!,#REF!)</f>
        <v>#REF!</v>
      </c>
      <c r="P448" t="s">
        <v>31</v>
      </c>
      <c r="Q448" t="e">
        <f xml:space="preserve">
_xlfn.XLOOKUP(
tbl_encuesta[[#This Row],[Mi supervisor o jefe directo nos brinda charlas de 5 minutos y comunica las novedades relevantes a mi puesto de trabajo]],#REF!,#REF!
)</f>
        <v>#REF!</v>
      </c>
      <c r="R448" t="s">
        <v>17</v>
      </c>
      <c r="S448" t="s">
        <v>18</v>
      </c>
      <c r="W448" t="s">
        <v>25</v>
      </c>
      <c r="X448" t="s">
        <v>23</v>
      </c>
      <c r="Y448" t="e">
        <f>+_xlfn.XLOOKUP(tbl_encuesta[[#This Row],[Considero a Limtek como un buen lugar para trabajar]],#REF!,#REF!)</f>
        <v>#REF!</v>
      </c>
      <c r="Z448" t="s">
        <v>1193</v>
      </c>
      <c r="AA448" t="s">
        <v>1194</v>
      </c>
      <c r="AB448" t="s">
        <v>720</v>
      </c>
      <c r="AC448" s="3" t="s">
        <v>3779</v>
      </c>
      <c r="AD448" s="3" t="s">
        <v>3779</v>
      </c>
      <c r="AE448" t="s">
        <v>55</v>
      </c>
    </row>
    <row r="449" spans="1:31" x14ac:dyDescent="0.25">
      <c r="A449">
        <v>119031102463</v>
      </c>
      <c r="B449">
        <v>462598545</v>
      </c>
      <c r="C449" s="1">
        <v>46027.487303240741</v>
      </c>
      <c r="D449" s="1">
        <v>46027.490497685183</v>
      </c>
      <c r="E449" t="s">
        <v>1195</v>
      </c>
      <c r="F449" t="s">
        <v>23</v>
      </c>
      <c r="G449" t="e">
        <f>+_xlfn.XLOOKUP(tbl_encuesta[[#This Row],[Me siento a gusto con el ambiente de trabajo que se genera en mi equipo.]],#REF!,#REF!)</f>
        <v>#REF!</v>
      </c>
      <c r="H449" t="s">
        <v>23</v>
      </c>
      <c r="I449" t="e">
        <f>+_xlfn.XLOOKUP(tbl_encuesta[[#This Row],[Me siento motivado a dar lo mejor de mí y hacer un buen trabajo]],#REF!,#REF!)</f>
        <v>#REF!</v>
      </c>
      <c r="J449" t="s">
        <v>23</v>
      </c>
      <c r="K449" t="e">
        <f>+_xlfn.XLOOKUP(tbl_encuesta[[#This Row],[Mi supervisor o jefe directo me otorga el soporte que necesito para afrontar cualquier problema que afecte mi trabajo]],#REF!,#REF!)</f>
        <v>#REF!</v>
      </c>
      <c r="L449" t="s">
        <v>23</v>
      </c>
      <c r="M449" t="e">
        <f>+_xlfn.XLOOKUP(tbl_encuesta[[#This Row],[Mi supervisor o jefe directo fomenta que nos apoyemos entre todos en el equipo]],#REF!,#REF!)</f>
        <v>#REF!</v>
      </c>
      <c r="N449" t="s">
        <v>23</v>
      </c>
      <c r="O449" t="e">
        <f>+_xlfn.XLOOKUP(tbl_encuesta[[#This Row],[Siento que mi trabajo es reconocido por mi supervisor o jefe directo.]],#REF!,#REF!)</f>
        <v>#REF!</v>
      </c>
      <c r="P449" t="s">
        <v>31</v>
      </c>
      <c r="Q449" t="e">
        <f xml:space="preserve">
_xlfn.XLOOKUP(
tbl_encuesta[[#This Row],[Mi supervisor o jefe directo nos brinda charlas de 5 minutos y comunica las novedades relevantes a mi puesto de trabajo]],#REF!,#REF!
)</f>
        <v>#REF!</v>
      </c>
      <c r="R449" t="s">
        <v>17</v>
      </c>
      <c r="U449" t="s">
        <v>20</v>
      </c>
      <c r="W449" t="s">
        <v>25</v>
      </c>
      <c r="X449" t="s">
        <v>23</v>
      </c>
      <c r="Y449" t="e">
        <f>+_xlfn.XLOOKUP(tbl_encuesta[[#This Row],[Considero a Limtek como un buen lugar para trabajar]],#REF!,#REF!)</f>
        <v>#REF!</v>
      </c>
      <c r="Z449" t="s">
        <v>1196</v>
      </c>
      <c r="AA449" t="s">
        <v>1197</v>
      </c>
      <c r="AB449" t="s">
        <v>553</v>
      </c>
      <c r="AC449" s="3" t="s">
        <v>3610</v>
      </c>
      <c r="AD449" s="3" t="s">
        <v>3654</v>
      </c>
      <c r="AE449" t="s">
        <v>34</v>
      </c>
    </row>
    <row r="450" spans="1:31" x14ac:dyDescent="0.25">
      <c r="A450">
        <v>119031101703</v>
      </c>
      <c r="B450">
        <v>462598545</v>
      </c>
      <c r="C450" s="1">
        <v>46027.485671296294</v>
      </c>
      <c r="D450" s="1">
        <v>46027.489953703705</v>
      </c>
      <c r="E450" t="s">
        <v>1198</v>
      </c>
      <c r="F450" t="s">
        <v>23</v>
      </c>
      <c r="G450" t="e">
        <f>+_xlfn.XLOOKUP(tbl_encuesta[[#This Row],[Me siento a gusto con el ambiente de trabajo que se genera en mi equipo.]],#REF!,#REF!)</f>
        <v>#REF!</v>
      </c>
      <c r="H450" t="s">
        <v>23</v>
      </c>
      <c r="I450" t="e">
        <f>+_xlfn.XLOOKUP(tbl_encuesta[[#This Row],[Me siento motivado a dar lo mejor de mí y hacer un buen trabajo]],#REF!,#REF!)</f>
        <v>#REF!</v>
      </c>
      <c r="J450" t="s">
        <v>23</v>
      </c>
      <c r="K450" t="e">
        <f>+_xlfn.XLOOKUP(tbl_encuesta[[#This Row],[Mi supervisor o jefe directo me otorga el soporte que necesito para afrontar cualquier problema que afecte mi trabajo]],#REF!,#REF!)</f>
        <v>#REF!</v>
      </c>
      <c r="L450" t="s">
        <v>23</v>
      </c>
      <c r="M450" t="e">
        <f>+_xlfn.XLOOKUP(tbl_encuesta[[#This Row],[Mi supervisor o jefe directo fomenta que nos apoyemos entre todos en el equipo]],#REF!,#REF!)</f>
        <v>#REF!</v>
      </c>
      <c r="N450" t="s">
        <v>23</v>
      </c>
      <c r="O450" t="e">
        <f>+_xlfn.XLOOKUP(tbl_encuesta[[#This Row],[Siento que mi trabajo es reconocido por mi supervisor o jefe directo.]],#REF!,#REF!)</f>
        <v>#REF!</v>
      </c>
      <c r="P450" t="s">
        <v>31</v>
      </c>
      <c r="Q450" t="e">
        <f xml:space="preserve">
_xlfn.XLOOKUP(
tbl_encuesta[[#This Row],[Mi supervisor o jefe directo nos brinda charlas de 5 minutos y comunica las novedades relevantes a mi puesto de trabajo]],#REF!,#REF!
)</f>
        <v>#REF!</v>
      </c>
      <c r="S450" t="s">
        <v>18</v>
      </c>
      <c r="W450" t="s">
        <v>25</v>
      </c>
      <c r="X450" t="s">
        <v>23</v>
      </c>
      <c r="Y450" t="e">
        <f>+_xlfn.XLOOKUP(tbl_encuesta[[#This Row],[Considero a Limtek como un buen lugar para trabajar]],#REF!,#REF!)</f>
        <v>#REF!</v>
      </c>
      <c r="Z450" t="s">
        <v>3744</v>
      </c>
      <c r="AA450" t="s">
        <v>1199</v>
      </c>
      <c r="AB450" t="s">
        <v>553</v>
      </c>
      <c r="AC450" s="3" t="s">
        <v>3610</v>
      </c>
      <c r="AD450" s="3" t="s">
        <v>3655</v>
      </c>
      <c r="AE450" t="s">
        <v>34</v>
      </c>
    </row>
    <row r="451" spans="1:31" x14ac:dyDescent="0.25">
      <c r="A451">
        <v>119031101431</v>
      </c>
      <c r="B451">
        <v>462598545</v>
      </c>
      <c r="C451" s="1">
        <v>46027.486145833333</v>
      </c>
      <c r="D451" s="1">
        <v>46027.489756944444</v>
      </c>
      <c r="E451" t="s">
        <v>1200</v>
      </c>
      <c r="F451" t="s">
        <v>23</v>
      </c>
      <c r="G451" t="e">
        <f>+_xlfn.XLOOKUP(tbl_encuesta[[#This Row],[Me siento a gusto con el ambiente de trabajo que se genera en mi equipo.]],#REF!,#REF!)</f>
        <v>#REF!</v>
      </c>
      <c r="H451" t="s">
        <v>23</v>
      </c>
      <c r="I451" t="e">
        <f>+_xlfn.XLOOKUP(tbl_encuesta[[#This Row],[Me siento motivado a dar lo mejor de mí y hacer un buen trabajo]],#REF!,#REF!)</f>
        <v>#REF!</v>
      </c>
      <c r="J451" t="s">
        <v>23</v>
      </c>
      <c r="K451" t="e">
        <f>+_xlfn.XLOOKUP(tbl_encuesta[[#This Row],[Mi supervisor o jefe directo me otorga el soporte que necesito para afrontar cualquier problema que afecte mi trabajo]],#REF!,#REF!)</f>
        <v>#REF!</v>
      </c>
      <c r="L451" t="s">
        <v>22</v>
      </c>
      <c r="M451" t="e">
        <f>+_xlfn.XLOOKUP(tbl_encuesta[[#This Row],[Mi supervisor o jefe directo fomenta que nos apoyemos entre todos en el equipo]],#REF!,#REF!)</f>
        <v>#REF!</v>
      </c>
      <c r="N451" t="s">
        <v>22</v>
      </c>
      <c r="O451" t="e">
        <f>+_xlfn.XLOOKUP(tbl_encuesta[[#This Row],[Siento que mi trabajo es reconocido por mi supervisor o jefe directo.]],#REF!,#REF!)</f>
        <v>#REF!</v>
      </c>
      <c r="P451" t="s">
        <v>31</v>
      </c>
      <c r="Q451" t="e">
        <f xml:space="preserve">
_xlfn.XLOOKUP(
tbl_encuesta[[#This Row],[Mi supervisor o jefe directo nos brinda charlas de 5 minutos y comunica las novedades relevantes a mi puesto de trabajo]],#REF!,#REF!
)</f>
        <v>#REF!</v>
      </c>
      <c r="R451" t="s">
        <v>17</v>
      </c>
      <c r="W451" t="s">
        <v>25</v>
      </c>
      <c r="X451" t="s">
        <v>23</v>
      </c>
      <c r="Y451" t="e">
        <f>+_xlfn.XLOOKUP(tbl_encuesta[[#This Row],[Considero a Limtek como un buen lugar para trabajar]],#REF!,#REF!)</f>
        <v>#REF!</v>
      </c>
      <c r="Z451" t="s">
        <v>1201</v>
      </c>
      <c r="AA451" t="s">
        <v>1202</v>
      </c>
      <c r="AB451" t="s">
        <v>28</v>
      </c>
      <c r="AC451" s="3" t="s">
        <v>3714</v>
      </c>
      <c r="AD451" s="3" t="s">
        <v>3714</v>
      </c>
      <c r="AE451" t="s">
        <v>34</v>
      </c>
    </row>
    <row r="452" spans="1:31" x14ac:dyDescent="0.25">
      <c r="A452">
        <v>119031100364</v>
      </c>
      <c r="B452">
        <v>462598545</v>
      </c>
      <c r="C452" s="1">
        <v>46027.481238425928</v>
      </c>
      <c r="D452" s="1">
        <v>46027.488958333335</v>
      </c>
      <c r="E452" t="s">
        <v>1203</v>
      </c>
      <c r="F452" t="s">
        <v>23</v>
      </c>
      <c r="G452" t="e">
        <f>+_xlfn.XLOOKUP(tbl_encuesta[[#This Row],[Me siento a gusto con el ambiente de trabajo que se genera en mi equipo.]],#REF!,#REF!)</f>
        <v>#REF!</v>
      </c>
      <c r="H452" t="s">
        <v>23</v>
      </c>
      <c r="I452" t="e">
        <f>+_xlfn.XLOOKUP(tbl_encuesta[[#This Row],[Me siento motivado a dar lo mejor de mí y hacer un buen trabajo]],#REF!,#REF!)</f>
        <v>#REF!</v>
      </c>
      <c r="J452" t="s">
        <v>22</v>
      </c>
      <c r="K452" t="e">
        <f>+_xlfn.XLOOKUP(tbl_encuesta[[#This Row],[Mi supervisor o jefe directo me otorga el soporte que necesito para afrontar cualquier problema que afecte mi trabajo]],#REF!,#REF!)</f>
        <v>#REF!</v>
      </c>
      <c r="L452" t="s">
        <v>23</v>
      </c>
      <c r="M452" t="e">
        <f>+_xlfn.XLOOKUP(tbl_encuesta[[#This Row],[Mi supervisor o jefe directo fomenta que nos apoyemos entre todos en el equipo]],#REF!,#REF!)</f>
        <v>#REF!</v>
      </c>
      <c r="N452" t="s">
        <v>23</v>
      </c>
      <c r="O452" t="e">
        <f>+_xlfn.XLOOKUP(tbl_encuesta[[#This Row],[Siento que mi trabajo es reconocido por mi supervisor o jefe directo.]],#REF!,#REF!)</f>
        <v>#REF!</v>
      </c>
      <c r="P452" t="s">
        <v>67</v>
      </c>
      <c r="Q452" t="e">
        <f xml:space="preserve">
_xlfn.XLOOKUP(
tbl_encuesta[[#This Row],[Mi supervisor o jefe directo nos brinda charlas de 5 minutos y comunica las novedades relevantes a mi puesto de trabajo]],#REF!,#REF!
)</f>
        <v>#REF!</v>
      </c>
      <c r="R452" t="s">
        <v>17</v>
      </c>
      <c r="T452" t="s">
        <v>19</v>
      </c>
      <c r="W452" t="s">
        <v>25</v>
      </c>
      <c r="X452" t="s">
        <v>23</v>
      </c>
      <c r="Y452" t="e">
        <f>+_xlfn.XLOOKUP(tbl_encuesta[[#This Row],[Considero a Limtek como un buen lugar para trabajar]],#REF!,#REF!)</f>
        <v>#REF!</v>
      </c>
      <c r="Z452" t="s">
        <v>1204</v>
      </c>
      <c r="AA452" t="s">
        <v>1205</v>
      </c>
      <c r="AB452" t="s">
        <v>553</v>
      </c>
      <c r="AC452" s="3" t="s">
        <v>3610</v>
      </c>
      <c r="AD452" s="3" t="s">
        <v>3656</v>
      </c>
      <c r="AE452" t="s">
        <v>55</v>
      </c>
    </row>
    <row r="453" spans="1:31" x14ac:dyDescent="0.25">
      <c r="A453">
        <v>119031100109</v>
      </c>
      <c r="B453">
        <v>462598545</v>
      </c>
      <c r="C453" s="1">
        <v>46027.482662037037</v>
      </c>
      <c r="D453" s="1">
        <v>46027.488749999997</v>
      </c>
      <c r="E453" t="s">
        <v>1206</v>
      </c>
      <c r="F453" t="s">
        <v>23</v>
      </c>
      <c r="G453" t="e">
        <f>+_xlfn.XLOOKUP(tbl_encuesta[[#This Row],[Me siento a gusto con el ambiente de trabajo que se genera en mi equipo.]],#REF!,#REF!)</f>
        <v>#REF!</v>
      </c>
      <c r="H453" t="s">
        <v>23</v>
      </c>
      <c r="I453" t="e">
        <f>+_xlfn.XLOOKUP(tbl_encuesta[[#This Row],[Me siento motivado a dar lo mejor de mí y hacer un buen trabajo]],#REF!,#REF!)</f>
        <v>#REF!</v>
      </c>
      <c r="J453" t="s">
        <v>22</v>
      </c>
      <c r="K453" t="e">
        <f>+_xlfn.XLOOKUP(tbl_encuesta[[#This Row],[Mi supervisor o jefe directo me otorga el soporte que necesito para afrontar cualquier problema que afecte mi trabajo]],#REF!,#REF!)</f>
        <v>#REF!</v>
      </c>
      <c r="L453" t="s">
        <v>23</v>
      </c>
      <c r="M453" t="e">
        <f>+_xlfn.XLOOKUP(tbl_encuesta[[#This Row],[Mi supervisor o jefe directo fomenta que nos apoyemos entre todos en el equipo]],#REF!,#REF!)</f>
        <v>#REF!</v>
      </c>
      <c r="N453" t="s">
        <v>22</v>
      </c>
      <c r="O453" t="e">
        <f>+_xlfn.XLOOKUP(tbl_encuesta[[#This Row],[Siento que mi trabajo es reconocido por mi supervisor o jefe directo.]],#REF!,#REF!)</f>
        <v>#REF!</v>
      </c>
      <c r="P453" t="s">
        <v>31</v>
      </c>
      <c r="Q453" t="e">
        <f xml:space="preserve">
_xlfn.XLOOKUP(
tbl_encuesta[[#This Row],[Mi supervisor o jefe directo nos brinda charlas de 5 minutos y comunica las novedades relevantes a mi puesto de trabajo]],#REF!,#REF!
)</f>
        <v>#REF!</v>
      </c>
      <c r="R453" t="s">
        <v>17</v>
      </c>
      <c r="T453" t="s">
        <v>19</v>
      </c>
      <c r="W453" t="s">
        <v>25</v>
      </c>
      <c r="X453" t="s">
        <v>23</v>
      </c>
      <c r="Y453" t="e">
        <f>+_xlfn.XLOOKUP(tbl_encuesta[[#This Row],[Considero a Limtek como un buen lugar para trabajar]],#REF!,#REF!)</f>
        <v>#REF!</v>
      </c>
      <c r="Z453" t="s">
        <v>504</v>
      </c>
      <c r="AA453" t="s">
        <v>1207</v>
      </c>
      <c r="AB453" t="s">
        <v>581</v>
      </c>
      <c r="AC453" s="3" t="s">
        <v>3610</v>
      </c>
      <c r="AD453" s="3" t="s">
        <v>3657</v>
      </c>
      <c r="AE453" t="s">
        <v>34</v>
      </c>
    </row>
    <row r="454" spans="1:31" x14ac:dyDescent="0.25">
      <c r="A454">
        <v>119031099664</v>
      </c>
      <c r="B454">
        <v>462598545</v>
      </c>
      <c r="C454" s="1">
        <v>46027.476076388892</v>
      </c>
      <c r="D454" s="1">
        <v>46027.488344907404</v>
      </c>
      <c r="E454" t="s">
        <v>1208</v>
      </c>
      <c r="F454" t="s">
        <v>23</v>
      </c>
      <c r="G454" t="e">
        <f>+_xlfn.XLOOKUP(tbl_encuesta[[#This Row],[Me siento a gusto con el ambiente de trabajo que se genera en mi equipo.]],#REF!,#REF!)</f>
        <v>#REF!</v>
      </c>
      <c r="H454" t="s">
        <v>23</v>
      </c>
      <c r="I454" t="e">
        <f>+_xlfn.XLOOKUP(tbl_encuesta[[#This Row],[Me siento motivado a dar lo mejor de mí y hacer un buen trabajo]],#REF!,#REF!)</f>
        <v>#REF!</v>
      </c>
      <c r="J454" t="s">
        <v>23</v>
      </c>
      <c r="K454" t="e">
        <f>+_xlfn.XLOOKUP(tbl_encuesta[[#This Row],[Mi supervisor o jefe directo me otorga el soporte que necesito para afrontar cualquier problema que afecte mi trabajo]],#REF!,#REF!)</f>
        <v>#REF!</v>
      </c>
      <c r="L454" t="s">
        <v>23</v>
      </c>
      <c r="M454" t="e">
        <f>+_xlfn.XLOOKUP(tbl_encuesta[[#This Row],[Mi supervisor o jefe directo fomenta que nos apoyemos entre todos en el equipo]],#REF!,#REF!)</f>
        <v>#REF!</v>
      </c>
      <c r="N454" t="s">
        <v>23</v>
      </c>
      <c r="O454" t="e">
        <f>+_xlfn.XLOOKUP(tbl_encuesta[[#This Row],[Siento que mi trabajo es reconocido por mi supervisor o jefe directo.]],#REF!,#REF!)</f>
        <v>#REF!</v>
      </c>
      <c r="P454" t="s">
        <v>31</v>
      </c>
      <c r="Q454" t="e">
        <f xml:space="preserve">
_xlfn.XLOOKUP(
tbl_encuesta[[#This Row],[Mi supervisor o jefe directo nos brinda charlas de 5 minutos y comunica las novedades relevantes a mi puesto de trabajo]],#REF!,#REF!
)</f>
        <v>#REF!</v>
      </c>
      <c r="R454" t="s">
        <v>17</v>
      </c>
      <c r="T454" t="s">
        <v>19</v>
      </c>
      <c r="W454" t="s">
        <v>25</v>
      </c>
      <c r="X454" t="s">
        <v>23</v>
      </c>
      <c r="Y454" t="e">
        <f>+_xlfn.XLOOKUP(tbl_encuesta[[#This Row],[Considero a Limtek como un buen lugar para trabajar]],#REF!,#REF!)</f>
        <v>#REF!</v>
      </c>
      <c r="Z454" t="s">
        <v>1209</v>
      </c>
      <c r="AA454" t="s">
        <v>1210</v>
      </c>
      <c r="AB454" t="s">
        <v>726</v>
      </c>
      <c r="AC454" s="3" t="s">
        <v>3610</v>
      </c>
      <c r="AD454" s="3" t="s">
        <v>3658</v>
      </c>
      <c r="AE454" t="s">
        <v>55</v>
      </c>
    </row>
    <row r="455" spans="1:31" x14ac:dyDescent="0.25">
      <c r="A455">
        <v>119031099439</v>
      </c>
      <c r="B455">
        <v>462598545</v>
      </c>
      <c r="C455" s="1">
        <v>46027.48265046296</v>
      </c>
      <c r="D455" s="1">
        <v>46027.488125000003</v>
      </c>
      <c r="E455" t="s">
        <v>1130</v>
      </c>
      <c r="F455" t="s">
        <v>23</v>
      </c>
      <c r="G455" t="e">
        <f>+_xlfn.XLOOKUP(tbl_encuesta[[#This Row],[Me siento a gusto con el ambiente de trabajo que se genera en mi equipo.]],#REF!,#REF!)</f>
        <v>#REF!</v>
      </c>
      <c r="H455" t="s">
        <v>23</v>
      </c>
      <c r="I455" t="e">
        <f>+_xlfn.XLOOKUP(tbl_encuesta[[#This Row],[Me siento motivado a dar lo mejor de mí y hacer un buen trabajo]],#REF!,#REF!)</f>
        <v>#REF!</v>
      </c>
      <c r="J455" t="s">
        <v>23</v>
      </c>
      <c r="K455" t="e">
        <f>+_xlfn.XLOOKUP(tbl_encuesta[[#This Row],[Mi supervisor o jefe directo me otorga el soporte que necesito para afrontar cualquier problema que afecte mi trabajo]],#REF!,#REF!)</f>
        <v>#REF!</v>
      </c>
      <c r="L455" t="s">
        <v>23</v>
      </c>
      <c r="M455" t="e">
        <f>+_xlfn.XLOOKUP(tbl_encuesta[[#This Row],[Mi supervisor o jefe directo fomenta que nos apoyemos entre todos en el equipo]],#REF!,#REF!)</f>
        <v>#REF!</v>
      </c>
      <c r="N455" t="s">
        <v>23</v>
      </c>
      <c r="O455" t="e">
        <f>+_xlfn.XLOOKUP(tbl_encuesta[[#This Row],[Siento que mi trabajo es reconocido por mi supervisor o jefe directo.]],#REF!,#REF!)</f>
        <v>#REF!</v>
      </c>
      <c r="P455" t="s">
        <v>31</v>
      </c>
      <c r="Q455" t="e">
        <f xml:space="preserve">
_xlfn.XLOOKUP(
tbl_encuesta[[#This Row],[Mi supervisor o jefe directo nos brinda charlas de 5 minutos y comunica las novedades relevantes a mi puesto de trabajo]],#REF!,#REF!
)</f>
        <v>#REF!</v>
      </c>
      <c r="R455" t="s">
        <v>17</v>
      </c>
      <c r="T455" t="s">
        <v>19</v>
      </c>
      <c r="W455" t="s">
        <v>25</v>
      </c>
      <c r="X455" t="s">
        <v>23</v>
      </c>
      <c r="Y455" t="e">
        <f>+_xlfn.XLOOKUP(tbl_encuesta[[#This Row],[Considero a Limtek como un buen lugar para trabajar]],#REF!,#REF!)</f>
        <v>#REF!</v>
      </c>
      <c r="Z455" t="s">
        <v>1211</v>
      </c>
      <c r="AA455" t="s">
        <v>1131</v>
      </c>
      <c r="AB455" t="s">
        <v>581</v>
      </c>
      <c r="AC455" s="3" t="s">
        <v>3716</v>
      </c>
      <c r="AD455" s="3" t="s">
        <v>814</v>
      </c>
      <c r="AE455" t="s">
        <v>29</v>
      </c>
    </row>
    <row r="456" spans="1:31" x14ac:dyDescent="0.25">
      <c r="A456">
        <v>119031099154</v>
      </c>
      <c r="B456">
        <v>462598545</v>
      </c>
      <c r="C456" s="1">
        <v>46027.485000000001</v>
      </c>
      <c r="D456" s="1">
        <v>46027.487905092596</v>
      </c>
      <c r="E456" t="s">
        <v>1212</v>
      </c>
      <c r="F456" t="s">
        <v>23</v>
      </c>
      <c r="G456" t="e">
        <f>+_xlfn.XLOOKUP(tbl_encuesta[[#This Row],[Me siento a gusto con el ambiente de trabajo que se genera en mi equipo.]],#REF!,#REF!)</f>
        <v>#REF!</v>
      </c>
      <c r="H456" t="s">
        <v>23</v>
      </c>
      <c r="I456" t="e">
        <f>+_xlfn.XLOOKUP(tbl_encuesta[[#This Row],[Me siento motivado a dar lo mejor de mí y hacer un buen trabajo]],#REF!,#REF!)</f>
        <v>#REF!</v>
      </c>
      <c r="J456" t="s">
        <v>23</v>
      </c>
      <c r="K456" t="e">
        <f>+_xlfn.XLOOKUP(tbl_encuesta[[#This Row],[Mi supervisor o jefe directo me otorga el soporte que necesito para afrontar cualquier problema que afecte mi trabajo]],#REF!,#REF!)</f>
        <v>#REF!</v>
      </c>
      <c r="L456" t="s">
        <v>23</v>
      </c>
      <c r="M456" t="e">
        <f>+_xlfn.XLOOKUP(tbl_encuesta[[#This Row],[Mi supervisor o jefe directo fomenta que nos apoyemos entre todos en el equipo]],#REF!,#REF!)</f>
        <v>#REF!</v>
      </c>
      <c r="N456" t="s">
        <v>23</v>
      </c>
      <c r="O456" t="e">
        <f>+_xlfn.XLOOKUP(tbl_encuesta[[#This Row],[Siento que mi trabajo es reconocido por mi supervisor o jefe directo.]],#REF!,#REF!)</f>
        <v>#REF!</v>
      </c>
      <c r="P456" t="s">
        <v>31</v>
      </c>
      <c r="Q456" t="e">
        <f xml:space="preserve">
_xlfn.XLOOKUP(
tbl_encuesta[[#This Row],[Mi supervisor o jefe directo nos brinda charlas de 5 minutos y comunica las novedades relevantes a mi puesto de trabajo]],#REF!,#REF!
)</f>
        <v>#REF!</v>
      </c>
      <c r="R456" t="s">
        <v>17</v>
      </c>
      <c r="W456" t="s">
        <v>25</v>
      </c>
      <c r="X456" t="s">
        <v>23</v>
      </c>
      <c r="Y456" t="e">
        <f>+_xlfn.XLOOKUP(tbl_encuesta[[#This Row],[Considero a Limtek como un buen lugar para trabajar]],#REF!,#REF!)</f>
        <v>#REF!</v>
      </c>
      <c r="Z456" t="s">
        <v>3744</v>
      </c>
      <c r="AA456" t="s">
        <v>1213</v>
      </c>
      <c r="AB456" t="s">
        <v>553</v>
      </c>
      <c r="AC456" s="3" t="s">
        <v>3834</v>
      </c>
      <c r="AD456" s="3" t="s">
        <v>3834</v>
      </c>
      <c r="AE456" t="s">
        <v>34</v>
      </c>
    </row>
    <row r="457" spans="1:31" x14ac:dyDescent="0.25">
      <c r="A457">
        <v>119031098540</v>
      </c>
      <c r="B457">
        <v>462598545</v>
      </c>
      <c r="C457" s="1">
        <v>46027.480300925927</v>
      </c>
      <c r="D457" s="1">
        <v>46027.487372685187</v>
      </c>
      <c r="E457" t="s">
        <v>1214</v>
      </c>
      <c r="F457" t="s">
        <v>23</v>
      </c>
      <c r="G457" t="e">
        <f>+_xlfn.XLOOKUP(tbl_encuesta[[#This Row],[Me siento a gusto con el ambiente de trabajo que se genera en mi equipo.]],#REF!,#REF!)</f>
        <v>#REF!</v>
      </c>
      <c r="H457" t="s">
        <v>23</v>
      </c>
      <c r="I457" t="e">
        <f>+_xlfn.XLOOKUP(tbl_encuesta[[#This Row],[Me siento motivado a dar lo mejor de mí y hacer un buen trabajo]],#REF!,#REF!)</f>
        <v>#REF!</v>
      </c>
      <c r="J457" t="s">
        <v>23</v>
      </c>
      <c r="K457" t="e">
        <f>+_xlfn.XLOOKUP(tbl_encuesta[[#This Row],[Mi supervisor o jefe directo me otorga el soporte que necesito para afrontar cualquier problema que afecte mi trabajo]],#REF!,#REF!)</f>
        <v>#REF!</v>
      </c>
      <c r="L457" t="s">
        <v>23</v>
      </c>
      <c r="M457" t="e">
        <f>+_xlfn.XLOOKUP(tbl_encuesta[[#This Row],[Mi supervisor o jefe directo fomenta que nos apoyemos entre todos en el equipo]],#REF!,#REF!)</f>
        <v>#REF!</v>
      </c>
      <c r="N457" t="s">
        <v>23</v>
      </c>
      <c r="O457" t="e">
        <f>+_xlfn.XLOOKUP(tbl_encuesta[[#This Row],[Siento que mi trabajo es reconocido por mi supervisor o jefe directo.]],#REF!,#REF!)</f>
        <v>#REF!</v>
      </c>
      <c r="P457" t="s">
        <v>31</v>
      </c>
      <c r="Q457" t="e">
        <f xml:space="preserve">
_xlfn.XLOOKUP(
tbl_encuesta[[#This Row],[Mi supervisor o jefe directo nos brinda charlas de 5 minutos y comunica las novedades relevantes a mi puesto de trabajo]],#REF!,#REF!
)</f>
        <v>#REF!</v>
      </c>
      <c r="R457" t="s">
        <v>17</v>
      </c>
      <c r="W457" t="s">
        <v>25</v>
      </c>
      <c r="X457" t="s">
        <v>97</v>
      </c>
      <c r="Y457" t="e">
        <f>+_xlfn.XLOOKUP(tbl_encuesta[[#This Row],[Considero a Limtek como un buen lugar para trabajar]],#REF!,#REF!)</f>
        <v>#REF!</v>
      </c>
      <c r="Z457" t="s">
        <v>1215</v>
      </c>
      <c r="AA457" t="s">
        <v>1216</v>
      </c>
      <c r="AB457" t="s">
        <v>720</v>
      </c>
      <c r="AC457" t="s">
        <v>3610</v>
      </c>
      <c r="AD457" s="3" t="s">
        <v>3838</v>
      </c>
      <c r="AE457" t="s">
        <v>55</v>
      </c>
    </row>
    <row r="458" spans="1:31" x14ac:dyDescent="0.25">
      <c r="A458">
        <v>119031097209</v>
      </c>
      <c r="B458">
        <v>462598545</v>
      </c>
      <c r="C458" s="1">
        <v>46027.481956018521</v>
      </c>
      <c r="D458" s="1">
        <v>46027.486261574071</v>
      </c>
      <c r="E458" t="s">
        <v>1217</v>
      </c>
      <c r="F458" t="s">
        <v>23</v>
      </c>
      <c r="G458" t="e">
        <f>+_xlfn.XLOOKUP(tbl_encuesta[[#This Row],[Me siento a gusto con el ambiente de trabajo que se genera en mi equipo.]],#REF!,#REF!)</f>
        <v>#REF!</v>
      </c>
      <c r="H458" t="s">
        <v>23</v>
      </c>
      <c r="I458" t="e">
        <f>+_xlfn.XLOOKUP(tbl_encuesta[[#This Row],[Me siento motivado a dar lo mejor de mí y hacer un buen trabajo]],#REF!,#REF!)</f>
        <v>#REF!</v>
      </c>
      <c r="J458" t="s">
        <v>23</v>
      </c>
      <c r="K458" t="e">
        <f>+_xlfn.XLOOKUP(tbl_encuesta[[#This Row],[Mi supervisor o jefe directo me otorga el soporte que necesito para afrontar cualquier problema que afecte mi trabajo]],#REF!,#REF!)</f>
        <v>#REF!</v>
      </c>
      <c r="L458" t="s">
        <v>23</v>
      </c>
      <c r="M458" t="e">
        <f>+_xlfn.XLOOKUP(tbl_encuesta[[#This Row],[Mi supervisor o jefe directo fomenta que nos apoyemos entre todos en el equipo]],#REF!,#REF!)</f>
        <v>#REF!</v>
      </c>
      <c r="N458" t="s">
        <v>23</v>
      </c>
      <c r="O458" t="e">
        <f>+_xlfn.XLOOKUP(tbl_encuesta[[#This Row],[Siento que mi trabajo es reconocido por mi supervisor o jefe directo.]],#REF!,#REF!)</f>
        <v>#REF!</v>
      </c>
      <c r="P458" t="s">
        <v>31</v>
      </c>
      <c r="Q458" t="e">
        <f xml:space="preserve">
_xlfn.XLOOKUP(
tbl_encuesta[[#This Row],[Mi supervisor o jefe directo nos brinda charlas de 5 minutos y comunica las novedades relevantes a mi puesto de trabajo]],#REF!,#REF!
)</f>
        <v>#REF!</v>
      </c>
      <c r="R458" t="s">
        <v>17</v>
      </c>
      <c r="S458" t="s">
        <v>18</v>
      </c>
      <c r="W458" t="s">
        <v>25</v>
      </c>
      <c r="X458" t="s">
        <v>23</v>
      </c>
      <c r="Y458" t="e">
        <f>+_xlfn.XLOOKUP(tbl_encuesta[[#This Row],[Considero a Limtek como un buen lugar para trabajar]],#REF!,#REF!)</f>
        <v>#REF!</v>
      </c>
      <c r="Z458" t="s">
        <v>1218</v>
      </c>
      <c r="AA458" t="s">
        <v>1219</v>
      </c>
      <c r="AB458" t="s">
        <v>720</v>
      </c>
      <c r="AC458" s="3" t="s">
        <v>3610</v>
      </c>
      <c r="AD458" s="3" t="s">
        <v>3659</v>
      </c>
      <c r="AE458" t="s">
        <v>29</v>
      </c>
    </row>
    <row r="459" spans="1:31" x14ac:dyDescent="0.25">
      <c r="A459">
        <v>119031096749</v>
      </c>
      <c r="B459">
        <v>462598545</v>
      </c>
      <c r="C459" s="1">
        <v>46027.482453703706</v>
      </c>
      <c r="D459" s="1">
        <v>46027.485925925925</v>
      </c>
      <c r="E459" t="s">
        <v>1189</v>
      </c>
      <c r="F459" t="s">
        <v>22</v>
      </c>
      <c r="G459" t="e">
        <f>+_xlfn.XLOOKUP(tbl_encuesta[[#This Row],[Me siento a gusto con el ambiente de trabajo que se genera en mi equipo.]],#REF!,#REF!)</f>
        <v>#REF!</v>
      </c>
      <c r="H459" t="s">
        <v>23</v>
      </c>
      <c r="I459" t="e">
        <f>+_xlfn.XLOOKUP(tbl_encuesta[[#This Row],[Me siento motivado a dar lo mejor de mí y hacer un buen trabajo]],#REF!,#REF!)</f>
        <v>#REF!</v>
      </c>
      <c r="J459" t="s">
        <v>22</v>
      </c>
      <c r="K459" t="e">
        <f>+_xlfn.XLOOKUP(tbl_encuesta[[#This Row],[Mi supervisor o jefe directo me otorga el soporte que necesito para afrontar cualquier problema que afecte mi trabajo]],#REF!,#REF!)</f>
        <v>#REF!</v>
      </c>
      <c r="L459" t="s">
        <v>22</v>
      </c>
      <c r="M459" t="e">
        <f>+_xlfn.XLOOKUP(tbl_encuesta[[#This Row],[Mi supervisor o jefe directo fomenta que nos apoyemos entre todos en el equipo]],#REF!,#REF!)</f>
        <v>#REF!</v>
      </c>
      <c r="N459" t="s">
        <v>22</v>
      </c>
      <c r="O459" t="e">
        <f>+_xlfn.XLOOKUP(tbl_encuesta[[#This Row],[Siento que mi trabajo es reconocido por mi supervisor o jefe directo.]],#REF!,#REF!)</f>
        <v>#REF!</v>
      </c>
      <c r="P459" t="s">
        <v>24</v>
      </c>
      <c r="Q459" t="e">
        <f xml:space="preserve">
_xlfn.XLOOKUP(
tbl_encuesta[[#This Row],[Mi supervisor o jefe directo nos brinda charlas de 5 minutos y comunica las novedades relevantes a mi puesto de trabajo]],#REF!,#REF!
)</f>
        <v>#REF!</v>
      </c>
      <c r="R459" t="s">
        <v>17</v>
      </c>
      <c r="U459" t="s">
        <v>20</v>
      </c>
      <c r="W459" t="s">
        <v>25</v>
      </c>
      <c r="X459" t="s">
        <v>23</v>
      </c>
      <c r="Y459" t="e">
        <f>+_xlfn.XLOOKUP(tbl_encuesta[[#This Row],[Considero a Limtek como un buen lugar para trabajar]],#REF!,#REF!)</f>
        <v>#REF!</v>
      </c>
      <c r="Z459" t="s">
        <v>1190</v>
      </c>
      <c r="AA459" t="s">
        <v>58</v>
      </c>
      <c r="AB459" t="s">
        <v>59</v>
      </c>
      <c r="AC459" t="s">
        <v>3610</v>
      </c>
      <c r="AD459" t="s">
        <v>3610</v>
      </c>
      <c r="AE459" t="s">
        <v>61</v>
      </c>
    </row>
    <row r="460" spans="1:31" x14ac:dyDescent="0.25">
      <c r="A460">
        <v>119031096722</v>
      </c>
      <c r="B460">
        <v>462598545</v>
      </c>
      <c r="C460" s="1">
        <v>46027.482233796298</v>
      </c>
      <c r="D460" s="1">
        <v>46027.485902777778</v>
      </c>
      <c r="E460" t="s">
        <v>1220</v>
      </c>
      <c r="F460" t="s">
        <v>23</v>
      </c>
      <c r="G460" t="e">
        <f>+_xlfn.XLOOKUP(tbl_encuesta[[#This Row],[Me siento a gusto con el ambiente de trabajo que se genera en mi equipo.]],#REF!,#REF!)</f>
        <v>#REF!</v>
      </c>
      <c r="H460" t="s">
        <v>23</v>
      </c>
      <c r="I460" t="e">
        <f>+_xlfn.XLOOKUP(tbl_encuesta[[#This Row],[Me siento motivado a dar lo mejor de mí y hacer un buen trabajo]],#REF!,#REF!)</f>
        <v>#REF!</v>
      </c>
      <c r="J460" t="s">
        <v>23</v>
      </c>
      <c r="K460" t="e">
        <f>+_xlfn.XLOOKUP(tbl_encuesta[[#This Row],[Mi supervisor o jefe directo me otorga el soporte que necesito para afrontar cualquier problema que afecte mi trabajo]],#REF!,#REF!)</f>
        <v>#REF!</v>
      </c>
      <c r="L460" t="s">
        <v>23</v>
      </c>
      <c r="M460" t="e">
        <f>+_xlfn.XLOOKUP(tbl_encuesta[[#This Row],[Mi supervisor o jefe directo fomenta que nos apoyemos entre todos en el equipo]],#REF!,#REF!)</f>
        <v>#REF!</v>
      </c>
      <c r="N460" t="s">
        <v>23</v>
      </c>
      <c r="O460" t="e">
        <f>+_xlfn.XLOOKUP(tbl_encuesta[[#This Row],[Siento que mi trabajo es reconocido por mi supervisor o jefe directo.]],#REF!,#REF!)</f>
        <v>#REF!</v>
      </c>
      <c r="P460" t="s">
        <v>31</v>
      </c>
      <c r="Q460" t="e">
        <f xml:space="preserve">
_xlfn.XLOOKUP(
tbl_encuesta[[#This Row],[Mi supervisor o jefe directo nos brinda charlas de 5 minutos y comunica las novedades relevantes a mi puesto de trabajo]],#REF!,#REF!
)</f>
        <v>#REF!</v>
      </c>
      <c r="S460" t="s">
        <v>18</v>
      </c>
      <c r="W460" t="s">
        <v>25</v>
      </c>
      <c r="X460" t="s">
        <v>23</v>
      </c>
      <c r="Y460" t="e">
        <f>+_xlfn.XLOOKUP(tbl_encuesta[[#This Row],[Considero a Limtek como un buen lugar para trabajar]],#REF!,#REF!)</f>
        <v>#REF!</v>
      </c>
      <c r="Z460" t="s">
        <v>1221</v>
      </c>
      <c r="AA460" t="s">
        <v>1222</v>
      </c>
      <c r="AB460" t="s">
        <v>720</v>
      </c>
      <c r="AC460" s="3" t="s">
        <v>3610</v>
      </c>
      <c r="AD460" s="3" t="s">
        <v>3607</v>
      </c>
      <c r="AE460" t="s">
        <v>69</v>
      </c>
    </row>
    <row r="461" spans="1:31" x14ac:dyDescent="0.25">
      <c r="A461">
        <v>119031094578</v>
      </c>
      <c r="B461">
        <v>462598545</v>
      </c>
      <c r="C461" s="1">
        <v>46027.476840277777</v>
      </c>
      <c r="D461" s="1">
        <v>46027.4843287037</v>
      </c>
      <c r="E461" t="s">
        <v>1223</v>
      </c>
      <c r="F461" t="s">
        <v>23</v>
      </c>
      <c r="G461" t="e">
        <f>+_xlfn.XLOOKUP(tbl_encuesta[[#This Row],[Me siento a gusto con el ambiente de trabajo que se genera en mi equipo.]],#REF!,#REF!)</f>
        <v>#REF!</v>
      </c>
      <c r="H461" t="s">
        <v>23</v>
      </c>
      <c r="I461" t="e">
        <f>+_xlfn.XLOOKUP(tbl_encuesta[[#This Row],[Me siento motivado a dar lo mejor de mí y hacer un buen trabajo]],#REF!,#REF!)</f>
        <v>#REF!</v>
      </c>
      <c r="J461" t="s">
        <v>23</v>
      </c>
      <c r="K461" t="e">
        <f>+_xlfn.XLOOKUP(tbl_encuesta[[#This Row],[Mi supervisor o jefe directo me otorga el soporte que necesito para afrontar cualquier problema que afecte mi trabajo]],#REF!,#REF!)</f>
        <v>#REF!</v>
      </c>
      <c r="L461" t="s">
        <v>23</v>
      </c>
      <c r="M461" t="e">
        <f>+_xlfn.XLOOKUP(tbl_encuesta[[#This Row],[Mi supervisor o jefe directo fomenta que nos apoyemos entre todos en el equipo]],#REF!,#REF!)</f>
        <v>#REF!</v>
      </c>
      <c r="N461" t="s">
        <v>23</v>
      </c>
      <c r="O461" t="e">
        <f>+_xlfn.XLOOKUP(tbl_encuesta[[#This Row],[Siento que mi trabajo es reconocido por mi supervisor o jefe directo.]],#REF!,#REF!)</f>
        <v>#REF!</v>
      </c>
      <c r="P461" t="s">
        <v>31</v>
      </c>
      <c r="Q461" t="e">
        <f xml:space="preserve">
_xlfn.XLOOKUP(
tbl_encuesta[[#This Row],[Mi supervisor o jefe directo nos brinda charlas de 5 minutos y comunica las novedades relevantes a mi puesto de trabajo]],#REF!,#REF!
)</f>
        <v>#REF!</v>
      </c>
      <c r="R461" t="s">
        <v>17</v>
      </c>
      <c r="W461" t="s">
        <v>25</v>
      </c>
      <c r="X461" t="s">
        <v>23</v>
      </c>
      <c r="Y461" t="e">
        <f>+_xlfn.XLOOKUP(tbl_encuesta[[#This Row],[Considero a Limtek como un buen lugar para trabajar]],#REF!,#REF!)</f>
        <v>#REF!</v>
      </c>
      <c r="Z461" t="s">
        <v>3744</v>
      </c>
      <c r="AA461" t="s">
        <v>1224</v>
      </c>
      <c r="AB461" t="s">
        <v>581</v>
      </c>
      <c r="AC461" s="3" t="s">
        <v>3716</v>
      </c>
      <c r="AD461" s="3" t="s">
        <v>814</v>
      </c>
      <c r="AE461" t="s">
        <v>29</v>
      </c>
    </row>
    <row r="462" spans="1:31" x14ac:dyDescent="0.25">
      <c r="A462">
        <v>119031093184</v>
      </c>
      <c r="B462">
        <v>462598545</v>
      </c>
      <c r="C462" s="1">
        <v>46027.469293981485</v>
      </c>
      <c r="D462" s="1">
        <v>46027.483402777776</v>
      </c>
      <c r="E462" t="s">
        <v>1225</v>
      </c>
      <c r="F462" t="s">
        <v>23</v>
      </c>
      <c r="G462" t="e">
        <f>+_xlfn.XLOOKUP(tbl_encuesta[[#This Row],[Me siento a gusto con el ambiente de trabajo que se genera en mi equipo.]],#REF!,#REF!)</f>
        <v>#REF!</v>
      </c>
      <c r="H462" t="s">
        <v>23</v>
      </c>
      <c r="I462" t="e">
        <f>+_xlfn.XLOOKUP(tbl_encuesta[[#This Row],[Me siento motivado a dar lo mejor de mí y hacer un buen trabajo]],#REF!,#REF!)</f>
        <v>#REF!</v>
      </c>
      <c r="J462" t="s">
        <v>23</v>
      </c>
      <c r="K462" t="e">
        <f>+_xlfn.XLOOKUP(tbl_encuesta[[#This Row],[Mi supervisor o jefe directo me otorga el soporte que necesito para afrontar cualquier problema que afecte mi trabajo]],#REF!,#REF!)</f>
        <v>#REF!</v>
      </c>
      <c r="L462" t="s">
        <v>23</v>
      </c>
      <c r="M462" t="e">
        <f>+_xlfn.XLOOKUP(tbl_encuesta[[#This Row],[Mi supervisor o jefe directo fomenta que nos apoyemos entre todos en el equipo]],#REF!,#REF!)</f>
        <v>#REF!</v>
      </c>
      <c r="N462" t="s">
        <v>23</v>
      </c>
      <c r="O462" t="e">
        <f>+_xlfn.XLOOKUP(tbl_encuesta[[#This Row],[Siento que mi trabajo es reconocido por mi supervisor o jefe directo.]],#REF!,#REF!)</f>
        <v>#REF!</v>
      </c>
      <c r="P462" t="s">
        <v>31</v>
      </c>
      <c r="Q462" t="e">
        <f xml:space="preserve">
_xlfn.XLOOKUP(
tbl_encuesta[[#This Row],[Mi supervisor o jefe directo nos brinda charlas de 5 minutos y comunica las novedades relevantes a mi puesto de trabajo]],#REF!,#REF!
)</f>
        <v>#REF!</v>
      </c>
      <c r="R462" t="s">
        <v>17</v>
      </c>
      <c r="T462" t="s">
        <v>19</v>
      </c>
      <c r="W462" t="s">
        <v>25</v>
      </c>
      <c r="X462" t="s">
        <v>23</v>
      </c>
      <c r="Y462" t="e">
        <f>+_xlfn.XLOOKUP(tbl_encuesta[[#This Row],[Considero a Limtek como un buen lugar para trabajar]],#REF!,#REF!)</f>
        <v>#REF!</v>
      </c>
      <c r="Z462" t="s">
        <v>1226</v>
      </c>
      <c r="AA462" t="s">
        <v>1227</v>
      </c>
      <c r="AB462" t="s">
        <v>553</v>
      </c>
      <c r="AC462" t="s">
        <v>3744</v>
      </c>
      <c r="AD462" t="s">
        <v>3744</v>
      </c>
      <c r="AE462" t="s">
        <v>61</v>
      </c>
    </row>
    <row r="463" spans="1:31" x14ac:dyDescent="0.25">
      <c r="A463">
        <v>119031092940</v>
      </c>
      <c r="B463">
        <v>462598545</v>
      </c>
      <c r="C463" s="1">
        <v>46027.480358796296</v>
      </c>
      <c r="D463" s="1">
        <v>46027.483217592591</v>
      </c>
      <c r="E463" t="s">
        <v>1228</v>
      </c>
      <c r="F463" t="s">
        <v>22</v>
      </c>
      <c r="G463" t="e">
        <f>+_xlfn.XLOOKUP(tbl_encuesta[[#This Row],[Me siento a gusto con el ambiente de trabajo que se genera en mi equipo.]],#REF!,#REF!)</f>
        <v>#REF!</v>
      </c>
      <c r="H463" t="s">
        <v>23</v>
      </c>
      <c r="I463" t="e">
        <f>+_xlfn.XLOOKUP(tbl_encuesta[[#This Row],[Me siento motivado a dar lo mejor de mí y hacer un buen trabajo]],#REF!,#REF!)</f>
        <v>#REF!</v>
      </c>
      <c r="J463" t="s">
        <v>23</v>
      </c>
      <c r="K463" t="e">
        <f>+_xlfn.XLOOKUP(tbl_encuesta[[#This Row],[Mi supervisor o jefe directo me otorga el soporte que necesito para afrontar cualquier problema que afecte mi trabajo]],#REF!,#REF!)</f>
        <v>#REF!</v>
      </c>
      <c r="L463" t="s">
        <v>22</v>
      </c>
      <c r="M463" t="e">
        <f>+_xlfn.XLOOKUP(tbl_encuesta[[#This Row],[Mi supervisor o jefe directo fomenta que nos apoyemos entre todos en el equipo]],#REF!,#REF!)</f>
        <v>#REF!</v>
      </c>
      <c r="N463" t="s">
        <v>97</v>
      </c>
      <c r="O463" t="e">
        <f>+_xlfn.XLOOKUP(tbl_encuesta[[#This Row],[Siento que mi trabajo es reconocido por mi supervisor o jefe directo.]],#REF!,#REF!)</f>
        <v>#REF!</v>
      </c>
      <c r="P463" t="s">
        <v>31</v>
      </c>
      <c r="Q463" t="e">
        <f xml:space="preserve">
_xlfn.XLOOKUP(
tbl_encuesta[[#This Row],[Mi supervisor o jefe directo nos brinda charlas de 5 minutos y comunica las novedades relevantes a mi puesto de trabajo]],#REF!,#REF!
)</f>
        <v>#REF!</v>
      </c>
      <c r="S463" t="s">
        <v>18</v>
      </c>
      <c r="W463" t="s">
        <v>25</v>
      </c>
      <c r="X463" t="s">
        <v>23</v>
      </c>
      <c r="Y463" t="e">
        <f>+_xlfn.XLOOKUP(tbl_encuesta[[#This Row],[Considero a Limtek como un buen lugar para trabajar]],#REF!,#REF!)</f>
        <v>#REF!</v>
      </c>
      <c r="Z463" t="s">
        <v>193</v>
      </c>
      <c r="AA463" t="s">
        <v>1229</v>
      </c>
      <c r="AB463" t="s">
        <v>581</v>
      </c>
      <c r="AC463" s="3" t="s">
        <v>3716</v>
      </c>
      <c r="AD463" s="3" t="s">
        <v>814</v>
      </c>
      <c r="AE463" t="s">
        <v>29</v>
      </c>
    </row>
    <row r="464" spans="1:31" x14ac:dyDescent="0.25">
      <c r="A464">
        <v>119031092418</v>
      </c>
      <c r="B464">
        <v>462598545</v>
      </c>
      <c r="C464" s="1">
        <v>46027.481435185182</v>
      </c>
      <c r="D464" s="1">
        <v>46027.482824074075</v>
      </c>
      <c r="E464" t="s">
        <v>1230</v>
      </c>
      <c r="F464" t="s">
        <v>23</v>
      </c>
      <c r="G464" t="e">
        <f>+_xlfn.XLOOKUP(tbl_encuesta[[#This Row],[Me siento a gusto con el ambiente de trabajo que se genera en mi equipo.]],#REF!,#REF!)</f>
        <v>#REF!</v>
      </c>
      <c r="H464" t="s">
        <v>23</v>
      </c>
      <c r="I464" t="e">
        <f>+_xlfn.XLOOKUP(tbl_encuesta[[#This Row],[Me siento motivado a dar lo mejor de mí y hacer un buen trabajo]],#REF!,#REF!)</f>
        <v>#REF!</v>
      </c>
      <c r="J464" t="s">
        <v>23</v>
      </c>
      <c r="K464" t="e">
        <f>+_xlfn.XLOOKUP(tbl_encuesta[[#This Row],[Mi supervisor o jefe directo me otorga el soporte que necesito para afrontar cualquier problema que afecte mi trabajo]],#REF!,#REF!)</f>
        <v>#REF!</v>
      </c>
      <c r="L464" t="s">
        <v>23</v>
      </c>
      <c r="M464" t="e">
        <f>+_xlfn.XLOOKUP(tbl_encuesta[[#This Row],[Mi supervisor o jefe directo fomenta que nos apoyemos entre todos en el equipo]],#REF!,#REF!)</f>
        <v>#REF!</v>
      </c>
      <c r="N464" t="s">
        <v>23</v>
      </c>
      <c r="O464" t="e">
        <f>+_xlfn.XLOOKUP(tbl_encuesta[[#This Row],[Siento que mi trabajo es reconocido por mi supervisor o jefe directo.]],#REF!,#REF!)</f>
        <v>#REF!</v>
      </c>
      <c r="P464" t="s">
        <v>31</v>
      </c>
      <c r="Q464" t="e">
        <f xml:space="preserve">
_xlfn.XLOOKUP(
tbl_encuesta[[#This Row],[Mi supervisor o jefe directo nos brinda charlas de 5 minutos y comunica las novedades relevantes a mi puesto de trabajo]],#REF!,#REF!
)</f>
        <v>#REF!</v>
      </c>
      <c r="R464" t="s">
        <v>17</v>
      </c>
      <c r="S464" t="s">
        <v>18</v>
      </c>
      <c r="W464" t="s">
        <v>25</v>
      </c>
      <c r="X464" t="s">
        <v>23</v>
      </c>
      <c r="Y464" t="e">
        <f>+_xlfn.XLOOKUP(tbl_encuesta[[#This Row],[Considero a Limtek como un buen lugar para trabajar]],#REF!,#REF!)</f>
        <v>#REF!</v>
      </c>
      <c r="Z464" t="s">
        <v>1231</v>
      </c>
      <c r="AA464" t="s">
        <v>1232</v>
      </c>
      <c r="AB464" t="s">
        <v>59</v>
      </c>
      <c r="AC464" s="3" t="s">
        <v>3610</v>
      </c>
      <c r="AD464" s="3" t="s">
        <v>3610</v>
      </c>
      <c r="AE464" t="s">
        <v>55</v>
      </c>
    </row>
    <row r="465" spans="1:31" x14ac:dyDescent="0.25">
      <c r="A465">
        <v>119031091562</v>
      </c>
      <c r="B465">
        <v>462598545</v>
      </c>
      <c r="C465" s="1">
        <v>46027.478113425925</v>
      </c>
      <c r="D465" s="1">
        <v>46027.482210648152</v>
      </c>
      <c r="E465" t="s">
        <v>1233</v>
      </c>
      <c r="F465" t="s">
        <v>23</v>
      </c>
      <c r="G465" t="e">
        <f>+_xlfn.XLOOKUP(tbl_encuesta[[#This Row],[Me siento a gusto con el ambiente de trabajo que se genera en mi equipo.]],#REF!,#REF!)</f>
        <v>#REF!</v>
      </c>
      <c r="H465" t="s">
        <v>23</v>
      </c>
      <c r="I465" t="e">
        <f>+_xlfn.XLOOKUP(tbl_encuesta[[#This Row],[Me siento motivado a dar lo mejor de mí y hacer un buen trabajo]],#REF!,#REF!)</f>
        <v>#REF!</v>
      </c>
      <c r="J465" t="s">
        <v>23</v>
      </c>
      <c r="K465" t="e">
        <f>+_xlfn.XLOOKUP(tbl_encuesta[[#This Row],[Mi supervisor o jefe directo me otorga el soporte que necesito para afrontar cualquier problema que afecte mi trabajo]],#REF!,#REF!)</f>
        <v>#REF!</v>
      </c>
      <c r="L465" t="s">
        <v>23</v>
      </c>
      <c r="M465" t="e">
        <f>+_xlfn.XLOOKUP(tbl_encuesta[[#This Row],[Mi supervisor o jefe directo fomenta que nos apoyemos entre todos en el equipo]],#REF!,#REF!)</f>
        <v>#REF!</v>
      </c>
      <c r="N465" t="s">
        <v>23</v>
      </c>
      <c r="O465" t="e">
        <f>+_xlfn.XLOOKUP(tbl_encuesta[[#This Row],[Siento que mi trabajo es reconocido por mi supervisor o jefe directo.]],#REF!,#REF!)</f>
        <v>#REF!</v>
      </c>
      <c r="P465" t="s">
        <v>31</v>
      </c>
      <c r="Q465" t="e">
        <f xml:space="preserve">
_xlfn.XLOOKUP(
tbl_encuesta[[#This Row],[Mi supervisor o jefe directo nos brinda charlas de 5 minutos y comunica las novedades relevantes a mi puesto de trabajo]],#REF!,#REF!
)</f>
        <v>#REF!</v>
      </c>
      <c r="S465" t="s">
        <v>18</v>
      </c>
      <c r="W465" t="s">
        <v>25</v>
      </c>
      <c r="X465" t="s">
        <v>23</v>
      </c>
      <c r="Y465" t="e">
        <f>+_xlfn.XLOOKUP(tbl_encuesta[[#This Row],[Considero a Limtek como un buen lugar para trabajar]],#REF!,#REF!)</f>
        <v>#REF!</v>
      </c>
      <c r="Z465" t="s">
        <v>1234</v>
      </c>
      <c r="AA465" t="s">
        <v>1235</v>
      </c>
      <c r="AB465" t="s">
        <v>581</v>
      </c>
      <c r="AC465" s="3" t="s">
        <v>3769</v>
      </c>
      <c r="AD465" s="3" t="s">
        <v>3769</v>
      </c>
      <c r="AE465" t="s">
        <v>55</v>
      </c>
    </row>
    <row r="466" spans="1:31" x14ac:dyDescent="0.25">
      <c r="A466">
        <v>119031091319</v>
      </c>
      <c r="B466">
        <v>462598545</v>
      </c>
      <c r="C466" s="1">
        <v>46027.478159722225</v>
      </c>
      <c r="D466" s="1">
        <v>46027.482025462959</v>
      </c>
      <c r="E466" t="s">
        <v>1236</v>
      </c>
      <c r="F466" t="s">
        <v>23</v>
      </c>
      <c r="G466" t="e">
        <f>+_xlfn.XLOOKUP(tbl_encuesta[[#This Row],[Me siento a gusto con el ambiente de trabajo que se genera en mi equipo.]],#REF!,#REF!)</f>
        <v>#REF!</v>
      </c>
      <c r="H466" t="s">
        <v>23</v>
      </c>
      <c r="I466" t="e">
        <f>+_xlfn.XLOOKUP(tbl_encuesta[[#This Row],[Me siento motivado a dar lo mejor de mí y hacer un buen trabajo]],#REF!,#REF!)</f>
        <v>#REF!</v>
      </c>
      <c r="J466" t="s">
        <v>23</v>
      </c>
      <c r="K466" t="e">
        <f>+_xlfn.XLOOKUP(tbl_encuesta[[#This Row],[Mi supervisor o jefe directo me otorga el soporte que necesito para afrontar cualquier problema que afecte mi trabajo]],#REF!,#REF!)</f>
        <v>#REF!</v>
      </c>
      <c r="L466" t="s">
        <v>23</v>
      </c>
      <c r="M466" t="e">
        <f>+_xlfn.XLOOKUP(tbl_encuesta[[#This Row],[Mi supervisor o jefe directo fomenta que nos apoyemos entre todos en el equipo]],#REF!,#REF!)</f>
        <v>#REF!</v>
      </c>
      <c r="N466" t="s">
        <v>23</v>
      </c>
      <c r="O466" t="e">
        <f>+_xlfn.XLOOKUP(tbl_encuesta[[#This Row],[Siento que mi trabajo es reconocido por mi supervisor o jefe directo.]],#REF!,#REF!)</f>
        <v>#REF!</v>
      </c>
      <c r="P466" t="s">
        <v>31</v>
      </c>
      <c r="Q466" t="e">
        <f xml:space="preserve">
_xlfn.XLOOKUP(
tbl_encuesta[[#This Row],[Mi supervisor o jefe directo nos brinda charlas de 5 minutos y comunica las novedades relevantes a mi puesto de trabajo]],#REF!,#REF!
)</f>
        <v>#REF!</v>
      </c>
      <c r="R466" t="s">
        <v>17</v>
      </c>
      <c r="W466" t="s">
        <v>25</v>
      </c>
      <c r="X466" t="s">
        <v>23</v>
      </c>
      <c r="Y466" t="e">
        <f>+_xlfn.XLOOKUP(tbl_encuesta[[#This Row],[Considero a Limtek como un buen lugar para trabajar]],#REF!,#REF!)</f>
        <v>#REF!</v>
      </c>
      <c r="Z466" t="s">
        <v>1237</v>
      </c>
      <c r="AA466" t="s">
        <v>1238</v>
      </c>
      <c r="AB466" t="s">
        <v>581</v>
      </c>
      <c r="AC466" s="3" t="s">
        <v>3610</v>
      </c>
      <c r="AD466" s="3" t="s">
        <v>3660</v>
      </c>
      <c r="AE466" t="s">
        <v>34</v>
      </c>
    </row>
    <row r="467" spans="1:31" x14ac:dyDescent="0.25">
      <c r="A467">
        <v>119031090906</v>
      </c>
      <c r="B467">
        <v>462598545</v>
      </c>
      <c r="C467" s="1">
        <v>46027.4768287037</v>
      </c>
      <c r="D467" s="1">
        <v>46027.481724537036</v>
      </c>
      <c r="E467" t="s">
        <v>1239</v>
      </c>
      <c r="F467" t="s">
        <v>23</v>
      </c>
      <c r="G467" t="e">
        <f>+_xlfn.XLOOKUP(tbl_encuesta[[#This Row],[Me siento a gusto con el ambiente de trabajo que se genera en mi equipo.]],#REF!,#REF!)</f>
        <v>#REF!</v>
      </c>
      <c r="H467" t="s">
        <v>23</v>
      </c>
      <c r="I467" t="e">
        <f>+_xlfn.XLOOKUP(tbl_encuesta[[#This Row],[Me siento motivado a dar lo mejor de mí y hacer un buen trabajo]],#REF!,#REF!)</f>
        <v>#REF!</v>
      </c>
      <c r="J467" t="s">
        <v>23</v>
      </c>
      <c r="K467" t="e">
        <f>+_xlfn.XLOOKUP(tbl_encuesta[[#This Row],[Mi supervisor o jefe directo me otorga el soporte que necesito para afrontar cualquier problema que afecte mi trabajo]],#REF!,#REF!)</f>
        <v>#REF!</v>
      </c>
      <c r="L467" t="s">
        <v>23</v>
      </c>
      <c r="M467" t="e">
        <f>+_xlfn.XLOOKUP(tbl_encuesta[[#This Row],[Mi supervisor o jefe directo fomenta que nos apoyemos entre todos en el equipo]],#REF!,#REF!)</f>
        <v>#REF!</v>
      </c>
      <c r="N467" t="s">
        <v>23</v>
      </c>
      <c r="O467" t="e">
        <f>+_xlfn.XLOOKUP(tbl_encuesta[[#This Row],[Siento que mi trabajo es reconocido por mi supervisor o jefe directo.]],#REF!,#REF!)</f>
        <v>#REF!</v>
      </c>
      <c r="P467" t="s">
        <v>67</v>
      </c>
      <c r="Q467" t="e">
        <f xml:space="preserve">
_xlfn.XLOOKUP(
tbl_encuesta[[#This Row],[Mi supervisor o jefe directo nos brinda charlas de 5 minutos y comunica las novedades relevantes a mi puesto de trabajo]],#REF!,#REF!
)</f>
        <v>#REF!</v>
      </c>
      <c r="R467" t="s">
        <v>17</v>
      </c>
      <c r="W467" t="s">
        <v>25</v>
      </c>
      <c r="X467" t="s">
        <v>23</v>
      </c>
      <c r="Y467" t="e">
        <f>+_xlfn.XLOOKUP(tbl_encuesta[[#This Row],[Considero a Limtek como un buen lugar para trabajar]],#REF!,#REF!)</f>
        <v>#REF!</v>
      </c>
      <c r="Z467" t="s">
        <v>638</v>
      </c>
      <c r="AA467" t="s">
        <v>1240</v>
      </c>
      <c r="AB467" t="s">
        <v>553</v>
      </c>
      <c r="AC467" s="3" t="s">
        <v>3610</v>
      </c>
      <c r="AD467" s="3" t="s">
        <v>3661</v>
      </c>
      <c r="AE467" t="s">
        <v>55</v>
      </c>
    </row>
    <row r="468" spans="1:31" x14ac:dyDescent="0.25">
      <c r="A468">
        <v>119031090653</v>
      </c>
      <c r="B468">
        <v>462598545</v>
      </c>
      <c r="C468" s="1">
        <v>46027.479120370372</v>
      </c>
      <c r="D468" s="1">
        <v>46027.481527777774</v>
      </c>
      <c r="E468" t="s">
        <v>1241</v>
      </c>
      <c r="F468" t="s">
        <v>23</v>
      </c>
      <c r="G468" t="e">
        <f>+_xlfn.XLOOKUP(tbl_encuesta[[#This Row],[Me siento a gusto con el ambiente de trabajo que se genera en mi equipo.]],#REF!,#REF!)</f>
        <v>#REF!</v>
      </c>
      <c r="H468" t="s">
        <v>23</v>
      </c>
      <c r="I468" t="e">
        <f>+_xlfn.XLOOKUP(tbl_encuesta[[#This Row],[Me siento motivado a dar lo mejor de mí y hacer un buen trabajo]],#REF!,#REF!)</f>
        <v>#REF!</v>
      </c>
      <c r="J468" t="s">
        <v>23</v>
      </c>
      <c r="K468" t="e">
        <f>+_xlfn.XLOOKUP(tbl_encuesta[[#This Row],[Mi supervisor o jefe directo me otorga el soporte que necesito para afrontar cualquier problema que afecte mi trabajo]],#REF!,#REF!)</f>
        <v>#REF!</v>
      </c>
      <c r="L468" t="s">
        <v>23</v>
      </c>
      <c r="M468" t="e">
        <f>+_xlfn.XLOOKUP(tbl_encuesta[[#This Row],[Mi supervisor o jefe directo fomenta que nos apoyemos entre todos en el equipo]],#REF!,#REF!)</f>
        <v>#REF!</v>
      </c>
      <c r="N468" t="s">
        <v>23</v>
      </c>
      <c r="O468" t="e">
        <f>+_xlfn.XLOOKUP(tbl_encuesta[[#This Row],[Siento que mi trabajo es reconocido por mi supervisor o jefe directo.]],#REF!,#REF!)</f>
        <v>#REF!</v>
      </c>
      <c r="P468" t="s">
        <v>31</v>
      </c>
      <c r="Q468" t="e">
        <f xml:space="preserve">
_xlfn.XLOOKUP(
tbl_encuesta[[#This Row],[Mi supervisor o jefe directo nos brinda charlas de 5 minutos y comunica las novedades relevantes a mi puesto de trabajo]],#REF!,#REF!
)</f>
        <v>#REF!</v>
      </c>
      <c r="R468" t="s">
        <v>17</v>
      </c>
      <c r="S468" t="s">
        <v>18</v>
      </c>
      <c r="W468" t="s">
        <v>25</v>
      </c>
      <c r="X468" t="s">
        <v>23</v>
      </c>
      <c r="Y468" t="e">
        <f>+_xlfn.XLOOKUP(tbl_encuesta[[#This Row],[Considero a Limtek como un buen lugar para trabajar]],#REF!,#REF!)</f>
        <v>#REF!</v>
      </c>
      <c r="Z468" t="s">
        <v>1242</v>
      </c>
      <c r="AA468" t="s">
        <v>1243</v>
      </c>
      <c r="AB468" t="s">
        <v>553</v>
      </c>
      <c r="AC468" t="s">
        <v>3592</v>
      </c>
      <c r="AD468" t="s">
        <v>3597</v>
      </c>
      <c r="AE468" t="s">
        <v>69</v>
      </c>
    </row>
    <row r="469" spans="1:31" x14ac:dyDescent="0.25">
      <c r="A469">
        <v>119031089579</v>
      </c>
      <c r="B469">
        <v>462598545</v>
      </c>
      <c r="C469" s="1">
        <v>46027.471898148149</v>
      </c>
      <c r="D469" s="1">
        <v>46027.480729166666</v>
      </c>
      <c r="E469" t="s">
        <v>1244</v>
      </c>
      <c r="F469" t="s">
        <v>23</v>
      </c>
      <c r="G469" t="e">
        <f>+_xlfn.XLOOKUP(tbl_encuesta[[#This Row],[Me siento a gusto con el ambiente de trabajo que se genera en mi equipo.]],#REF!,#REF!)</f>
        <v>#REF!</v>
      </c>
      <c r="H469" t="s">
        <v>22</v>
      </c>
      <c r="I469" t="e">
        <f>+_xlfn.XLOOKUP(tbl_encuesta[[#This Row],[Me siento motivado a dar lo mejor de mí y hacer un buen trabajo]],#REF!,#REF!)</f>
        <v>#REF!</v>
      </c>
      <c r="J469" t="s">
        <v>22</v>
      </c>
      <c r="K469" t="e">
        <f>+_xlfn.XLOOKUP(tbl_encuesta[[#This Row],[Mi supervisor o jefe directo me otorga el soporte que necesito para afrontar cualquier problema que afecte mi trabajo]],#REF!,#REF!)</f>
        <v>#REF!</v>
      </c>
      <c r="L469" t="s">
        <v>23</v>
      </c>
      <c r="M469" t="e">
        <f>+_xlfn.XLOOKUP(tbl_encuesta[[#This Row],[Mi supervisor o jefe directo fomenta que nos apoyemos entre todos en el equipo]],#REF!,#REF!)</f>
        <v>#REF!</v>
      </c>
      <c r="N469" t="s">
        <v>22</v>
      </c>
      <c r="O469" t="e">
        <f>+_xlfn.XLOOKUP(tbl_encuesta[[#This Row],[Siento que mi trabajo es reconocido por mi supervisor o jefe directo.]],#REF!,#REF!)</f>
        <v>#REF!</v>
      </c>
      <c r="P469" t="s">
        <v>67</v>
      </c>
      <c r="Q469" t="e">
        <f xml:space="preserve">
_xlfn.XLOOKUP(
tbl_encuesta[[#This Row],[Mi supervisor o jefe directo nos brinda charlas de 5 minutos y comunica las novedades relevantes a mi puesto de trabajo]],#REF!,#REF!
)</f>
        <v>#REF!</v>
      </c>
      <c r="R469" t="s">
        <v>17</v>
      </c>
      <c r="W469" t="s">
        <v>25</v>
      </c>
      <c r="X469" t="s">
        <v>23</v>
      </c>
      <c r="Y469" t="e">
        <f>+_xlfn.XLOOKUP(tbl_encuesta[[#This Row],[Considero a Limtek como un buen lugar para trabajar]],#REF!,#REF!)</f>
        <v>#REF!</v>
      </c>
      <c r="Z469" t="s">
        <v>1245</v>
      </c>
      <c r="AA469" t="s">
        <v>1246</v>
      </c>
      <c r="AB469" t="s">
        <v>726</v>
      </c>
      <c r="AC469" t="s">
        <v>3744</v>
      </c>
      <c r="AD469" t="s">
        <v>3744</v>
      </c>
      <c r="AE469" t="s">
        <v>61</v>
      </c>
    </row>
    <row r="470" spans="1:31" x14ac:dyDescent="0.25">
      <c r="A470">
        <v>119031088947</v>
      </c>
      <c r="B470">
        <v>462598545</v>
      </c>
      <c r="C470" s="1">
        <v>46027.476481481484</v>
      </c>
      <c r="D470" s="1">
        <v>46027.480208333334</v>
      </c>
      <c r="E470" t="s">
        <v>1247</v>
      </c>
      <c r="F470" t="s">
        <v>23</v>
      </c>
      <c r="G470" t="e">
        <f>+_xlfn.XLOOKUP(tbl_encuesta[[#This Row],[Me siento a gusto con el ambiente de trabajo que se genera en mi equipo.]],#REF!,#REF!)</f>
        <v>#REF!</v>
      </c>
      <c r="H470" t="s">
        <v>23</v>
      </c>
      <c r="I470" t="e">
        <f>+_xlfn.XLOOKUP(tbl_encuesta[[#This Row],[Me siento motivado a dar lo mejor de mí y hacer un buen trabajo]],#REF!,#REF!)</f>
        <v>#REF!</v>
      </c>
      <c r="J470" t="s">
        <v>23</v>
      </c>
      <c r="K470" t="e">
        <f>+_xlfn.XLOOKUP(tbl_encuesta[[#This Row],[Mi supervisor o jefe directo me otorga el soporte que necesito para afrontar cualquier problema que afecte mi trabajo]],#REF!,#REF!)</f>
        <v>#REF!</v>
      </c>
      <c r="L470" t="s">
        <v>23</v>
      </c>
      <c r="M470" t="e">
        <f>+_xlfn.XLOOKUP(tbl_encuesta[[#This Row],[Mi supervisor o jefe directo fomenta que nos apoyemos entre todos en el equipo]],#REF!,#REF!)</f>
        <v>#REF!</v>
      </c>
      <c r="N470" t="s">
        <v>23</v>
      </c>
      <c r="O470" t="e">
        <f>+_xlfn.XLOOKUP(tbl_encuesta[[#This Row],[Siento que mi trabajo es reconocido por mi supervisor o jefe directo.]],#REF!,#REF!)</f>
        <v>#REF!</v>
      </c>
      <c r="P470" t="s">
        <v>31</v>
      </c>
      <c r="Q470" t="e">
        <f xml:space="preserve">
_xlfn.XLOOKUP(
tbl_encuesta[[#This Row],[Mi supervisor o jefe directo nos brinda charlas de 5 minutos y comunica las novedades relevantes a mi puesto de trabajo]],#REF!,#REF!
)</f>
        <v>#REF!</v>
      </c>
      <c r="R470" t="s">
        <v>17</v>
      </c>
      <c r="T470" t="s">
        <v>19</v>
      </c>
      <c r="W470" t="s">
        <v>25</v>
      </c>
      <c r="X470" t="s">
        <v>23</v>
      </c>
      <c r="Y470" t="e">
        <f>+_xlfn.XLOOKUP(tbl_encuesta[[#This Row],[Considero a Limtek como un buen lugar para trabajar]],#REF!,#REF!)</f>
        <v>#REF!</v>
      </c>
      <c r="Z470" t="s">
        <v>1248</v>
      </c>
      <c r="AA470" t="s">
        <v>1249</v>
      </c>
      <c r="AB470" t="s">
        <v>581</v>
      </c>
      <c r="AC470" s="3" t="s">
        <v>3610</v>
      </c>
      <c r="AD470" s="3" t="s">
        <v>3610</v>
      </c>
      <c r="AE470" t="s">
        <v>69</v>
      </c>
    </row>
    <row r="471" spans="1:31" x14ac:dyDescent="0.25">
      <c r="A471">
        <v>119031086076</v>
      </c>
      <c r="B471">
        <v>462598545</v>
      </c>
      <c r="C471" s="1">
        <v>46027.475682870368</v>
      </c>
      <c r="D471" s="1">
        <v>46027.477546296293</v>
      </c>
      <c r="E471" t="s">
        <v>1250</v>
      </c>
      <c r="F471" t="s">
        <v>23</v>
      </c>
      <c r="G471" t="e">
        <f>+_xlfn.XLOOKUP(tbl_encuesta[[#This Row],[Me siento a gusto con el ambiente de trabajo que se genera en mi equipo.]],#REF!,#REF!)</f>
        <v>#REF!</v>
      </c>
      <c r="H471" t="s">
        <v>23</v>
      </c>
      <c r="I471" t="e">
        <f>+_xlfn.XLOOKUP(tbl_encuesta[[#This Row],[Me siento motivado a dar lo mejor de mí y hacer un buen trabajo]],#REF!,#REF!)</f>
        <v>#REF!</v>
      </c>
      <c r="J471" t="s">
        <v>23</v>
      </c>
      <c r="K471" t="e">
        <f>+_xlfn.XLOOKUP(tbl_encuesta[[#This Row],[Mi supervisor o jefe directo me otorga el soporte que necesito para afrontar cualquier problema que afecte mi trabajo]],#REF!,#REF!)</f>
        <v>#REF!</v>
      </c>
      <c r="L471" t="s">
        <v>23</v>
      </c>
      <c r="M471" t="e">
        <f>+_xlfn.XLOOKUP(tbl_encuesta[[#This Row],[Mi supervisor o jefe directo fomenta que nos apoyemos entre todos en el equipo]],#REF!,#REF!)</f>
        <v>#REF!</v>
      </c>
      <c r="N471" t="s">
        <v>23</v>
      </c>
      <c r="O471" t="e">
        <f>+_xlfn.XLOOKUP(tbl_encuesta[[#This Row],[Siento que mi trabajo es reconocido por mi supervisor o jefe directo.]],#REF!,#REF!)</f>
        <v>#REF!</v>
      </c>
      <c r="P471" t="s">
        <v>31</v>
      </c>
      <c r="Q471" t="e">
        <f xml:space="preserve">
_xlfn.XLOOKUP(
tbl_encuesta[[#This Row],[Mi supervisor o jefe directo nos brinda charlas de 5 minutos y comunica las novedades relevantes a mi puesto de trabajo]],#REF!,#REF!
)</f>
        <v>#REF!</v>
      </c>
      <c r="R471" t="s">
        <v>17</v>
      </c>
      <c r="S471" t="s">
        <v>18</v>
      </c>
      <c r="W471" t="s">
        <v>25</v>
      </c>
      <c r="X471" t="s">
        <v>23</v>
      </c>
      <c r="Y471" t="e">
        <f>+_xlfn.XLOOKUP(tbl_encuesta[[#This Row],[Considero a Limtek como un buen lugar para trabajar]],#REF!,#REF!)</f>
        <v>#REF!</v>
      </c>
      <c r="Z471" t="s">
        <v>1251</v>
      </c>
      <c r="AA471" t="s">
        <v>1252</v>
      </c>
      <c r="AB471" t="s">
        <v>581</v>
      </c>
      <c r="AC471" s="3" t="s">
        <v>3768</v>
      </c>
      <c r="AD471" s="3" t="s">
        <v>3768</v>
      </c>
      <c r="AE471" t="s">
        <v>34</v>
      </c>
    </row>
    <row r="472" spans="1:31" x14ac:dyDescent="0.25">
      <c r="A472">
        <v>119031086029</v>
      </c>
      <c r="B472">
        <v>462598545</v>
      </c>
      <c r="C472" s="1">
        <v>46027.473634259259</v>
      </c>
      <c r="D472" s="1">
        <v>46027.477500000001</v>
      </c>
      <c r="E472" t="s">
        <v>1253</v>
      </c>
      <c r="F472" t="s">
        <v>23</v>
      </c>
      <c r="G472" t="e">
        <f>+_xlfn.XLOOKUP(tbl_encuesta[[#This Row],[Me siento a gusto con el ambiente de trabajo que se genera en mi equipo.]],#REF!,#REF!)</f>
        <v>#REF!</v>
      </c>
      <c r="H472" t="s">
        <v>23</v>
      </c>
      <c r="I472" t="e">
        <f>+_xlfn.XLOOKUP(tbl_encuesta[[#This Row],[Me siento motivado a dar lo mejor de mí y hacer un buen trabajo]],#REF!,#REF!)</f>
        <v>#REF!</v>
      </c>
      <c r="J472" t="s">
        <v>23</v>
      </c>
      <c r="K472" t="e">
        <f>+_xlfn.XLOOKUP(tbl_encuesta[[#This Row],[Mi supervisor o jefe directo me otorga el soporte que necesito para afrontar cualquier problema que afecte mi trabajo]],#REF!,#REF!)</f>
        <v>#REF!</v>
      </c>
      <c r="L472" t="s">
        <v>23</v>
      </c>
      <c r="M472" t="e">
        <f>+_xlfn.XLOOKUP(tbl_encuesta[[#This Row],[Mi supervisor o jefe directo fomenta que nos apoyemos entre todos en el equipo]],#REF!,#REF!)</f>
        <v>#REF!</v>
      </c>
      <c r="N472" t="s">
        <v>23</v>
      </c>
      <c r="O472" t="e">
        <f>+_xlfn.XLOOKUP(tbl_encuesta[[#This Row],[Siento que mi trabajo es reconocido por mi supervisor o jefe directo.]],#REF!,#REF!)</f>
        <v>#REF!</v>
      </c>
      <c r="P472" t="s">
        <v>31</v>
      </c>
      <c r="Q472" t="e">
        <f xml:space="preserve">
_xlfn.XLOOKUP(
tbl_encuesta[[#This Row],[Mi supervisor o jefe directo nos brinda charlas de 5 minutos y comunica las novedades relevantes a mi puesto de trabajo]],#REF!,#REF!
)</f>
        <v>#REF!</v>
      </c>
      <c r="R472" t="s">
        <v>17</v>
      </c>
      <c r="S472" t="s">
        <v>18</v>
      </c>
      <c r="W472" t="s">
        <v>25</v>
      </c>
      <c r="X472" t="s">
        <v>23</v>
      </c>
      <c r="Y472" t="e">
        <f>+_xlfn.XLOOKUP(tbl_encuesta[[#This Row],[Considero a Limtek como un buen lugar para trabajar]],#REF!,#REF!)</f>
        <v>#REF!</v>
      </c>
      <c r="Z472" t="s">
        <v>1254</v>
      </c>
      <c r="AA472" t="s">
        <v>1255</v>
      </c>
      <c r="AB472" t="s">
        <v>581</v>
      </c>
      <c r="AC472" s="3" t="s">
        <v>3716</v>
      </c>
      <c r="AD472" s="3" t="s">
        <v>814</v>
      </c>
      <c r="AE472" t="s">
        <v>29</v>
      </c>
    </row>
    <row r="473" spans="1:31" x14ac:dyDescent="0.25">
      <c r="A473">
        <v>119031085557</v>
      </c>
      <c r="B473">
        <v>462598545</v>
      </c>
      <c r="C473" s="1">
        <v>46027.471030092594</v>
      </c>
      <c r="D473" s="1">
        <v>46027.477071759262</v>
      </c>
      <c r="E473" t="s">
        <v>1256</v>
      </c>
      <c r="F473" t="s">
        <v>23</v>
      </c>
      <c r="G473" t="e">
        <f>+_xlfn.XLOOKUP(tbl_encuesta[[#This Row],[Me siento a gusto con el ambiente de trabajo que se genera en mi equipo.]],#REF!,#REF!)</f>
        <v>#REF!</v>
      </c>
      <c r="H473" t="s">
        <v>23</v>
      </c>
      <c r="I473" t="e">
        <f>+_xlfn.XLOOKUP(tbl_encuesta[[#This Row],[Me siento motivado a dar lo mejor de mí y hacer un buen trabajo]],#REF!,#REF!)</f>
        <v>#REF!</v>
      </c>
      <c r="J473" t="s">
        <v>23</v>
      </c>
      <c r="K473" t="e">
        <f>+_xlfn.XLOOKUP(tbl_encuesta[[#This Row],[Mi supervisor o jefe directo me otorga el soporte que necesito para afrontar cualquier problema que afecte mi trabajo]],#REF!,#REF!)</f>
        <v>#REF!</v>
      </c>
      <c r="L473" t="s">
        <v>23</v>
      </c>
      <c r="M473" t="e">
        <f>+_xlfn.XLOOKUP(tbl_encuesta[[#This Row],[Mi supervisor o jefe directo fomenta que nos apoyemos entre todos en el equipo]],#REF!,#REF!)</f>
        <v>#REF!</v>
      </c>
      <c r="N473" t="s">
        <v>23</v>
      </c>
      <c r="O473" t="e">
        <f>+_xlfn.XLOOKUP(tbl_encuesta[[#This Row],[Siento que mi trabajo es reconocido por mi supervisor o jefe directo.]],#REF!,#REF!)</f>
        <v>#REF!</v>
      </c>
      <c r="P473" t="s">
        <v>31</v>
      </c>
      <c r="Q473" t="e">
        <f xml:space="preserve">
_xlfn.XLOOKUP(
tbl_encuesta[[#This Row],[Mi supervisor o jefe directo nos brinda charlas de 5 minutos y comunica las novedades relevantes a mi puesto de trabajo]],#REF!,#REF!
)</f>
        <v>#REF!</v>
      </c>
      <c r="R473" t="s">
        <v>17</v>
      </c>
      <c r="W473" t="s">
        <v>25</v>
      </c>
      <c r="X473" t="s">
        <v>23</v>
      </c>
      <c r="Y473" t="e">
        <f>+_xlfn.XLOOKUP(tbl_encuesta[[#This Row],[Considero a Limtek como un buen lugar para trabajar]],#REF!,#REF!)</f>
        <v>#REF!</v>
      </c>
      <c r="Z473" t="s">
        <v>1257</v>
      </c>
      <c r="AA473" t="s">
        <v>1258</v>
      </c>
      <c r="AB473" t="s">
        <v>720</v>
      </c>
      <c r="AC473" s="3" t="s">
        <v>3610</v>
      </c>
      <c r="AD473" s="3" t="s">
        <v>3662</v>
      </c>
      <c r="AE473" t="s">
        <v>34</v>
      </c>
    </row>
    <row r="474" spans="1:31" x14ac:dyDescent="0.25">
      <c r="A474">
        <v>119031085057</v>
      </c>
      <c r="B474">
        <v>462598545</v>
      </c>
      <c r="C474" s="1">
        <v>46027.474108796298</v>
      </c>
      <c r="D474" s="1">
        <v>46027.4766087963</v>
      </c>
      <c r="E474" t="s">
        <v>1259</v>
      </c>
      <c r="F474" t="s">
        <v>23</v>
      </c>
      <c r="G474" t="e">
        <f>+_xlfn.XLOOKUP(tbl_encuesta[[#This Row],[Me siento a gusto con el ambiente de trabajo que se genera en mi equipo.]],#REF!,#REF!)</f>
        <v>#REF!</v>
      </c>
      <c r="H474" t="s">
        <v>23</v>
      </c>
      <c r="I474" t="e">
        <f>+_xlfn.XLOOKUP(tbl_encuesta[[#This Row],[Me siento motivado a dar lo mejor de mí y hacer un buen trabajo]],#REF!,#REF!)</f>
        <v>#REF!</v>
      </c>
      <c r="J474" t="s">
        <v>23</v>
      </c>
      <c r="K474" t="e">
        <f>+_xlfn.XLOOKUP(tbl_encuesta[[#This Row],[Mi supervisor o jefe directo me otorga el soporte que necesito para afrontar cualquier problema que afecte mi trabajo]],#REF!,#REF!)</f>
        <v>#REF!</v>
      </c>
      <c r="L474" t="s">
        <v>23</v>
      </c>
      <c r="M474" t="e">
        <f>+_xlfn.XLOOKUP(tbl_encuesta[[#This Row],[Mi supervisor o jefe directo fomenta que nos apoyemos entre todos en el equipo]],#REF!,#REF!)</f>
        <v>#REF!</v>
      </c>
      <c r="N474" t="s">
        <v>23</v>
      </c>
      <c r="O474" t="e">
        <f>+_xlfn.XLOOKUP(tbl_encuesta[[#This Row],[Siento que mi trabajo es reconocido por mi supervisor o jefe directo.]],#REF!,#REF!)</f>
        <v>#REF!</v>
      </c>
      <c r="P474" t="s">
        <v>31</v>
      </c>
      <c r="Q474" t="e">
        <f xml:space="preserve">
_xlfn.XLOOKUP(
tbl_encuesta[[#This Row],[Mi supervisor o jefe directo nos brinda charlas de 5 minutos y comunica las novedades relevantes a mi puesto de trabajo]],#REF!,#REF!
)</f>
        <v>#REF!</v>
      </c>
      <c r="R474" t="s">
        <v>17</v>
      </c>
      <c r="W474" t="s">
        <v>25</v>
      </c>
      <c r="X474" t="s">
        <v>23</v>
      </c>
      <c r="Y474" t="e">
        <f>+_xlfn.XLOOKUP(tbl_encuesta[[#This Row],[Considero a Limtek como un buen lugar para trabajar]],#REF!,#REF!)</f>
        <v>#REF!</v>
      </c>
      <c r="Z474" t="s">
        <v>1260</v>
      </c>
      <c r="AA474" t="s">
        <v>1097</v>
      </c>
      <c r="AB474" t="s">
        <v>581</v>
      </c>
      <c r="AC474" s="3" t="s">
        <v>3716</v>
      </c>
      <c r="AD474" s="3" t="s">
        <v>3716</v>
      </c>
      <c r="AE474" t="s">
        <v>29</v>
      </c>
    </row>
    <row r="475" spans="1:31" x14ac:dyDescent="0.25">
      <c r="A475">
        <v>119031084961</v>
      </c>
      <c r="B475">
        <v>462598545</v>
      </c>
      <c r="C475" s="1">
        <v>46027.474317129629</v>
      </c>
      <c r="D475" s="1">
        <v>46027.476527777777</v>
      </c>
      <c r="E475" t="s">
        <v>1261</v>
      </c>
      <c r="F475" t="s">
        <v>23</v>
      </c>
      <c r="G475" t="e">
        <f>+_xlfn.XLOOKUP(tbl_encuesta[[#This Row],[Me siento a gusto con el ambiente de trabajo que se genera en mi equipo.]],#REF!,#REF!)</f>
        <v>#REF!</v>
      </c>
      <c r="H475" t="s">
        <v>23</v>
      </c>
      <c r="I475" t="e">
        <f>+_xlfn.XLOOKUP(tbl_encuesta[[#This Row],[Me siento motivado a dar lo mejor de mí y hacer un buen trabajo]],#REF!,#REF!)</f>
        <v>#REF!</v>
      </c>
      <c r="J475" t="s">
        <v>23</v>
      </c>
      <c r="K475" t="e">
        <f>+_xlfn.XLOOKUP(tbl_encuesta[[#This Row],[Mi supervisor o jefe directo me otorga el soporte que necesito para afrontar cualquier problema que afecte mi trabajo]],#REF!,#REF!)</f>
        <v>#REF!</v>
      </c>
      <c r="L475" t="s">
        <v>23</v>
      </c>
      <c r="M475" t="e">
        <f>+_xlfn.XLOOKUP(tbl_encuesta[[#This Row],[Mi supervisor o jefe directo fomenta que nos apoyemos entre todos en el equipo]],#REF!,#REF!)</f>
        <v>#REF!</v>
      </c>
      <c r="N475" t="s">
        <v>23</v>
      </c>
      <c r="O475" t="e">
        <f>+_xlfn.XLOOKUP(tbl_encuesta[[#This Row],[Siento que mi trabajo es reconocido por mi supervisor o jefe directo.]],#REF!,#REF!)</f>
        <v>#REF!</v>
      </c>
      <c r="P475" t="s">
        <v>31</v>
      </c>
      <c r="Q475" t="e">
        <f xml:space="preserve">
_xlfn.XLOOKUP(
tbl_encuesta[[#This Row],[Mi supervisor o jefe directo nos brinda charlas de 5 minutos y comunica las novedades relevantes a mi puesto de trabajo]],#REF!,#REF!
)</f>
        <v>#REF!</v>
      </c>
      <c r="R475" t="s">
        <v>17</v>
      </c>
      <c r="T475" t="s">
        <v>19</v>
      </c>
      <c r="W475" t="s">
        <v>25</v>
      </c>
      <c r="X475" t="s">
        <v>23</v>
      </c>
      <c r="Y475" t="e">
        <f>+_xlfn.XLOOKUP(tbl_encuesta[[#This Row],[Considero a Limtek como un buen lugar para trabajar]],#REF!,#REF!)</f>
        <v>#REF!</v>
      </c>
      <c r="Z475" t="s">
        <v>1262</v>
      </c>
      <c r="AA475" t="s">
        <v>1263</v>
      </c>
      <c r="AB475" t="s">
        <v>553</v>
      </c>
      <c r="AC475" s="3" t="s">
        <v>3610</v>
      </c>
      <c r="AD475" s="3" t="s">
        <v>3663</v>
      </c>
      <c r="AE475" t="s">
        <v>61</v>
      </c>
    </row>
    <row r="476" spans="1:31" x14ac:dyDescent="0.25">
      <c r="A476">
        <v>119031083661</v>
      </c>
      <c r="B476">
        <v>462598545</v>
      </c>
      <c r="C476" s="1">
        <v>46027.470277777778</v>
      </c>
      <c r="D476" s="1">
        <v>46027.475243055553</v>
      </c>
      <c r="E476" t="s">
        <v>1264</v>
      </c>
      <c r="F476" t="s">
        <v>23</v>
      </c>
      <c r="G476" t="e">
        <f>+_xlfn.XLOOKUP(tbl_encuesta[[#This Row],[Me siento a gusto con el ambiente de trabajo que se genera en mi equipo.]],#REF!,#REF!)</f>
        <v>#REF!</v>
      </c>
      <c r="H476" t="s">
        <v>23</v>
      </c>
      <c r="I476" t="e">
        <f>+_xlfn.XLOOKUP(tbl_encuesta[[#This Row],[Me siento motivado a dar lo mejor de mí y hacer un buen trabajo]],#REF!,#REF!)</f>
        <v>#REF!</v>
      </c>
      <c r="J476" t="s">
        <v>23</v>
      </c>
      <c r="K476" t="e">
        <f>+_xlfn.XLOOKUP(tbl_encuesta[[#This Row],[Mi supervisor o jefe directo me otorga el soporte que necesito para afrontar cualquier problema que afecte mi trabajo]],#REF!,#REF!)</f>
        <v>#REF!</v>
      </c>
      <c r="L476" t="s">
        <v>23</v>
      </c>
      <c r="M476" t="e">
        <f>+_xlfn.XLOOKUP(tbl_encuesta[[#This Row],[Mi supervisor o jefe directo fomenta que nos apoyemos entre todos en el equipo]],#REF!,#REF!)</f>
        <v>#REF!</v>
      </c>
      <c r="N476" t="s">
        <v>23</v>
      </c>
      <c r="O476" t="e">
        <f>+_xlfn.XLOOKUP(tbl_encuesta[[#This Row],[Siento que mi trabajo es reconocido por mi supervisor o jefe directo.]],#REF!,#REF!)</f>
        <v>#REF!</v>
      </c>
      <c r="P476" t="s">
        <v>31</v>
      </c>
      <c r="Q476" t="e">
        <f xml:space="preserve">
_xlfn.XLOOKUP(
tbl_encuesta[[#This Row],[Mi supervisor o jefe directo nos brinda charlas de 5 minutos y comunica las novedades relevantes a mi puesto de trabajo]],#REF!,#REF!
)</f>
        <v>#REF!</v>
      </c>
      <c r="T476" t="s">
        <v>19</v>
      </c>
      <c r="U476" t="s">
        <v>20</v>
      </c>
      <c r="W476" t="s">
        <v>25</v>
      </c>
      <c r="X476" t="s">
        <v>23</v>
      </c>
      <c r="Y476" t="e">
        <f>+_xlfn.XLOOKUP(tbl_encuesta[[#This Row],[Considero a Limtek como un buen lugar para trabajar]],#REF!,#REF!)</f>
        <v>#REF!</v>
      </c>
      <c r="Z476" t="s">
        <v>1265</v>
      </c>
      <c r="AA476" t="s">
        <v>1266</v>
      </c>
      <c r="AB476" t="s">
        <v>581</v>
      </c>
      <c r="AC476" s="3" t="s">
        <v>3716</v>
      </c>
      <c r="AD476" s="3" t="s">
        <v>814</v>
      </c>
      <c r="AE476" t="s">
        <v>29</v>
      </c>
    </row>
    <row r="477" spans="1:31" x14ac:dyDescent="0.25">
      <c r="A477">
        <v>119031082821</v>
      </c>
      <c r="B477">
        <v>462598545</v>
      </c>
      <c r="C477" s="1">
        <v>46027.466145833336</v>
      </c>
      <c r="D477" s="1">
        <v>46027.474432870367</v>
      </c>
      <c r="E477" t="s">
        <v>1267</v>
      </c>
      <c r="F477" t="s">
        <v>23</v>
      </c>
      <c r="G477" t="e">
        <f>+_xlfn.XLOOKUP(tbl_encuesta[[#This Row],[Me siento a gusto con el ambiente de trabajo que se genera en mi equipo.]],#REF!,#REF!)</f>
        <v>#REF!</v>
      </c>
      <c r="H477" t="s">
        <v>23</v>
      </c>
      <c r="I477" t="e">
        <f>+_xlfn.XLOOKUP(tbl_encuesta[[#This Row],[Me siento motivado a dar lo mejor de mí y hacer un buen trabajo]],#REF!,#REF!)</f>
        <v>#REF!</v>
      </c>
      <c r="J477" t="s">
        <v>23</v>
      </c>
      <c r="K477" t="e">
        <f>+_xlfn.XLOOKUP(tbl_encuesta[[#This Row],[Mi supervisor o jefe directo me otorga el soporte que necesito para afrontar cualquier problema que afecte mi trabajo]],#REF!,#REF!)</f>
        <v>#REF!</v>
      </c>
      <c r="L477" t="s">
        <v>23</v>
      </c>
      <c r="M477" t="e">
        <f>+_xlfn.XLOOKUP(tbl_encuesta[[#This Row],[Mi supervisor o jefe directo fomenta que nos apoyemos entre todos en el equipo]],#REF!,#REF!)</f>
        <v>#REF!</v>
      </c>
      <c r="N477" t="s">
        <v>23</v>
      </c>
      <c r="O477" t="e">
        <f>+_xlfn.XLOOKUP(tbl_encuesta[[#This Row],[Siento que mi trabajo es reconocido por mi supervisor o jefe directo.]],#REF!,#REF!)</f>
        <v>#REF!</v>
      </c>
      <c r="P477" t="s">
        <v>31</v>
      </c>
      <c r="Q477" t="e">
        <f xml:space="preserve">
_xlfn.XLOOKUP(
tbl_encuesta[[#This Row],[Mi supervisor o jefe directo nos brinda charlas de 5 minutos y comunica las novedades relevantes a mi puesto de trabajo]],#REF!,#REF!
)</f>
        <v>#REF!</v>
      </c>
      <c r="R477" t="s">
        <v>17</v>
      </c>
      <c r="T477" t="s">
        <v>19</v>
      </c>
      <c r="W477" t="s">
        <v>25</v>
      </c>
      <c r="X477" t="s">
        <v>23</v>
      </c>
      <c r="Y477" t="e">
        <f>+_xlfn.XLOOKUP(tbl_encuesta[[#This Row],[Considero a Limtek como un buen lugar para trabajar]],#REF!,#REF!)</f>
        <v>#REF!</v>
      </c>
      <c r="Z477" t="s">
        <v>1268</v>
      </c>
      <c r="AA477" t="s">
        <v>1269</v>
      </c>
      <c r="AB477" t="s">
        <v>553</v>
      </c>
      <c r="AC477" s="3" t="s">
        <v>3610</v>
      </c>
      <c r="AD477" s="3" t="s">
        <v>3610</v>
      </c>
      <c r="AE477" t="s">
        <v>34</v>
      </c>
    </row>
    <row r="478" spans="1:31" x14ac:dyDescent="0.25">
      <c r="A478">
        <v>119031082716</v>
      </c>
      <c r="B478">
        <v>462598545</v>
      </c>
      <c r="C478" s="1">
        <v>46027.46503472222</v>
      </c>
      <c r="D478" s="1">
        <v>46027.474328703705</v>
      </c>
      <c r="E478" t="s">
        <v>1270</v>
      </c>
      <c r="F478" t="s">
        <v>23</v>
      </c>
      <c r="G478" t="e">
        <f>+_xlfn.XLOOKUP(tbl_encuesta[[#This Row],[Me siento a gusto con el ambiente de trabajo que se genera en mi equipo.]],#REF!,#REF!)</f>
        <v>#REF!</v>
      </c>
      <c r="H478" t="s">
        <v>23</v>
      </c>
      <c r="I478" t="e">
        <f>+_xlfn.XLOOKUP(tbl_encuesta[[#This Row],[Me siento motivado a dar lo mejor de mí y hacer un buen trabajo]],#REF!,#REF!)</f>
        <v>#REF!</v>
      </c>
      <c r="J478" t="s">
        <v>23</v>
      </c>
      <c r="K478" t="e">
        <f>+_xlfn.XLOOKUP(tbl_encuesta[[#This Row],[Mi supervisor o jefe directo me otorga el soporte que necesito para afrontar cualquier problema que afecte mi trabajo]],#REF!,#REF!)</f>
        <v>#REF!</v>
      </c>
      <c r="L478" t="s">
        <v>23</v>
      </c>
      <c r="M478" t="e">
        <f>+_xlfn.XLOOKUP(tbl_encuesta[[#This Row],[Mi supervisor o jefe directo fomenta que nos apoyemos entre todos en el equipo]],#REF!,#REF!)</f>
        <v>#REF!</v>
      </c>
      <c r="N478" t="s">
        <v>23</v>
      </c>
      <c r="O478" t="e">
        <f>+_xlfn.XLOOKUP(tbl_encuesta[[#This Row],[Siento que mi trabajo es reconocido por mi supervisor o jefe directo.]],#REF!,#REF!)</f>
        <v>#REF!</v>
      </c>
      <c r="P478" t="s">
        <v>31</v>
      </c>
      <c r="Q478" t="e">
        <f xml:space="preserve">
_xlfn.XLOOKUP(
tbl_encuesta[[#This Row],[Mi supervisor o jefe directo nos brinda charlas de 5 minutos y comunica las novedades relevantes a mi puesto de trabajo]],#REF!,#REF!
)</f>
        <v>#REF!</v>
      </c>
      <c r="S478" t="s">
        <v>18</v>
      </c>
      <c r="W478" t="s">
        <v>25</v>
      </c>
      <c r="X478" t="s">
        <v>23</v>
      </c>
      <c r="Y478" t="e">
        <f>+_xlfn.XLOOKUP(tbl_encuesta[[#This Row],[Considero a Limtek como un buen lugar para trabajar]],#REF!,#REF!)</f>
        <v>#REF!</v>
      </c>
      <c r="Z478" t="s">
        <v>1271</v>
      </c>
      <c r="AA478" t="s">
        <v>537</v>
      </c>
      <c r="AB478" t="s">
        <v>581</v>
      </c>
      <c r="AC478" s="3" t="s">
        <v>3716</v>
      </c>
      <c r="AD478" s="3" t="s">
        <v>814</v>
      </c>
      <c r="AE478" t="s">
        <v>29</v>
      </c>
    </row>
    <row r="479" spans="1:31" x14ac:dyDescent="0.25">
      <c r="A479">
        <v>119031082603</v>
      </c>
      <c r="B479">
        <v>462598545</v>
      </c>
      <c r="C479" s="1">
        <v>46027.464039351849</v>
      </c>
      <c r="D479" s="1">
        <v>46027.474224537036</v>
      </c>
      <c r="E479" t="s">
        <v>1272</v>
      </c>
      <c r="F479" t="s">
        <v>23</v>
      </c>
      <c r="G479" t="e">
        <f>+_xlfn.XLOOKUP(tbl_encuesta[[#This Row],[Me siento a gusto con el ambiente de trabajo que se genera en mi equipo.]],#REF!,#REF!)</f>
        <v>#REF!</v>
      </c>
      <c r="H479" t="s">
        <v>23</v>
      </c>
      <c r="I479" t="e">
        <f>+_xlfn.XLOOKUP(tbl_encuesta[[#This Row],[Me siento motivado a dar lo mejor de mí y hacer un buen trabajo]],#REF!,#REF!)</f>
        <v>#REF!</v>
      </c>
      <c r="J479" t="s">
        <v>23</v>
      </c>
      <c r="K479" t="e">
        <f>+_xlfn.XLOOKUP(tbl_encuesta[[#This Row],[Mi supervisor o jefe directo me otorga el soporte que necesito para afrontar cualquier problema que afecte mi trabajo]],#REF!,#REF!)</f>
        <v>#REF!</v>
      </c>
      <c r="L479" t="s">
        <v>23</v>
      </c>
      <c r="M479" t="e">
        <f>+_xlfn.XLOOKUP(tbl_encuesta[[#This Row],[Mi supervisor o jefe directo fomenta que nos apoyemos entre todos en el equipo]],#REF!,#REF!)</f>
        <v>#REF!</v>
      </c>
      <c r="N479" t="s">
        <v>23</v>
      </c>
      <c r="O479" t="e">
        <f>+_xlfn.XLOOKUP(tbl_encuesta[[#This Row],[Siento que mi trabajo es reconocido por mi supervisor o jefe directo.]],#REF!,#REF!)</f>
        <v>#REF!</v>
      </c>
      <c r="P479" t="s">
        <v>31</v>
      </c>
      <c r="Q479" t="e">
        <f xml:space="preserve">
_xlfn.XLOOKUP(
tbl_encuesta[[#This Row],[Mi supervisor o jefe directo nos brinda charlas de 5 minutos y comunica las novedades relevantes a mi puesto de trabajo]],#REF!,#REF!
)</f>
        <v>#REF!</v>
      </c>
      <c r="R479" t="s">
        <v>17</v>
      </c>
      <c r="U479" t="s">
        <v>20</v>
      </c>
      <c r="W479" t="s">
        <v>25</v>
      </c>
      <c r="X479" t="s">
        <v>23</v>
      </c>
      <c r="Y479" t="e">
        <f>+_xlfn.XLOOKUP(tbl_encuesta[[#This Row],[Considero a Limtek como un buen lugar para trabajar]],#REF!,#REF!)</f>
        <v>#REF!</v>
      </c>
      <c r="Z479" t="s">
        <v>1273</v>
      </c>
      <c r="AA479" t="s">
        <v>1274</v>
      </c>
      <c r="AB479" t="s">
        <v>59</v>
      </c>
      <c r="AC479" s="3" t="s">
        <v>3610</v>
      </c>
      <c r="AD479" s="3" t="s">
        <v>3643</v>
      </c>
      <c r="AE479" t="s">
        <v>34</v>
      </c>
    </row>
    <row r="480" spans="1:31" x14ac:dyDescent="0.25">
      <c r="A480">
        <v>119031082439</v>
      </c>
      <c r="B480">
        <v>462598545</v>
      </c>
      <c r="C480" s="1">
        <v>46027.47111111111</v>
      </c>
      <c r="D480" s="1">
        <v>46027.474062499998</v>
      </c>
      <c r="E480" t="s">
        <v>1275</v>
      </c>
      <c r="F480" t="s">
        <v>23</v>
      </c>
      <c r="G480" t="e">
        <f>+_xlfn.XLOOKUP(tbl_encuesta[[#This Row],[Me siento a gusto con el ambiente de trabajo que se genera en mi equipo.]],#REF!,#REF!)</f>
        <v>#REF!</v>
      </c>
      <c r="H480" t="s">
        <v>23</v>
      </c>
      <c r="I480" t="e">
        <f>+_xlfn.XLOOKUP(tbl_encuesta[[#This Row],[Me siento motivado a dar lo mejor de mí y hacer un buen trabajo]],#REF!,#REF!)</f>
        <v>#REF!</v>
      </c>
      <c r="J480" t="s">
        <v>23</v>
      </c>
      <c r="K480" t="e">
        <f>+_xlfn.XLOOKUP(tbl_encuesta[[#This Row],[Mi supervisor o jefe directo me otorga el soporte que necesito para afrontar cualquier problema que afecte mi trabajo]],#REF!,#REF!)</f>
        <v>#REF!</v>
      </c>
      <c r="L480" t="s">
        <v>23</v>
      </c>
      <c r="M480" t="e">
        <f>+_xlfn.XLOOKUP(tbl_encuesta[[#This Row],[Mi supervisor o jefe directo fomenta que nos apoyemos entre todos en el equipo]],#REF!,#REF!)</f>
        <v>#REF!</v>
      </c>
      <c r="N480" t="s">
        <v>23</v>
      </c>
      <c r="O480" t="e">
        <f>+_xlfn.XLOOKUP(tbl_encuesta[[#This Row],[Siento que mi trabajo es reconocido por mi supervisor o jefe directo.]],#REF!,#REF!)</f>
        <v>#REF!</v>
      </c>
      <c r="P480" t="s">
        <v>31</v>
      </c>
      <c r="Q480" t="e">
        <f xml:space="preserve">
_xlfn.XLOOKUP(
tbl_encuesta[[#This Row],[Mi supervisor o jefe directo nos brinda charlas de 5 minutos y comunica las novedades relevantes a mi puesto de trabajo]],#REF!,#REF!
)</f>
        <v>#REF!</v>
      </c>
      <c r="R480" t="s">
        <v>17</v>
      </c>
      <c r="S480" t="s">
        <v>18</v>
      </c>
      <c r="W480" t="s">
        <v>25</v>
      </c>
      <c r="X480" t="s">
        <v>23</v>
      </c>
      <c r="Y480" t="e">
        <f>+_xlfn.XLOOKUP(tbl_encuesta[[#This Row],[Considero a Limtek como un buen lugar para trabajar]],#REF!,#REF!)</f>
        <v>#REF!</v>
      </c>
      <c r="Z480" t="s">
        <v>1276</v>
      </c>
      <c r="AA480" t="s">
        <v>1277</v>
      </c>
      <c r="AB480" t="s">
        <v>581</v>
      </c>
      <c r="AC480" s="3" t="s">
        <v>3716</v>
      </c>
      <c r="AD480" s="3" t="s">
        <v>814</v>
      </c>
      <c r="AE480" t="s">
        <v>29</v>
      </c>
    </row>
    <row r="481" spans="1:31" x14ac:dyDescent="0.25">
      <c r="A481">
        <v>119031082324</v>
      </c>
      <c r="B481">
        <v>462598545</v>
      </c>
      <c r="C481" s="1">
        <v>46027.471678240741</v>
      </c>
      <c r="D481" s="1">
        <v>46027.473958333336</v>
      </c>
      <c r="E481" t="s">
        <v>1278</v>
      </c>
      <c r="F481" t="s">
        <v>23</v>
      </c>
      <c r="G481" t="e">
        <f>+_xlfn.XLOOKUP(tbl_encuesta[[#This Row],[Me siento a gusto con el ambiente de trabajo que se genera en mi equipo.]],#REF!,#REF!)</f>
        <v>#REF!</v>
      </c>
      <c r="H481" t="s">
        <v>23</v>
      </c>
      <c r="I481" t="e">
        <f>+_xlfn.XLOOKUP(tbl_encuesta[[#This Row],[Me siento motivado a dar lo mejor de mí y hacer un buen trabajo]],#REF!,#REF!)</f>
        <v>#REF!</v>
      </c>
      <c r="J481" t="s">
        <v>23</v>
      </c>
      <c r="K481" t="e">
        <f>+_xlfn.XLOOKUP(tbl_encuesta[[#This Row],[Mi supervisor o jefe directo me otorga el soporte que necesito para afrontar cualquier problema que afecte mi trabajo]],#REF!,#REF!)</f>
        <v>#REF!</v>
      </c>
      <c r="L481" t="s">
        <v>23</v>
      </c>
      <c r="M481" t="e">
        <f>+_xlfn.XLOOKUP(tbl_encuesta[[#This Row],[Mi supervisor o jefe directo fomenta que nos apoyemos entre todos en el equipo]],#REF!,#REF!)</f>
        <v>#REF!</v>
      </c>
      <c r="N481" t="s">
        <v>23</v>
      </c>
      <c r="O481" t="e">
        <f>+_xlfn.XLOOKUP(tbl_encuesta[[#This Row],[Siento que mi trabajo es reconocido por mi supervisor o jefe directo.]],#REF!,#REF!)</f>
        <v>#REF!</v>
      </c>
      <c r="P481" t="s">
        <v>31</v>
      </c>
      <c r="Q481" t="e">
        <f xml:space="preserve">
_xlfn.XLOOKUP(
tbl_encuesta[[#This Row],[Mi supervisor o jefe directo nos brinda charlas de 5 minutos y comunica las novedades relevantes a mi puesto de trabajo]],#REF!,#REF!
)</f>
        <v>#REF!</v>
      </c>
      <c r="R481" t="s">
        <v>17</v>
      </c>
      <c r="W481" t="s">
        <v>25</v>
      </c>
      <c r="X481" t="s">
        <v>23</v>
      </c>
      <c r="Y481" t="e">
        <f>+_xlfn.XLOOKUP(tbl_encuesta[[#This Row],[Considero a Limtek como un buen lugar para trabajar]],#REF!,#REF!)</f>
        <v>#REF!</v>
      </c>
      <c r="Z481" t="s">
        <v>1279</v>
      </c>
      <c r="AA481" t="s">
        <v>1280</v>
      </c>
      <c r="AB481" t="s">
        <v>59</v>
      </c>
      <c r="AC481" s="3" t="s">
        <v>3610</v>
      </c>
      <c r="AD481" s="3" t="s">
        <v>3664</v>
      </c>
      <c r="AE481" t="s">
        <v>55</v>
      </c>
    </row>
    <row r="482" spans="1:31" x14ac:dyDescent="0.25">
      <c r="A482">
        <v>119031079222</v>
      </c>
      <c r="B482">
        <v>462598545</v>
      </c>
      <c r="C482" s="1">
        <v>46027.469513888886</v>
      </c>
      <c r="D482" s="1">
        <v>46027.471273148149</v>
      </c>
      <c r="E482" t="s">
        <v>1281</v>
      </c>
      <c r="F482" t="s">
        <v>23</v>
      </c>
      <c r="G482" t="e">
        <f>+_xlfn.XLOOKUP(tbl_encuesta[[#This Row],[Me siento a gusto con el ambiente de trabajo que se genera en mi equipo.]],#REF!,#REF!)</f>
        <v>#REF!</v>
      </c>
      <c r="H482" t="s">
        <v>23</v>
      </c>
      <c r="I482" t="e">
        <f>+_xlfn.XLOOKUP(tbl_encuesta[[#This Row],[Me siento motivado a dar lo mejor de mí y hacer un buen trabajo]],#REF!,#REF!)</f>
        <v>#REF!</v>
      </c>
      <c r="J482" t="s">
        <v>23</v>
      </c>
      <c r="K482" t="e">
        <f>+_xlfn.XLOOKUP(tbl_encuesta[[#This Row],[Mi supervisor o jefe directo me otorga el soporte que necesito para afrontar cualquier problema que afecte mi trabajo]],#REF!,#REF!)</f>
        <v>#REF!</v>
      </c>
      <c r="L482" t="s">
        <v>23</v>
      </c>
      <c r="M482" t="e">
        <f>+_xlfn.XLOOKUP(tbl_encuesta[[#This Row],[Mi supervisor o jefe directo fomenta que nos apoyemos entre todos en el equipo]],#REF!,#REF!)</f>
        <v>#REF!</v>
      </c>
      <c r="N482" t="s">
        <v>23</v>
      </c>
      <c r="O482" t="e">
        <f>+_xlfn.XLOOKUP(tbl_encuesta[[#This Row],[Siento que mi trabajo es reconocido por mi supervisor o jefe directo.]],#REF!,#REF!)</f>
        <v>#REF!</v>
      </c>
      <c r="P482" t="s">
        <v>31</v>
      </c>
      <c r="Q482" t="e">
        <f xml:space="preserve">
_xlfn.XLOOKUP(
tbl_encuesta[[#This Row],[Mi supervisor o jefe directo nos brinda charlas de 5 minutos y comunica las novedades relevantes a mi puesto de trabajo]],#REF!,#REF!
)</f>
        <v>#REF!</v>
      </c>
      <c r="R482" t="s">
        <v>17</v>
      </c>
      <c r="S482" t="s">
        <v>18</v>
      </c>
      <c r="W482" t="s">
        <v>25</v>
      </c>
      <c r="X482" t="s">
        <v>23</v>
      </c>
      <c r="Y482" t="e">
        <f>+_xlfn.XLOOKUP(tbl_encuesta[[#This Row],[Considero a Limtek como un buen lugar para trabajar]],#REF!,#REF!)</f>
        <v>#REF!</v>
      </c>
      <c r="Z482" t="s">
        <v>641</v>
      </c>
      <c r="AA482" t="s">
        <v>1282</v>
      </c>
      <c r="AB482" t="s">
        <v>581</v>
      </c>
      <c r="AC482" s="3" t="s">
        <v>3716</v>
      </c>
      <c r="AD482" s="3" t="s">
        <v>814</v>
      </c>
      <c r="AE482" t="s">
        <v>29</v>
      </c>
    </row>
    <row r="483" spans="1:31" x14ac:dyDescent="0.25">
      <c r="A483">
        <v>119031077339</v>
      </c>
      <c r="B483">
        <v>462598545</v>
      </c>
      <c r="C483" s="1">
        <v>46027.461851851855</v>
      </c>
      <c r="D483" s="1">
        <v>46027.469467592593</v>
      </c>
      <c r="E483" t="s">
        <v>1140</v>
      </c>
      <c r="F483" t="s">
        <v>23</v>
      </c>
      <c r="G483" t="e">
        <f>+_xlfn.XLOOKUP(tbl_encuesta[[#This Row],[Me siento a gusto con el ambiente de trabajo que se genera en mi equipo.]],#REF!,#REF!)</f>
        <v>#REF!</v>
      </c>
      <c r="H483" t="s">
        <v>23</v>
      </c>
      <c r="I483" t="e">
        <f>+_xlfn.XLOOKUP(tbl_encuesta[[#This Row],[Me siento motivado a dar lo mejor de mí y hacer un buen trabajo]],#REF!,#REF!)</f>
        <v>#REF!</v>
      </c>
      <c r="J483" t="s">
        <v>23</v>
      </c>
      <c r="K483" t="e">
        <f>+_xlfn.XLOOKUP(tbl_encuesta[[#This Row],[Mi supervisor o jefe directo me otorga el soporte que necesito para afrontar cualquier problema que afecte mi trabajo]],#REF!,#REF!)</f>
        <v>#REF!</v>
      </c>
      <c r="L483" t="s">
        <v>23</v>
      </c>
      <c r="M483" t="e">
        <f>+_xlfn.XLOOKUP(tbl_encuesta[[#This Row],[Mi supervisor o jefe directo fomenta que nos apoyemos entre todos en el equipo]],#REF!,#REF!)</f>
        <v>#REF!</v>
      </c>
      <c r="N483" t="s">
        <v>23</v>
      </c>
      <c r="O483" t="e">
        <f>+_xlfn.XLOOKUP(tbl_encuesta[[#This Row],[Siento que mi trabajo es reconocido por mi supervisor o jefe directo.]],#REF!,#REF!)</f>
        <v>#REF!</v>
      </c>
      <c r="P483" t="s">
        <v>31</v>
      </c>
      <c r="Q483" t="e">
        <f xml:space="preserve">
_xlfn.XLOOKUP(
tbl_encuesta[[#This Row],[Mi supervisor o jefe directo nos brinda charlas de 5 minutos y comunica las novedades relevantes a mi puesto de trabajo]],#REF!,#REF!
)</f>
        <v>#REF!</v>
      </c>
      <c r="V483" t="s">
        <v>1283</v>
      </c>
      <c r="W483" t="s">
        <v>25</v>
      </c>
      <c r="X483" t="s">
        <v>23</v>
      </c>
      <c r="Y483" t="e">
        <f>+_xlfn.XLOOKUP(tbl_encuesta[[#This Row],[Considero a Limtek como un buen lugar para trabajar]],#REF!,#REF!)</f>
        <v>#REF!</v>
      </c>
      <c r="Z483" t="s">
        <v>1284</v>
      </c>
      <c r="AA483" t="s">
        <v>380</v>
      </c>
      <c r="AB483" t="s">
        <v>720</v>
      </c>
      <c r="AC483" t="s">
        <v>3744</v>
      </c>
      <c r="AD483" t="s">
        <v>3744</v>
      </c>
      <c r="AE483" t="s">
        <v>69</v>
      </c>
    </row>
    <row r="484" spans="1:31" x14ac:dyDescent="0.25">
      <c r="A484">
        <v>119031077302</v>
      </c>
      <c r="B484">
        <v>462598545</v>
      </c>
      <c r="C484" s="1">
        <v>46027.467824074076</v>
      </c>
      <c r="D484" s="1">
        <v>46027.469421296293</v>
      </c>
      <c r="E484" t="s">
        <v>1285</v>
      </c>
      <c r="F484" t="s">
        <v>23</v>
      </c>
      <c r="G484" t="e">
        <f>+_xlfn.XLOOKUP(tbl_encuesta[[#This Row],[Me siento a gusto con el ambiente de trabajo que se genera en mi equipo.]],#REF!,#REF!)</f>
        <v>#REF!</v>
      </c>
      <c r="H484" t="s">
        <v>23</v>
      </c>
      <c r="I484" t="e">
        <f>+_xlfn.XLOOKUP(tbl_encuesta[[#This Row],[Me siento motivado a dar lo mejor de mí y hacer un buen trabajo]],#REF!,#REF!)</f>
        <v>#REF!</v>
      </c>
      <c r="J484" t="s">
        <v>23</v>
      </c>
      <c r="K484" t="e">
        <f>+_xlfn.XLOOKUP(tbl_encuesta[[#This Row],[Mi supervisor o jefe directo me otorga el soporte que necesito para afrontar cualquier problema que afecte mi trabajo]],#REF!,#REF!)</f>
        <v>#REF!</v>
      </c>
      <c r="L484" t="s">
        <v>23</v>
      </c>
      <c r="M484" t="e">
        <f>+_xlfn.XLOOKUP(tbl_encuesta[[#This Row],[Mi supervisor o jefe directo fomenta que nos apoyemos entre todos en el equipo]],#REF!,#REF!)</f>
        <v>#REF!</v>
      </c>
      <c r="N484" t="s">
        <v>23</v>
      </c>
      <c r="O484" t="e">
        <f>+_xlfn.XLOOKUP(tbl_encuesta[[#This Row],[Siento que mi trabajo es reconocido por mi supervisor o jefe directo.]],#REF!,#REF!)</f>
        <v>#REF!</v>
      </c>
      <c r="P484" t="s">
        <v>31</v>
      </c>
      <c r="Q484" t="e">
        <f xml:space="preserve">
_xlfn.XLOOKUP(
tbl_encuesta[[#This Row],[Mi supervisor o jefe directo nos brinda charlas de 5 minutos y comunica las novedades relevantes a mi puesto de trabajo]],#REF!,#REF!
)</f>
        <v>#REF!</v>
      </c>
      <c r="U484" t="s">
        <v>20</v>
      </c>
      <c r="W484" t="s">
        <v>25</v>
      </c>
      <c r="X484" t="s">
        <v>23</v>
      </c>
      <c r="Y484" t="e">
        <f>+_xlfn.XLOOKUP(tbl_encuesta[[#This Row],[Considero a Limtek como un buen lugar para trabajar]],#REF!,#REF!)</f>
        <v>#REF!</v>
      </c>
      <c r="Z484" t="s">
        <v>145</v>
      </c>
      <c r="AA484" t="s">
        <v>1286</v>
      </c>
      <c r="AB484" t="s">
        <v>581</v>
      </c>
      <c r="AC484" s="3" t="s">
        <v>3610</v>
      </c>
      <c r="AD484" s="3" t="s">
        <v>3665</v>
      </c>
      <c r="AE484" t="s">
        <v>61</v>
      </c>
    </row>
    <row r="485" spans="1:31" x14ac:dyDescent="0.25">
      <c r="A485">
        <v>119031076568</v>
      </c>
      <c r="B485">
        <v>462598545</v>
      </c>
      <c r="C485" s="1">
        <v>46027.46466435185</v>
      </c>
      <c r="D485" s="1">
        <v>46027.4687037037</v>
      </c>
      <c r="E485" t="s">
        <v>1287</v>
      </c>
      <c r="F485" t="s">
        <v>23</v>
      </c>
      <c r="G485" t="e">
        <f>+_xlfn.XLOOKUP(tbl_encuesta[[#This Row],[Me siento a gusto con el ambiente de trabajo que se genera en mi equipo.]],#REF!,#REF!)</f>
        <v>#REF!</v>
      </c>
      <c r="H485" t="s">
        <v>23</v>
      </c>
      <c r="I485" t="e">
        <f>+_xlfn.XLOOKUP(tbl_encuesta[[#This Row],[Me siento motivado a dar lo mejor de mí y hacer un buen trabajo]],#REF!,#REF!)</f>
        <v>#REF!</v>
      </c>
      <c r="J485" t="s">
        <v>23</v>
      </c>
      <c r="K485" t="e">
        <f>+_xlfn.XLOOKUP(tbl_encuesta[[#This Row],[Mi supervisor o jefe directo me otorga el soporte que necesito para afrontar cualquier problema que afecte mi trabajo]],#REF!,#REF!)</f>
        <v>#REF!</v>
      </c>
      <c r="L485" t="s">
        <v>23</v>
      </c>
      <c r="M485" t="e">
        <f>+_xlfn.XLOOKUP(tbl_encuesta[[#This Row],[Mi supervisor o jefe directo fomenta que nos apoyemos entre todos en el equipo]],#REF!,#REF!)</f>
        <v>#REF!</v>
      </c>
      <c r="N485" t="s">
        <v>22</v>
      </c>
      <c r="O485" t="e">
        <f>+_xlfn.XLOOKUP(tbl_encuesta[[#This Row],[Siento que mi trabajo es reconocido por mi supervisor o jefe directo.]],#REF!,#REF!)</f>
        <v>#REF!</v>
      </c>
      <c r="P485" t="s">
        <v>31</v>
      </c>
      <c r="Q485" t="e">
        <f xml:space="preserve">
_xlfn.XLOOKUP(
tbl_encuesta[[#This Row],[Mi supervisor o jefe directo nos brinda charlas de 5 minutos y comunica las novedades relevantes a mi puesto de trabajo]],#REF!,#REF!
)</f>
        <v>#REF!</v>
      </c>
      <c r="R485" t="s">
        <v>17</v>
      </c>
      <c r="S485" t="s">
        <v>18</v>
      </c>
      <c r="W485" t="s">
        <v>25</v>
      </c>
      <c r="X485" t="s">
        <v>23</v>
      </c>
      <c r="Y485" t="e">
        <f>+_xlfn.XLOOKUP(tbl_encuesta[[#This Row],[Considero a Limtek como un buen lugar para trabajar]],#REF!,#REF!)</f>
        <v>#REF!</v>
      </c>
      <c r="Z485" t="s">
        <v>1288</v>
      </c>
      <c r="AA485" t="s">
        <v>37</v>
      </c>
      <c r="AB485" t="s">
        <v>581</v>
      </c>
      <c r="AC485" t="s">
        <v>3744</v>
      </c>
      <c r="AD485" t="s">
        <v>3744</v>
      </c>
      <c r="AE485" t="s">
        <v>29</v>
      </c>
    </row>
    <row r="486" spans="1:31" x14ac:dyDescent="0.25">
      <c r="A486">
        <v>119031075951</v>
      </c>
      <c r="B486">
        <v>462598545</v>
      </c>
      <c r="C486" s="1">
        <v>46027.462893518517</v>
      </c>
      <c r="D486" s="1">
        <v>46027.468078703707</v>
      </c>
      <c r="E486" t="s">
        <v>1289</v>
      </c>
      <c r="F486" t="s">
        <v>23</v>
      </c>
      <c r="G486" t="e">
        <f>+_xlfn.XLOOKUP(tbl_encuesta[[#This Row],[Me siento a gusto con el ambiente de trabajo que se genera en mi equipo.]],#REF!,#REF!)</f>
        <v>#REF!</v>
      </c>
      <c r="H486" t="s">
        <v>23</v>
      </c>
      <c r="I486" t="e">
        <f>+_xlfn.XLOOKUP(tbl_encuesta[[#This Row],[Me siento motivado a dar lo mejor de mí y hacer un buen trabajo]],#REF!,#REF!)</f>
        <v>#REF!</v>
      </c>
      <c r="J486" t="s">
        <v>23</v>
      </c>
      <c r="K486" t="e">
        <f>+_xlfn.XLOOKUP(tbl_encuesta[[#This Row],[Mi supervisor o jefe directo me otorga el soporte que necesito para afrontar cualquier problema que afecte mi trabajo]],#REF!,#REF!)</f>
        <v>#REF!</v>
      </c>
      <c r="L486" t="s">
        <v>23</v>
      </c>
      <c r="M486" t="e">
        <f>+_xlfn.XLOOKUP(tbl_encuesta[[#This Row],[Mi supervisor o jefe directo fomenta que nos apoyemos entre todos en el equipo]],#REF!,#REF!)</f>
        <v>#REF!</v>
      </c>
      <c r="N486" t="s">
        <v>23</v>
      </c>
      <c r="O486" t="e">
        <f>+_xlfn.XLOOKUP(tbl_encuesta[[#This Row],[Siento que mi trabajo es reconocido por mi supervisor o jefe directo.]],#REF!,#REF!)</f>
        <v>#REF!</v>
      </c>
      <c r="P486" t="s">
        <v>31</v>
      </c>
      <c r="Q486" t="e">
        <f xml:space="preserve">
_xlfn.XLOOKUP(
tbl_encuesta[[#This Row],[Mi supervisor o jefe directo nos brinda charlas de 5 minutos y comunica las novedades relevantes a mi puesto de trabajo]],#REF!,#REF!
)</f>
        <v>#REF!</v>
      </c>
      <c r="R486" t="s">
        <v>17</v>
      </c>
      <c r="U486" t="s">
        <v>20</v>
      </c>
      <c r="W486" t="s">
        <v>25</v>
      </c>
      <c r="X486" t="s">
        <v>23</v>
      </c>
      <c r="Y486" t="e">
        <f>+_xlfn.XLOOKUP(tbl_encuesta[[#This Row],[Considero a Limtek como un buen lugar para trabajar]],#REF!,#REF!)</f>
        <v>#REF!</v>
      </c>
      <c r="Z486" t="s">
        <v>1290</v>
      </c>
      <c r="AA486" t="s">
        <v>1291</v>
      </c>
      <c r="AB486" t="s">
        <v>581</v>
      </c>
      <c r="AC486" s="3" t="s">
        <v>3716</v>
      </c>
      <c r="AD486" s="3" t="s">
        <v>3716</v>
      </c>
      <c r="AE486" t="s">
        <v>29</v>
      </c>
    </row>
    <row r="487" spans="1:31" x14ac:dyDescent="0.25">
      <c r="A487">
        <v>119030993302</v>
      </c>
      <c r="B487">
        <v>462598545</v>
      </c>
      <c r="C487" s="1">
        <v>46027.383460648147</v>
      </c>
      <c r="D487" s="1">
        <v>46027.385555555556</v>
      </c>
      <c r="E487" t="s">
        <v>1292</v>
      </c>
      <c r="F487" t="s">
        <v>23</v>
      </c>
      <c r="G487" t="e">
        <f>+_xlfn.XLOOKUP(tbl_encuesta[[#This Row],[Me siento a gusto con el ambiente de trabajo que se genera en mi equipo.]],#REF!,#REF!)</f>
        <v>#REF!</v>
      </c>
      <c r="H487" t="s">
        <v>23</v>
      </c>
      <c r="I487" t="e">
        <f>+_xlfn.XLOOKUP(tbl_encuesta[[#This Row],[Me siento motivado a dar lo mejor de mí y hacer un buen trabajo]],#REF!,#REF!)</f>
        <v>#REF!</v>
      </c>
      <c r="J487" t="s">
        <v>23</v>
      </c>
      <c r="K487" t="e">
        <f>+_xlfn.XLOOKUP(tbl_encuesta[[#This Row],[Mi supervisor o jefe directo me otorga el soporte que necesito para afrontar cualquier problema que afecte mi trabajo]],#REF!,#REF!)</f>
        <v>#REF!</v>
      </c>
      <c r="L487" t="s">
        <v>22</v>
      </c>
      <c r="M487" t="e">
        <f>+_xlfn.XLOOKUP(tbl_encuesta[[#This Row],[Mi supervisor o jefe directo fomenta que nos apoyemos entre todos en el equipo]],#REF!,#REF!)</f>
        <v>#REF!</v>
      </c>
      <c r="N487" t="s">
        <v>22</v>
      </c>
      <c r="O487" t="e">
        <f>+_xlfn.XLOOKUP(tbl_encuesta[[#This Row],[Siento que mi trabajo es reconocido por mi supervisor o jefe directo.]],#REF!,#REF!)</f>
        <v>#REF!</v>
      </c>
      <c r="P487" t="s">
        <v>31</v>
      </c>
      <c r="Q487" t="e">
        <f xml:space="preserve">
_xlfn.XLOOKUP(
tbl_encuesta[[#This Row],[Mi supervisor o jefe directo nos brinda charlas de 5 minutos y comunica las novedades relevantes a mi puesto de trabajo]],#REF!,#REF!
)</f>
        <v>#REF!</v>
      </c>
      <c r="S487" t="s">
        <v>18</v>
      </c>
      <c r="T487" t="s">
        <v>19</v>
      </c>
      <c r="W487" t="s">
        <v>25</v>
      </c>
      <c r="X487" t="s">
        <v>23</v>
      </c>
      <c r="Y487" t="e">
        <f>+_xlfn.XLOOKUP(tbl_encuesta[[#This Row],[Considero a Limtek como un buen lugar para trabajar]],#REF!,#REF!)</f>
        <v>#REF!</v>
      </c>
      <c r="Z487" t="s">
        <v>351</v>
      </c>
      <c r="AA487" t="s">
        <v>1293</v>
      </c>
      <c r="AB487" t="s">
        <v>28</v>
      </c>
      <c r="AC487" s="3" t="s">
        <v>3834</v>
      </c>
      <c r="AD487" s="3" t="s">
        <v>3834</v>
      </c>
      <c r="AE487" t="s">
        <v>61</v>
      </c>
    </row>
    <row r="488" spans="1:31" x14ac:dyDescent="0.25">
      <c r="A488">
        <v>119030879724</v>
      </c>
      <c r="B488">
        <v>462598545</v>
      </c>
      <c r="C488" s="1">
        <v>46027.194699074076</v>
      </c>
      <c r="D488" s="1">
        <v>46027.203009259261</v>
      </c>
      <c r="E488" t="s">
        <v>737</v>
      </c>
      <c r="F488" t="s">
        <v>22</v>
      </c>
      <c r="G488" t="e">
        <f>+_xlfn.XLOOKUP(tbl_encuesta[[#This Row],[Me siento a gusto con el ambiente de trabajo que se genera en mi equipo.]],#REF!,#REF!)</f>
        <v>#REF!</v>
      </c>
      <c r="H488" t="s">
        <v>23</v>
      </c>
      <c r="I488" t="e">
        <f>+_xlfn.XLOOKUP(tbl_encuesta[[#This Row],[Me siento motivado a dar lo mejor de mí y hacer un buen trabajo]],#REF!,#REF!)</f>
        <v>#REF!</v>
      </c>
      <c r="J488" t="s">
        <v>23</v>
      </c>
      <c r="K488" t="e">
        <f>+_xlfn.XLOOKUP(tbl_encuesta[[#This Row],[Mi supervisor o jefe directo me otorga el soporte que necesito para afrontar cualquier problema que afecte mi trabajo]],#REF!,#REF!)</f>
        <v>#REF!</v>
      </c>
      <c r="L488" t="s">
        <v>23</v>
      </c>
      <c r="M488" t="e">
        <f>+_xlfn.XLOOKUP(tbl_encuesta[[#This Row],[Mi supervisor o jefe directo fomenta que nos apoyemos entre todos en el equipo]],#REF!,#REF!)</f>
        <v>#REF!</v>
      </c>
      <c r="N488" t="s">
        <v>23</v>
      </c>
      <c r="O488" t="e">
        <f>+_xlfn.XLOOKUP(tbl_encuesta[[#This Row],[Siento que mi trabajo es reconocido por mi supervisor o jefe directo.]],#REF!,#REF!)</f>
        <v>#REF!</v>
      </c>
      <c r="P488" t="s">
        <v>31</v>
      </c>
      <c r="Q488" t="e">
        <f xml:space="preserve">
_xlfn.XLOOKUP(
tbl_encuesta[[#This Row],[Mi supervisor o jefe directo nos brinda charlas de 5 minutos y comunica las novedades relevantes a mi puesto de trabajo]],#REF!,#REF!
)</f>
        <v>#REF!</v>
      </c>
      <c r="R488" t="s">
        <v>17</v>
      </c>
      <c r="S488" t="s">
        <v>18</v>
      </c>
      <c r="W488" t="s">
        <v>25</v>
      </c>
      <c r="X488" t="s">
        <v>23</v>
      </c>
      <c r="Y488" t="e">
        <f>+_xlfn.XLOOKUP(tbl_encuesta[[#This Row],[Considero a Limtek como un buen lugar para trabajar]],#REF!,#REF!)</f>
        <v>#REF!</v>
      </c>
      <c r="Z488" t="s">
        <v>794</v>
      </c>
      <c r="AA488" t="s">
        <v>1294</v>
      </c>
      <c r="AB488" t="s">
        <v>726</v>
      </c>
      <c r="AC488" s="3" t="s">
        <v>3716</v>
      </c>
      <c r="AD488" s="3" t="s">
        <v>3708</v>
      </c>
      <c r="AE488" t="s">
        <v>69</v>
      </c>
    </row>
    <row r="489" spans="1:31" x14ac:dyDescent="0.25">
      <c r="A489">
        <v>119030608645</v>
      </c>
      <c r="B489">
        <v>462598545</v>
      </c>
      <c r="C489" s="1">
        <v>46026.566099537034</v>
      </c>
      <c r="D489" s="1">
        <v>46026.569085648145</v>
      </c>
      <c r="E489" t="s">
        <v>1295</v>
      </c>
      <c r="F489" t="s">
        <v>22</v>
      </c>
      <c r="G489" t="e">
        <f>+_xlfn.XLOOKUP(tbl_encuesta[[#This Row],[Me siento a gusto con el ambiente de trabajo que se genera en mi equipo.]],#REF!,#REF!)</f>
        <v>#REF!</v>
      </c>
      <c r="H489" t="s">
        <v>23</v>
      </c>
      <c r="I489" t="e">
        <f>+_xlfn.XLOOKUP(tbl_encuesta[[#This Row],[Me siento motivado a dar lo mejor de mí y hacer un buen trabajo]],#REF!,#REF!)</f>
        <v>#REF!</v>
      </c>
      <c r="J489" t="s">
        <v>23</v>
      </c>
      <c r="K489" t="e">
        <f>+_xlfn.XLOOKUP(tbl_encuesta[[#This Row],[Mi supervisor o jefe directo me otorga el soporte que necesito para afrontar cualquier problema que afecte mi trabajo]],#REF!,#REF!)</f>
        <v>#REF!</v>
      </c>
      <c r="L489" t="s">
        <v>23</v>
      </c>
      <c r="M489" t="e">
        <f>+_xlfn.XLOOKUP(tbl_encuesta[[#This Row],[Mi supervisor o jefe directo fomenta que nos apoyemos entre todos en el equipo]],#REF!,#REF!)</f>
        <v>#REF!</v>
      </c>
      <c r="N489" t="s">
        <v>97</v>
      </c>
      <c r="O489" t="e">
        <f>+_xlfn.XLOOKUP(tbl_encuesta[[#This Row],[Siento que mi trabajo es reconocido por mi supervisor o jefe directo.]],#REF!,#REF!)</f>
        <v>#REF!</v>
      </c>
      <c r="P489" t="s">
        <v>31</v>
      </c>
      <c r="Q489" t="e">
        <f xml:space="preserve">
_xlfn.XLOOKUP(
tbl_encuesta[[#This Row],[Mi supervisor o jefe directo nos brinda charlas de 5 minutos y comunica las novedades relevantes a mi puesto de trabajo]],#REF!,#REF!
)</f>
        <v>#REF!</v>
      </c>
      <c r="R489" t="s">
        <v>17</v>
      </c>
      <c r="U489" t="s">
        <v>20</v>
      </c>
      <c r="W489" t="s">
        <v>25</v>
      </c>
      <c r="X489" t="s">
        <v>22</v>
      </c>
      <c r="Y489" t="e">
        <f>+_xlfn.XLOOKUP(tbl_encuesta[[#This Row],[Considero a Limtek como un buen lugar para trabajar]],#REF!,#REF!)</f>
        <v>#REF!</v>
      </c>
      <c r="Z489" t="s">
        <v>304</v>
      </c>
      <c r="AA489" t="s">
        <v>1296</v>
      </c>
      <c r="AB489" t="s">
        <v>59</v>
      </c>
      <c r="AC489" s="3" t="s">
        <v>3716</v>
      </c>
      <c r="AD489" s="3" t="s">
        <v>3708</v>
      </c>
      <c r="AE489" t="s">
        <v>29</v>
      </c>
    </row>
    <row r="490" spans="1:31" x14ac:dyDescent="0.25">
      <c r="A490">
        <v>119030177527</v>
      </c>
      <c r="B490">
        <v>462598545</v>
      </c>
      <c r="C490" s="1">
        <v>46025.942245370374</v>
      </c>
      <c r="D490" s="1">
        <v>46025.948437500003</v>
      </c>
      <c r="E490" t="s">
        <v>1297</v>
      </c>
      <c r="F490" t="s">
        <v>23</v>
      </c>
      <c r="G490" t="e">
        <f>+_xlfn.XLOOKUP(tbl_encuesta[[#This Row],[Me siento a gusto con el ambiente de trabajo que se genera en mi equipo.]],#REF!,#REF!)</f>
        <v>#REF!</v>
      </c>
      <c r="H490" t="s">
        <v>23</v>
      </c>
      <c r="I490" t="e">
        <f>+_xlfn.XLOOKUP(tbl_encuesta[[#This Row],[Me siento motivado a dar lo mejor de mí y hacer un buen trabajo]],#REF!,#REF!)</f>
        <v>#REF!</v>
      </c>
      <c r="J490" t="s">
        <v>23</v>
      </c>
      <c r="K490" t="e">
        <f>+_xlfn.XLOOKUP(tbl_encuesta[[#This Row],[Mi supervisor o jefe directo me otorga el soporte que necesito para afrontar cualquier problema que afecte mi trabajo]],#REF!,#REF!)</f>
        <v>#REF!</v>
      </c>
      <c r="L490" t="s">
        <v>23</v>
      </c>
      <c r="M490" t="e">
        <f>+_xlfn.XLOOKUP(tbl_encuesta[[#This Row],[Mi supervisor o jefe directo fomenta que nos apoyemos entre todos en el equipo]],#REF!,#REF!)</f>
        <v>#REF!</v>
      </c>
      <c r="N490" t="s">
        <v>23</v>
      </c>
      <c r="O490" t="e">
        <f>+_xlfn.XLOOKUP(tbl_encuesta[[#This Row],[Siento que mi trabajo es reconocido por mi supervisor o jefe directo.]],#REF!,#REF!)</f>
        <v>#REF!</v>
      </c>
      <c r="P490" t="s">
        <v>31</v>
      </c>
      <c r="Q490" t="e">
        <f xml:space="preserve">
_xlfn.XLOOKUP(
tbl_encuesta[[#This Row],[Mi supervisor o jefe directo nos brinda charlas de 5 minutos y comunica las novedades relevantes a mi puesto de trabajo]],#REF!,#REF!
)</f>
        <v>#REF!</v>
      </c>
      <c r="R490" t="s">
        <v>17</v>
      </c>
      <c r="S490" t="s">
        <v>18</v>
      </c>
      <c r="W490" t="s">
        <v>25</v>
      </c>
      <c r="X490" t="s">
        <v>23</v>
      </c>
      <c r="Y490" t="e">
        <f>+_xlfn.XLOOKUP(tbl_encuesta[[#This Row],[Considero a Limtek como un buen lugar para trabajar]],#REF!,#REF!)</f>
        <v>#REF!</v>
      </c>
      <c r="Z490" t="s">
        <v>1298</v>
      </c>
      <c r="AA490" t="s">
        <v>1299</v>
      </c>
      <c r="AB490" t="s">
        <v>883</v>
      </c>
      <c r="AC490" s="3" t="s">
        <v>3716</v>
      </c>
      <c r="AD490" s="3" t="s">
        <v>3719</v>
      </c>
      <c r="AE490" t="s">
        <v>69</v>
      </c>
    </row>
    <row r="491" spans="1:31" x14ac:dyDescent="0.25">
      <c r="A491">
        <v>119029782989</v>
      </c>
      <c r="B491">
        <v>462598545</v>
      </c>
      <c r="C491" s="1">
        <v>46025.270694444444</v>
      </c>
      <c r="D491" s="1">
        <v>46025.274305555555</v>
      </c>
      <c r="E491" t="s">
        <v>1300</v>
      </c>
      <c r="F491" t="s">
        <v>23</v>
      </c>
      <c r="G491" t="e">
        <f>+_xlfn.XLOOKUP(tbl_encuesta[[#This Row],[Me siento a gusto con el ambiente de trabajo que se genera en mi equipo.]],#REF!,#REF!)</f>
        <v>#REF!</v>
      </c>
      <c r="H491" t="s">
        <v>23</v>
      </c>
      <c r="I491" t="e">
        <f>+_xlfn.XLOOKUP(tbl_encuesta[[#This Row],[Me siento motivado a dar lo mejor de mí y hacer un buen trabajo]],#REF!,#REF!)</f>
        <v>#REF!</v>
      </c>
      <c r="J491" t="s">
        <v>23</v>
      </c>
      <c r="K491" t="e">
        <f>+_xlfn.XLOOKUP(tbl_encuesta[[#This Row],[Mi supervisor o jefe directo me otorga el soporte que necesito para afrontar cualquier problema que afecte mi trabajo]],#REF!,#REF!)</f>
        <v>#REF!</v>
      </c>
      <c r="L491" t="s">
        <v>23</v>
      </c>
      <c r="M491" t="e">
        <f>+_xlfn.XLOOKUP(tbl_encuesta[[#This Row],[Mi supervisor o jefe directo fomenta que nos apoyemos entre todos en el equipo]],#REF!,#REF!)</f>
        <v>#REF!</v>
      </c>
      <c r="N491" t="s">
        <v>23</v>
      </c>
      <c r="O491" t="e">
        <f>+_xlfn.XLOOKUP(tbl_encuesta[[#This Row],[Siento que mi trabajo es reconocido por mi supervisor o jefe directo.]],#REF!,#REF!)</f>
        <v>#REF!</v>
      </c>
      <c r="P491" t="s">
        <v>31</v>
      </c>
      <c r="Q491" t="e">
        <f xml:space="preserve">
_xlfn.XLOOKUP(
tbl_encuesta[[#This Row],[Mi supervisor o jefe directo nos brinda charlas de 5 minutos y comunica las novedades relevantes a mi puesto de trabajo]],#REF!,#REF!
)</f>
        <v>#REF!</v>
      </c>
      <c r="R491" t="s">
        <v>17</v>
      </c>
      <c r="T491" t="s">
        <v>19</v>
      </c>
      <c r="W491" t="s">
        <v>25</v>
      </c>
      <c r="X491" t="s">
        <v>22</v>
      </c>
      <c r="Y491" t="e">
        <f>+_xlfn.XLOOKUP(tbl_encuesta[[#This Row],[Considero a Limtek como un buen lugar para trabajar]],#REF!,#REF!)</f>
        <v>#REF!</v>
      </c>
      <c r="Z491" t="s">
        <v>1301</v>
      </c>
      <c r="AA491" t="s">
        <v>1302</v>
      </c>
      <c r="AB491" t="s">
        <v>28</v>
      </c>
      <c r="AC491" s="3" t="s">
        <v>3705</v>
      </c>
      <c r="AD491" s="3" t="s">
        <v>3709</v>
      </c>
      <c r="AE491" t="s">
        <v>34</v>
      </c>
    </row>
    <row r="492" spans="1:31" x14ac:dyDescent="0.25">
      <c r="A492">
        <v>119029780046</v>
      </c>
      <c r="B492">
        <v>462598545</v>
      </c>
      <c r="C492" s="1">
        <v>46025.262233796297</v>
      </c>
      <c r="D492" s="1">
        <v>46025.265625</v>
      </c>
      <c r="E492" t="s">
        <v>1300</v>
      </c>
      <c r="F492" t="s">
        <v>23</v>
      </c>
      <c r="G492" t="e">
        <f>+_xlfn.XLOOKUP(tbl_encuesta[[#This Row],[Me siento a gusto con el ambiente de trabajo que se genera en mi equipo.]],#REF!,#REF!)</f>
        <v>#REF!</v>
      </c>
      <c r="H492" t="s">
        <v>23</v>
      </c>
      <c r="I492" t="e">
        <f>+_xlfn.XLOOKUP(tbl_encuesta[[#This Row],[Me siento motivado a dar lo mejor de mí y hacer un buen trabajo]],#REF!,#REF!)</f>
        <v>#REF!</v>
      </c>
      <c r="J492" t="s">
        <v>23</v>
      </c>
      <c r="K492" t="e">
        <f>+_xlfn.XLOOKUP(tbl_encuesta[[#This Row],[Mi supervisor o jefe directo me otorga el soporte que necesito para afrontar cualquier problema que afecte mi trabajo]],#REF!,#REF!)</f>
        <v>#REF!</v>
      </c>
      <c r="L492" t="s">
        <v>23</v>
      </c>
      <c r="M492" t="e">
        <f>+_xlfn.XLOOKUP(tbl_encuesta[[#This Row],[Mi supervisor o jefe directo fomenta que nos apoyemos entre todos en el equipo]],#REF!,#REF!)</f>
        <v>#REF!</v>
      </c>
      <c r="N492" t="s">
        <v>22</v>
      </c>
      <c r="O492" t="e">
        <f>+_xlfn.XLOOKUP(tbl_encuesta[[#This Row],[Siento que mi trabajo es reconocido por mi supervisor o jefe directo.]],#REF!,#REF!)</f>
        <v>#REF!</v>
      </c>
      <c r="P492" t="s">
        <v>31</v>
      </c>
      <c r="Q492" t="e">
        <f xml:space="preserve">
_xlfn.XLOOKUP(
tbl_encuesta[[#This Row],[Mi supervisor o jefe directo nos brinda charlas de 5 minutos y comunica las novedades relevantes a mi puesto de trabajo]],#REF!,#REF!
)</f>
        <v>#REF!</v>
      </c>
      <c r="R492" t="s">
        <v>17</v>
      </c>
      <c r="W492" t="s">
        <v>25</v>
      </c>
      <c r="X492" t="s">
        <v>22</v>
      </c>
      <c r="Y492" t="e">
        <f>+_xlfn.XLOOKUP(tbl_encuesta[[#This Row],[Considero a Limtek como un buen lugar para trabajar]],#REF!,#REF!)</f>
        <v>#REF!</v>
      </c>
      <c r="Z492" t="s">
        <v>1303</v>
      </c>
      <c r="AA492" t="s">
        <v>1304</v>
      </c>
      <c r="AB492" t="s">
        <v>28</v>
      </c>
      <c r="AC492" s="3" t="s">
        <v>3705</v>
      </c>
      <c r="AD492" s="3" t="s">
        <v>3709</v>
      </c>
      <c r="AE492" t="s">
        <v>61</v>
      </c>
    </row>
    <row r="493" spans="1:31" x14ac:dyDescent="0.25">
      <c r="A493">
        <v>119029690485</v>
      </c>
      <c r="B493">
        <v>462598545</v>
      </c>
      <c r="C493" s="1">
        <v>46024.953645833331</v>
      </c>
      <c r="D493" s="1">
        <v>46024.955393518518</v>
      </c>
      <c r="E493" t="s">
        <v>1305</v>
      </c>
      <c r="F493" t="s">
        <v>23</v>
      </c>
      <c r="G493" t="e">
        <f>+_xlfn.XLOOKUP(tbl_encuesta[[#This Row],[Me siento a gusto con el ambiente de trabajo que se genera en mi equipo.]],#REF!,#REF!)</f>
        <v>#REF!</v>
      </c>
      <c r="H493" t="s">
        <v>23</v>
      </c>
      <c r="I493" t="e">
        <f>+_xlfn.XLOOKUP(tbl_encuesta[[#This Row],[Me siento motivado a dar lo mejor de mí y hacer un buen trabajo]],#REF!,#REF!)</f>
        <v>#REF!</v>
      </c>
      <c r="J493" t="s">
        <v>23</v>
      </c>
      <c r="K493" t="e">
        <f>+_xlfn.XLOOKUP(tbl_encuesta[[#This Row],[Mi supervisor o jefe directo me otorga el soporte que necesito para afrontar cualquier problema que afecte mi trabajo]],#REF!,#REF!)</f>
        <v>#REF!</v>
      </c>
      <c r="L493" t="s">
        <v>23</v>
      </c>
      <c r="M493" t="e">
        <f>+_xlfn.XLOOKUP(tbl_encuesta[[#This Row],[Mi supervisor o jefe directo fomenta que nos apoyemos entre todos en el equipo]],#REF!,#REF!)</f>
        <v>#REF!</v>
      </c>
      <c r="N493" t="s">
        <v>23</v>
      </c>
      <c r="O493" t="e">
        <f>+_xlfn.XLOOKUP(tbl_encuesta[[#This Row],[Siento que mi trabajo es reconocido por mi supervisor o jefe directo.]],#REF!,#REF!)</f>
        <v>#REF!</v>
      </c>
      <c r="P493" t="s">
        <v>31</v>
      </c>
      <c r="Q493" t="e">
        <f xml:space="preserve">
_xlfn.XLOOKUP(
tbl_encuesta[[#This Row],[Mi supervisor o jefe directo nos brinda charlas de 5 minutos y comunica las novedades relevantes a mi puesto de trabajo]],#REF!,#REF!
)</f>
        <v>#REF!</v>
      </c>
      <c r="R493" t="s">
        <v>17</v>
      </c>
      <c r="W493" t="s">
        <v>25</v>
      </c>
      <c r="X493" t="s">
        <v>23</v>
      </c>
      <c r="Y493" t="e">
        <f>+_xlfn.XLOOKUP(tbl_encuesta[[#This Row],[Considero a Limtek como un buen lugar para trabajar]],#REF!,#REF!)</f>
        <v>#REF!</v>
      </c>
      <c r="Z493" t="s">
        <v>1306</v>
      </c>
      <c r="AA493" t="s">
        <v>1229</v>
      </c>
      <c r="AB493" t="s">
        <v>559</v>
      </c>
      <c r="AC493" t="s">
        <v>3592</v>
      </c>
      <c r="AD493" t="s">
        <v>243</v>
      </c>
      <c r="AE493" t="s">
        <v>69</v>
      </c>
    </row>
    <row r="494" spans="1:31" x14ac:dyDescent="0.25">
      <c r="A494">
        <v>119029681127</v>
      </c>
      <c r="B494">
        <v>462598545</v>
      </c>
      <c r="C494" s="1">
        <v>46024.919166666667</v>
      </c>
      <c r="D494" s="1">
        <v>46024.922754629632</v>
      </c>
      <c r="E494" t="s">
        <v>1307</v>
      </c>
      <c r="F494" t="s">
        <v>23</v>
      </c>
      <c r="G494" t="e">
        <f>+_xlfn.XLOOKUP(tbl_encuesta[[#This Row],[Me siento a gusto con el ambiente de trabajo que se genera en mi equipo.]],#REF!,#REF!)</f>
        <v>#REF!</v>
      </c>
      <c r="H494" t="s">
        <v>23</v>
      </c>
      <c r="I494" t="e">
        <f>+_xlfn.XLOOKUP(tbl_encuesta[[#This Row],[Me siento motivado a dar lo mejor de mí y hacer un buen trabajo]],#REF!,#REF!)</f>
        <v>#REF!</v>
      </c>
      <c r="J494" t="s">
        <v>97</v>
      </c>
      <c r="K494" t="e">
        <f>+_xlfn.XLOOKUP(tbl_encuesta[[#This Row],[Mi supervisor o jefe directo me otorga el soporte que necesito para afrontar cualquier problema que afecte mi trabajo]],#REF!,#REF!)</f>
        <v>#REF!</v>
      </c>
      <c r="L494" t="s">
        <v>22</v>
      </c>
      <c r="M494" t="e">
        <f>+_xlfn.XLOOKUP(tbl_encuesta[[#This Row],[Mi supervisor o jefe directo fomenta que nos apoyemos entre todos en el equipo]],#REF!,#REF!)</f>
        <v>#REF!</v>
      </c>
      <c r="N494" t="s">
        <v>22</v>
      </c>
      <c r="O494" t="e">
        <f>+_xlfn.XLOOKUP(tbl_encuesta[[#This Row],[Siento que mi trabajo es reconocido por mi supervisor o jefe directo.]],#REF!,#REF!)</f>
        <v>#REF!</v>
      </c>
      <c r="P494" t="s">
        <v>67</v>
      </c>
      <c r="Q494" t="e">
        <f xml:space="preserve">
_xlfn.XLOOKUP(
tbl_encuesta[[#This Row],[Mi supervisor o jefe directo nos brinda charlas de 5 minutos y comunica las novedades relevantes a mi puesto de trabajo]],#REF!,#REF!
)</f>
        <v>#REF!</v>
      </c>
      <c r="R494" t="s">
        <v>17</v>
      </c>
      <c r="W494" t="s">
        <v>25</v>
      </c>
      <c r="X494" t="s">
        <v>22</v>
      </c>
      <c r="Y494" t="e">
        <f>+_xlfn.XLOOKUP(tbl_encuesta[[#This Row],[Considero a Limtek como un buen lugar para trabajar]],#REF!,#REF!)</f>
        <v>#REF!</v>
      </c>
      <c r="Z494" t="s">
        <v>784</v>
      </c>
      <c r="AA494" t="s">
        <v>1308</v>
      </c>
      <c r="AB494" t="s">
        <v>619</v>
      </c>
      <c r="AC494" s="3" t="s">
        <v>3755</v>
      </c>
      <c r="AD494" s="3" t="s">
        <v>3755</v>
      </c>
      <c r="AE494" t="s">
        <v>34</v>
      </c>
    </row>
    <row r="495" spans="1:31" x14ac:dyDescent="0.25">
      <c r="A495">
        <v>119029669376</v>
      </c>
      <c r="B495">
        <v>462598545</v>
      </c>
      <c r="C495" s="1">
        <v>46024.88</v>
      </c>
      <c r="D495" s="1">
        <v>46024.886689814812</v>
      </c>
      <c r="E495" t="s">
        <v>1309</v>
      </c>
      <c r="F495" t="s">
        <v>23</v>
      </c>
      <c r="G495" t="e">
        <f>+_xlfn.XLOOKUP(tbl_encuesta[[#This Row],[Me siento a gusto con el ambiente de trabajo que se genera en mi equipo.]],#REF!,#REF!)</f>
        <v>#REF!</v>
      </c>
      <c r="H495" t="s">
        <v>23</v>
      </c>
      <c r="I495" t="e">
        <f>+_xlfn.XLOOKUP(tbl_encuesta[[#This Row],[Me siento motivado a dar lo mejor de mí y hacer un buen trabajo]],#REF!,#REF!)</f>
        <v>#REF!</v>
      </c>
      <c r="J495" t="s">
        <v>23</v>
      </c>
      <c r="K495" t="e">
        <f>+_xlfn.XLOOKUP(tbl_encuesta[[#This Row],[Mi supervisor o jefe directo me otorga el soporte que necesito para afrontar cualquier problema que afecte mi trabajo]],#REF!,#REF!)</f>
        <v>#REF!</v>
      </c>
      <c r="L495" t="s">
        <v>23</v>
      </c>
      <c r="M495" t="e">
        <f>+_xlfn.XLOOKUP(tbl_encuesta[[#This Row],[Mi supervisor o jefe directo fomenta que nos apoyemos entre todos en el equipo]],#REF!,#REF!)</f>
        <v>#REF!</v>
      </c>
      <c r="N495" t="s">
        <v>23</v>
      </c>
      <c r="O495" t="e">
        <f>+_xlfn.XLOOKUP(tbl_encuesta[[#This Row],[Siento que mi trabajo es reconocido por mi supervisor o jefe directo.]],#REF!,#REF!)</f>
        <v>#REF!</v>
      </c>
      <c r="P495" t="s">
        <v>31</v>
      </c>
      <c r="Q495" t="e">
        <f xml:space="preserve">
_xlfn.XLOOKUP(
tbl_encuesta[[#This Row],[Mi supervisor o jefe directo nos brinda charlas de 5 minutos y comunica las novedades relevantes a mi puesto de trabajo]],#REF!,#REF!
)</f>
        <v>#REF!</v>
      </c>
      <c r="R495" t="s">
        <v>17</v>
      </c>
      <c r="W495" t="s">
        <v>25</v>
      </c>
      <c r="X495" t="s">
        <v>23</v>
      </c>
      <c r="Y495" t="e">
        <f>+_xlfn.XLOOKUP(tbl_encuesta[[#This Row],[Considero a Limtek como un buen lugar para trabajar]],#REF!,#REF!)</f>
        <v>#REF!</v>
      </c>
      <c r="Z495" t="s">
        <v>1310</v>
      </c>
      <c r="AA495" t="s">
        <v>1311</v>
      </c>
      <c r="AB495" t="s">
        <v>38</v>
      </c>
      <c r="AC495" s="3" t="s">
        <v>3610</v>
      </c>
      <c r="AD495" s="3" t="s">
        <v>3666</v>
      </c>
      <c r="AE495" t="s">
        <v>34</v>
      </c>
    </row>
    <row r="496" spans="1:31" x14ac:dyDescent="0.25">
      <c r="A496">
        <v>119029660611</v>
      </c>
      <c r="B496">
        <v>462598545</v>
      </c>
      <c r="C496" s="1">
        <v>46024.860543981478</v>
      </c>
      <c r="D496" s="1">
        <v>46024.862187500003</v>
      </c>
      <c r="E496" t="s">
        <v>1312</v>
      </c>
      <c r="F496" t="s">
        <v>23</v>
      </c>
      <c r="G496" t="e">
        <f>+_xlfn.XLOOKUP(tbl_encuesta[[#This Row],[Me siento a gusto con el ambiente de trabajo que se genera en mi equipo.]],#REF!,#REF!)</f>
        <v>#REF!</v>
      </c>
      <c r="H496" t="s">
        <v>23</v>
      </c>
      <c r="I496" t="e">
        <f>+_xlfn.XLOOKUP(tbl_encuesta[[#This Row],[Me siento motivado a dar lo mejor de mí y hacer un buen trabajo]],#REF!,#REF!)</f>
        <v>#REF!</v>
      </c>
      <c r="J496" t="s">
        <v>23</v>
      </c>
      <c r="K496" t="e">
        <f>+_xlfn.XLOOKUP(tbl_encuesta[[#This Row],[Mi supervisor o jefe directo me otorga el soporte que necesito para afrontar cualquier problema que afecte mi trabajo]],#REF!,#REF!)</f>
        <v>#REF!</v>
      </c>
      <c r="L496" t="s">
        <v>23</v>
      </c>
      <c r="M496" t="e">
        <f>+_xlfn.XLOOKUP(tbl_encuesta[[#This Row],[Mi supervisor o jefe directo fomenta que nos apoyemos entre todos en el equipo]],#REF!,#REF!)</f>
        <v>#REF!</v>
      </c>
      <c r="N496" t="s">
        <v>23</v>
      </c>
      <c r="O496" t="e">
        <f>+_xlfn.XLOOKUP(tbl_encuesta[[#This Row],[Siento que mi trabajo es reconocido por mi supervisor o jefe directo.]],#REF!,#REF!)</f>
        <v>#REF!</v>
      </c>
      <c r="P496" t="s">
        <v>31</v>
      </c>
      <c r="Q496" t="e">
        <f xml:space="preserve">
_xlfn.XLOOKUP(
tbl_encuesta[[#This Row],[Mi supervisor o jefe directo nos brinda charlas de 5 minutos y comunica las novedades relevantes a mi puesto de trabajo]],#REF!,#REF!
)</f>
        <v>#REF!</v>
      </c>
      <c r="R496" t="s">
        <v>17</v>
      </c>
      <c r="W496" t="s">
        <v>25</v>
      </c>
      <c r="X496" t="s">
        <v>23</v>
      </c>
      <c r="Y496" t="e">
        <f>+_xlfn.XLOOKUP(tbl_encuesta[[#This Row],[Considero a Limtek como un buen lugar para trabajar]],#REF!,#REF!)</f>
        <v>#REF!</v>
      </c>
      <c r="Z496" t="s">
        <v>1313</v>
      </c>
      <c r="AA496" t="s">
        <v>1314</v>
      </c>
      <c r="AB496" t="s">
        <v>28</v>
      </c>
      <c r="AC496" s="3" t="s">
        <v>3834</v>
      </c>
      <c r="AD496" s="3" t="s">
        <v>3834</v>
      </c>
      <c r="AE496" t="s">
        <v>29</v>
      </c>
    </row>
    <row r="497" spans="1:31" x14ac:dyDescent="0.25">
      <c r="A497">
        <v>119029546791</v>
      </c>
      <c r="B497">
        <v>462598545</v>
      </c>
      <c r="C497" s="1">
        <v>46024.597974537035</v>
      </c>
      <c r="D497" s="1">
        <v>46024.607731481483</v>
      </c>
      <c r="E497" t="s">
        <v>1315</v>
      </c>
      <c r="F497" t="s">
        <v>23</v>
      </c>
      <c r="G497" t="e">
        <f>+_xlfn.XLOOKUP(tbl_encuesta[[#This Row],[Me siento a gusto con el ambiente de trabajo que se genera en mi equipo.]],#REF!,#REF!)</f>
        <v>#REF!</v>
      </c>
      <c r="H497" t="s">
        <v>23</v>
      </c>
      <c r="I497" t="e">
        <f>+_xlfn.XLOOKUP(tbl_encuesta[[#This Row],[Me siento motivado a dar lo mejor de mí y hacer un buen trabajo]],#REF!,#REF!)</f>
        <v>#REF!</v>
      </c>
      <c r="J497" t="s">
        <v>23</v>
      </c>
      <c r="K497" t="e">
        <f>+_xlfn.XLOOKUP(tbl_encuesta[[#This Row],[Mi supervisor o jefe directo me otorga el soporte que necesito para afrontar cualquier problema que afecte mi trabajo]],#REF!,#REF!)</f>
        <v>#REF!</v>
      </c>
      <c r="L497" t="s">
        <v>22</v>
      </c>
      <c r="M497" t="e">
        <f>+_xlfn.XLOOKUP(tbl_encuesta[[#This Row],[Mi supervisor o jefe directo fomenta que nos apoyemos entre todos en el equipo]],#REF!,#REF!)</f>
        <v>#REF!</v>
      </c>
      <c r="N497" t="s">
        <v>23</v>
      </c>
      <c r="O497" t="e">
        <f>+_xlfn.XLOOKUP(tbl_encuesta[[#This Row],[Siento que mi trabajo es reconocido por mi supervisor o jefe directo.]],#REF!,#REF!)</f>
        <v>#REF!</v>
      </c>
      <c r="P497" t="s">
        <v>31</v>
      </c>
      <c r="Q497" t="e">
        <f xml:space="preserve">
_xlfn.XLOOKUP(
tbl_encuesta[[#This Row],[Mi supervisor o jefe directo nos brinda charlas de 5 minutos y comunica las novedades relevantes a mi puesto de trabajo]],#REF!,#REF!
)</f>
        <v>#REF!</v>
      </c>
      <c r="R497" t="s">
        <v>17</v>
      </c>
      <c r="T497" t="s">
        <v>19</v>
      </c>
      <c r="W497" t="s">
        <v>25</v>
      </c>
      <c r="X497" t="s">
        <v>23</v>
      </c>
      <c r="Y497" t="e">
        <f>+_xlfn.XLOOKUP(tbl_encuesta[[#This Row],[Considero a Limtek como un buen lugar para trabajar]],#REF!,#REF!)</f>
        <v>#REF!</v>
      </c>
      <c r="Z497" t="s">
        <v>1316</v>
      </c>
      <c r="AA497" t="s">
        <v>1317</v>
      </c>
      <c r="AB497" t="s">
        <v>726</v>
      </c>
      <c r="AC497" s="3" t="s">
        <v>3716</v>
      </c>
      <c r="AD497" s="3" t="s">
        <v>3708</v>
      </c>
      <c r="AE497" t="s">
        <v>69</v>
      </c>
    </row>
    <row r="498" spans="1:31" x14ac:dyDescent="0.25">
      <c r="A498">
        <v>119029544311</v>
      </c>
      <c r="B498">
        <v>462598545</v>
      </c>
      <c r="C498" s="1">
        <v>46024.598483796297</v>
      </c>
      <c r="D498" s="1">
        <v>46024.602858796294</v>
      </c>
      <c r="E498" t="s">
        <v>1315</v>
      </c>
      <c r="F498" t="s">
        <v>23</v>
      </c>
      <c r="G498" t="e">
        <f>+_xlfn.XLOOKUP(tbl_encuesta[[#This Row],[Me siento a gusto con el ambiente de trabajo que se genera en mi equipo.]],#REF!,#REF!)</f>
        <v>#REF!</v>
      </c>
      <c r="H498" t="s">
        <v>23</v>
      </c>
      <c r="I498" t="e">
        <f>+_xlfn.XLOOKUP(tbl_encuesta[[#This Row],[Me siento motivado a dar lo mejor de mí y hacer un buen trabajo]],#REF!,#REF!)</f>
        <v>#REF!</v>
      </c>
      <c r="J498" t="s">
        <v>23</v>
      </c>
      <c r="K498" t="e">
        <f>+_xlfn.XLOOKUP(tbl_encuesta[[#This Row],[Mi supervisor o jefe directo me otorga el soporte que necesito para afrontar cualquier problema que afecte mi trabajo]],#REF!,#REF!)</f>
        <v>#REF!</v>
      </c>
      <c r="L498" t="s">
        <v>23</v>
      </c>
      <c r="M498" t="e">
        <f>+_xlfn.XLOOKUP(tbl_encuesta[[#This Row],[Mi supervisor o jefe directo fomenta que nos apoyemos entre todos en el equipo]],#REF!,#REF!)</f>
        <v>#REF!</v>
      </c>
      <c r="N498" t="s">
        <v>22</v>
      </c>
      <c r="O498" t="e">
        <f>+_xlfn.XLOOKUP(tbl_encuesta[[#This Row],[Siento que mi trabajo es reconocido por mi supervisor o jefe directo.]],#REF!,#REF!)</f>
        <v>#REF!</v>
      </c>
      <c r="P498" t="s">
        <v>31</v>
      </c>
      <c r="Q498" t="e">
        <f xml:space="preserve">
_xlfn.XLOOKUP(
tbl_encuesta[[#This Row],[Mi supervisor o jefe directo nos brinda charlas de 5 minutos y comunica las novedades relevantes a mi puesto de trabajo]],#REF!,#REF!
)</f>
        <v>#REF!</v>
      </c>
      <c r="R498" t="s">
        <v>17</v>
      </c>
      <c r="T498" t="s">
        <v>19</v>
      </c>
      <c r="W498" t="s">
        <v>25</v>
      </c>
      <c r="X498" t="s">
        <v>23</v>
      </c>
      <c r="Y498" t="e">
        <f>+_xlfn.XLOOKUP(tbl_encuesta[[#This Row],[Considero a Limtek como un buen lugar para trabajar]],#REF!,#REF!)</f>
        <v>#REF!</v>
      </c>
      <c r="Z498" t="s">
        <v>1318</v>
      </c>
      <c r="AA498" t="s">
        <v>1319</v>
      </c>
      <c r="AB498" t="s">
        <v>726</v>
      </c>
      <c r="AC498" s="3" t="s">
        <v>3716</v>
      </c>
      <c r="AD498" s="3" t="s">
        <v>3708</v>
      </c>
      <c r="AE498" t="s">
        <v>69</v>
      </c>
    </row>
    <row r="499" spans="1:31" x14ac:dyDescent="0.25">
      <c r="A499">
        <v>119029541100</v>
      </c>
      <c r="B499">
        <v>462598545</v>
      </c>
      <c r="C499" s="1">
        <v>46024.590011574073</v>
      </c>
      <c r="D499" s="1">
        <v>46024.59710648148</v>
      </c>
      <c r="E499" t="s">
        <v>1320</v>
      </c>
      <c r="F499" t="s">
        <v>23</v>
      </c>
      <c r="G499" t="e">
        <f>+_xlfn.XLOOKUP(tbl_encuesta[[#This Row],[Me siento a gusto con el ambiente de trabajo que se genera en mi equipo.]],#REF!,#REF!)</f>
        <v>#REF!</v>
      </c>
      <c r="H499" t="s">
        <v>23</v>
      </c>
      <c r="I499" t="e">
        <f>+_xlfn.XLOOKUP(tbl_encuesta[[#This Row],[Me siento motivado a dar lo mejor de mí y hacer un buen trabajo]],#REF!,#REF!)</f>
        <v>#REF!</v>
      </c>
      <c r="J499" t="s">
        <v>23</v>
      </c>
      <c r="K499" t="e">
        <f>+_xlfn.XLOOKUP(tbl_encuesta[[#This Row],[Mi supervisor o jefe directo me otorga el soporte que necesito para afrontar cualquier problema que afecte mi trabajo]],#REF!,#REF!)</f>
        <v>#REF!</v>
      </c>
      <c r="L499" t="s">
        <v>23</v>
      </c>
      <c r="M499" t="e">
        <f>+_xlfn.XLOOKUP(tbl_encuesta[[#This Row],[Mi supervisor o jefe directo fomenta que nos apoyemos entre todos en el equipo]],#REF!,#REF!)</f>
        <v>#REF!</v>
      </c>
      <c r="N499" t="s">
        <v>23</v>
      </c>
      <c r="O499" t="e">
        <f>+_xlfn.XLOOKUP(tbl_encuesta[[#This Row],[Siento que mi trabajo es reconocido por mi supervisor o jefe directo.]],#REF!,#REF!)</f>
        <v>#REF!</v>
      </c>
      <c r="P499" t="s">
        <v>31</v>
      </c>
      <c r="Q499" t="e">
        <f xml:space="preserve">
_xlfn.XLOOKUP(
tbl_encuesta[[#This Row],[Mi supervisor o jefe directo nos brinda charlas de 5 minutos y comunica las novedades relevantes a mi puesto de trabajo]],#REF!,#REF!
)</f>
        <v>#REF!</v>
      </c>
      <c r="S499" t="s">
        <v>18</v>
      </c>
      <c r="W499" t="s">
        <v>25</v>
      </c>
      <c r="X499" t="s">
        <v>23</v>
      </c>
      <c r="Y499" t="e">
        <f>+_xlfn.XLOOKUP(tbl_encuesta[[#This Row],[Considero a Limtek como un buen lugar para trabajar]],#REF!,#REF!)</f>
        <v>#REF!</v>
      </c>
      <c r="Z499" t="s">
        <v>1321</v>
      </c>
      <c r="AA499" t="s">
        <v>1322</v>
      </c>
      <c r="AB499" t="s">
        <v>726</v>
      </c>
      <c r="AC499" s="3" t="s">
        <v>3716</v>
      </c>
      <c r="AD499" s="3" t="s">
        <v>3708</v>
      </c>
      <c r="AE499" t="s">
        <v>69</v>
      </c>
    </row>
    <row r="500" spans="1:31" x14ac:dyDescent="0.25">
      <c r="A500">
        <v>119029539476</v>
      </c>
      <c r="B500">
        <v>462598545</v>
      </c>
      <c r="C500" s="1">
        <v>46024.591307870367</v>
      </c>
      <c r="D500" s="1">
        <v>46024.594097222223</v>
      </c>
      <c r="E500" t="s">
        <v>1315</v>
      </c>
      <c r="F500" t="s">
        <v>23</v>
      </c>
      <c r="G500" t="e">
        <f>+_xlfn.XLOOKUP(tbl_encuesta[[#This Row],[Me siento a gusto con el ambiente de trabajo que se genera en mi equipo.]],#REF!,#REF!)</f>
        <v>#REF!</v>
      </c>
      <c r="H500" t="s">
        <v>23</v>
      </c>
      <c r="I500" t="e">
        <f>+_xlfn.XLOOKUP(tbl_encuesta[[#This Row],[Me siento motivado a dar lo mejor de mí y hacer un buen trabajo]],#REF!,#REF!)</f>
        <v>#REF!</v>
      </c>
      <c r="J500" t="s">
        <v>23</v>
      </c>
      <c r="K500" t="e">
        <f>+_xlfn.XLOOKUP(tbl_encuesta[[#This Row],[Mi supervisor o jefe directo me otorga el soporte que necesito para afrontar cualquier problema que afecte mi trabajo]],#REF!,#REF!)</f>
        <v>#REF!</v>
      </c>
      <c r="L500" t="s">
        <v>23</v>
      </c>
      <c r="M500" t="e">
        <f>+_xlfn.XLOOKUP(tbl_encuesta[[#This Row],[Mi supervisor o jefe directo fomenta que nos apoyemos entre todos en el equipo]],#REF!,#REF!)</f>
        <v>#REF!</v>
      </c>
      <c r="N500" t="s">
        <v>23</v>
      </c>
      <c r="O500" t="e">
        <f>+_xlfn.XLOOKUP(tbl_encuesta[[#This Row],[Siento que mi trabajo es reconocido por mi supervisor o jefe directo.]],#REF!,#REF!)</f>
        <v>#REF!</v>
      </c>
      <c r="P500" t="s">
        <v>31</v>
      </c>
      <c r="Q500" t="e">
        <f xml:space="preserve">
_xlfn.XLOOKUP(
tbl_encuesta[[#This Row],[Mi supervisor o jefe directo nos brinda charlas de 5 minutos y comunica las novedades relevantes a mi puesto de trabajo]],#REF!,#REF!
)</f>
        <v>#REF!</v>
      </c>
      <c r="S500" t="s">
        <v>18</v>
      </c>
      <c r="T500" t="s">
        <v>19</v>
      </c>
      <c r="W500" t="s">
        <v>25</v>
      </c>
      <c r="X500" t="s">
        <v>23</v>
      </c>
      <c r="Y500" t="e">
        <f>+_xlfn.XLOOKUP(tbl_encuesta[[#This Row],[Considero a Limtek como un buen lugar para trabajar]],#REF!,#REF!)</f>
        <v>#REF!</v>
      </c>
      <c r="Z500" t="s">
        <v>1323</v>
      </c>
      <c r="AA500" t="s">
        <v>1324</v>
      </c>
      <c r="AB500" t="s">
        <v>726</v>
      </c>
      <c r="AC500" s="3" t="s">
        <v>3716</v>
      </c>
      <c r="AD500" s="3" t="s">
        <v>3708</v>
      </c>
      <c r="AE500" t="s">
        <v>69</v>
      </c>
    </row>
    <row r="501" spans="1:31" x14ac:dyDescent="0.25">
      <c r="A501">
        <v>119029537105</v>
      </c>
      <c r="B501">
        <v>462598545</v>
      </c>
      <c r="C501" s="1">
        <v>46024.584502314814</v>
      </c>
      <c r="D501" s="1">
        <v>46024.590127314812</v>
      </c>
      <c r="E501" t="s">
        <v>1315</v>
      </c>
      <c r="F501" t="s">
        <v>23</v>
      </c>
      <c r="G501" t="e">
        <f>+_xlfn.XLOOKUP(tbl_encuesta[[#This Row],[Me siento a gusto con el ambiente de trabajo que se genera en mi equipo.]],#REF!,#REF!)</f>
        <v>#REF!</v>
      </c>
      <c r="H501" t="s">
        <v>23</v>
      </c>
      <c r="I501" t="e">
        <f>+_xlfn.XLOOKUP(tbl_encuesta[[#This Row],[Me siento motivado a dar lo mejor de mí y hacer un buen trabajo]],#REF!,#REF!)</f>
        <v>#REF!</v>
      </c>
      <c r="J501" t="s">
        <v>23</v>
      </c>
      <c r="K501" t="e">
        <f>+_xlfn.XLOOKUP(tbl_encuesta[[#This Row],[Mi supervisor o jefe directo me otorga el soporte que necesito para afrontar cualquier problema que afecte mi trabajo]],#REF!,#REF!)</f>
        <v>#REF!</v>
      </c>
      <c r="L501" t="s">
        <v>23</v>
      </c>
      <c r="M501" t="e">
        <f>+_xlfn.XLOOKUP(tbl_encuesta[[#This Row],[Mi supervisor o jefe directo fomenta que nos apoyemos entre todos en el equipo]],#REF!,#REF!)</f>
        <v>#REF!</v>
      </c>
      <c r="N501" t="s">
        <v>23</v>
      </c>
      <c r="O501" t="e">
        <f>+_xlfn.XLOOKUP(tbl_encuesta[[#This Row],[Siento que mi trabajo es reconocido por mi supervisor o jefe directo.]],#REF!,#REF!)</f>
        <v>#REF!</v>
      </c>
      <c r="P501" t="s">
        <v>31</v>
      </c>
      <c r="Q501" t="e">
        <f xml:space="preserve">
_xlfn.XLOOKUP(
tbl_encuesta[[#This Row],[Mi supervisor o jefe directo nos brinda charlas de 5 minutos y comunica las novedades relevantes a mi puesto de trabajo]],#REF!,#REF!
)</f>
        <v>#REF!</v>
      </c>
      <c r="R501" t="s">
        <v>17</v>
      </c>
      <c r="W501" t="s">
        <v>25</v>
      </c>
      <c r="X501" t="s">
        <v>23</v>
      </c>
      <c r="Y501" t="e">
        <f>+_xlfn.XLOOKUP(tbl_encuesta[[#This Row],[Considero a Limtek como un buen lugar para trabajar]],#REF!,#REF!)</f>
        <v>#REF!</v>
      </c>
      <c r="Z501" t="s">
        <v>272</v>
      </c>
      <c r="AA501" t="s">
        <v>1325</v>
      </c>
      <c r="AB501" t="s">
        <v>726</v>
      </c>
      <c r="AC501" s="3" t="s">
        <v>3716</v>
      </c>
      <c r="AD501" s="3" t="s">
        <v>3708</v>
      </c>
      <c r="AE501" t="s">
        <v>69</v>
      </c>
    </row>
    <row r="502" spans="1:31" x14ac:dyDescent="0.25">
      <c r="A502">
        <v>119029525137</v>
      </c>
      <c r="B502">
        <v>462598545</v>
      </c>
      <c r="C502" s="1">
        <v>46024.565636574072</v>
      </c>
      <c r="D502" s="1">
        <v>46024.569722222222</v>
      </c>
      <c r="E502" t="s">
        <v>1326</v>
      </c>
      <c r="F502" t="s">
        <v>23</v>
      </c>
      <c r="G502" t="e">
        <f>+_xlfn.XLOOKUP(tbl_encuesta[[#This Row],[Me siento a gusto con el ambiente de trabajo que se genera en mi equipo.]],#REF!,#REF!)</f>
        <v>#REF!</v>
      </c>
      <c r="H502" t="s">
        <v>23</v>
      </c>
      <c r="I502" t="e">
        <f>+_xlfn.XLOOKUP(tbl_encuesta[[#This Row],[Me siento motivado a dar lo mejor de mí y hacer un buen trabajo]],#REF!,#REF!)</f>
        <v>#REF!</v>
      </c>
      <c r="J502" t="s">
        <v>23</v>
      </c>
      <c r="K502" t="e">
        <f>+_xlfn.XLOOKUP(tbl_encuesta[[#This Row],[Mi supervisor o jefe directo me otorga el soporte que necesito para afrontar cualquier problema que afecte mi trabajo]],#REF!,#REF!)</f>
        <v>#REF!</v>
      </c>
      <c r="L502" t="s">
        <v>23</v>
      </c>
      <c r="M502" t="e">
        <f>+_xlfn.XLOOKUP(tbl_encuesta[[#This Row],[Mi supervisor o jefe directo fomenta que nos apoyemos entre todos en el equipo]],#REF!,#REF!)</f>
        <v>#REF!</v>
      </c>
      <c r="N502" t="s">
        <v>23</v>
      </c>
      <c r="O502" t="e">
        <f>+_xlfn.XLOOKUP(tbl_encuesta[[#This Row],[Siento que mi trabajo es reconocido por mi supervisor o jefe directo.]],#REF!,#REF!)</f>
        <v>#REF!</v>
      </c>
      <c r="P502" t="s">
        <v>31</v>
      </c>
      <c r="Q502" t="e">
        <f xml:space="preserve">
_xlfn.XLOOKUP(
tbl_encuesta[[#This Row],[Mi supervisor o jefe directo nos brinda charlas de 5 minutos y comunica las novedades relevantes a mi puesto de trabajo]],#REF!,#REF!
)</f>
        <v>#REF!</v>
      </c>
      <c r="R502" t="s">
        <v>17</v>
      </c>
      <c r="W502" t="s">
        <v>25</v>
      </c>
      <c r="X502" t="s">
        <v>23</v>
      </c>
      <c r="Y502" t="e">
        <f>+_xlfn.XLOOKUP(tbl_encuesta[[#This Row],[Considero a Limtek como un buen lugar para trabajar]],#REF!,#REF!)</f>
        <v>#REF!</v>
      </c>
      <c r="Z502" t="s">
        <v>1327</v>
      </c>
      <c r="AA502" t="s">
        <v>440</v>
      </c>
      <c r="AB502" t="s">
        <v>38</v>
      </c>
      <c r="AC502" s="3" t="s">
        <v>3769</v>
      </c>
      <c r="AD502" s="3" t="s">
        <v>38</v>
      </c>
      <c r="AE502" t="s">
        <v>34</v>
      </c>
    </row>
    <row r="503" spans="1:31" x14ac:dyDescent="0.25">
      <c r="A503">
        <v>119029521311</v>
      </c>
      <c r="B503">
        <v>462598545</v>
      </c>
      <c r="C503" s="1">
        <v>46024.560196759259</v>
      </c>
      <c r="D503" s="1">
        <v>46024.563032407408</v>
      </c>
      <c r="E503" t="s">
        <v>1328</v>
      </c>
      <c r="F503" t="s">
        <v>23</v>
      </c>
      <c r="G503" t="e">
        <f>+_xlfn.XLOOKUP(tbl_encuesta[[#This Row],[Me siento a gusto con el ambiente de trabajo que se genera en mi equipo.]],#REF!,#REF!)</f>
        <v>#REF!</v>
      </c>
      <c r="H503" t="s">
        <v>23</v>
      </c>
      <c r="I503" t="e">
        <f>+_xlfn.XLOOKUP(tbl_encuesta[[#This Row],[Me siento motivado a dar lo mejor de mí y hacer un buen trabajo]],#REF!,#REF!)</f>
        <v>#REF!</v>
      </c>
      <c r="J503" t="s">
        <v>23</v>
      </c>
      <c r="K503" t="e">
        <f>+_xlfn.XLOOKUP(tbl_encuesta[[#This Row],[Mi supervisor o jefe directo me otorga el soporte que necesito para afrontar cualquier problema que afecte mi trabajo]],#REF!,#REF!)</f>
        <v>#REF!</v>
      </c>
      <c r="L503" t="s">
        <v>23</v>
      </c>
      <c r="M503" t="e">
        <f>+_xlfn.XLOOKUP(tbl_encuesta[[#This Row],[Mi supervisor o jefe directo fomenta que nos apoyemos entre todos en el equipo]],#REF!,#REF!)</f>
        <v>#REF!</v>
      </c>
      <c r="N503" t="s">
        <v>23</v>
      </c>
      <c r="O503" t="e">
        <f>+_xlfn.XLOOKUP(tbl_encuesta[[#This Row],[Siento que mi trabajo es reconocido por mi supervisor o jefe directo.]],#REF!,#REF!)</f>
        <v>#REF!</v>
      </c>
      <c r="P503" t="s">
        <v>67</v>
      </c>
      <c r="Q503" t="e">
        <f xml:space="preserve">
_xlfn.XLOOKUP(
tbl_encuesta[[#This Row],[Mi supervisor o jefe directo nos brinda charlas de 5 minutos y comunica las novedades relevantes a mi puesto de trabajo]],#REF!,#REF!
)</f>
        <v>#REF!</v>
      </c>
      <c r="U503" t="s">
        <v>20</v>
      </c>
      <c r="W503" t="s">
        <v>25</v>
      </c>
      <c r="X503" t="s">
        <v>23</v>
      </c>
      <c r="Y503" t="e">
        <f>+_xlfn.XLOOKUP(tbl_encuesta[[#This Row],[Considero a Limtek como un buen lugar para trabajar]],#REF!,#REF!)</f>
        <v>#REF!</v>
      </c>
      <c r="Z503" t="s">
        <v>1329</v>
      </c>
      <c r="AA503" t="s">
        <v>1330</v>
      </c>
      <c r="AB503" t="s">
        <v>28</v>
      </c>
      <c r="AC503" s="3" t="s">
        <v>3845</v>
      </c>
      <c r="AD503" s="3" t="s">
        <v>3846</v>
      </c>
      <c r="AE503" t="s">
        <v>61</v>
      </c>
    </row>
    <row r="504" spans="1:31" x14ac:dyDescent="0.25">
      <c r="A504">
        <v>119029447690</v>
      </c>
      <c r="B504">
        <v>462598545</v>
      </c>
      <c r="C504" s="1">
        <v>46024.43677083333</v>
      </c>
      <c r="D504" s="1">
        <v>46024.442106481481</v>
      </c>
      <c r="E504" t="s">
        <v>1331</v>
      </c>
      <c r="F504" t="s">
        <v>23</v>
      </c>
      <c r="G504" t="e">
        <f>+_xlfn.XLOOKUP(tbl_encuesta[[#This Row],[Me siento a gusto con el ambiente de trabajo que se genera en mi equipo.]],#REF!,#REF!)</f>
        <v>#REF!</v>
      </c>
      <c r="H504" t="s">
        <v>23</v>
      </c>
      <c r="I504" t="e">
        <f>+_xlfn.XLOOKUP(tbl_encuesta[[#This Row],[Me siento motivado a dar lo mejor de mí y hacer un buen trabajo]],#REF!,#REF!)</f>
        <v>#REF!</v>
      </c>
      <c r="J504" t="s">
        <v>23</v>
      </c>
      <c r="K504" t="e">
        <f>+_xlfn.XLOOKUP(tbl_encuesta[[#This Row],[Mi supervisor o jefe directo me otorga el soporte que necesito para afrontar cualquier problema que afecte mi trabajo]],#REF!,#REF!)</f>
        <v>#REF!</v>
      </c>
      <c r="L504" t="s">
        <v>23</v>
      </c>
      <c r="M504" t="e">
        <f>+_xlfn.XLOOKUP(tbl_encuesta[[#This Row],[Mi supervisor o jefe directo fomenta que nos apoyemos entre todos en el equipo]],#REF!,#REF!)</f>
        <v>#REF!</v>
      </c>
      <c r="N504" t="s">
        <v>23</v>
      </c>
      <c r="O504" t="e">
        <f>+_xlfn.XLOOKUP(tbl_encuesta[[#This Row],[Siento que mi trabajo es reconocido por mi supervisor o jefe directo.]],#REF!,#REF!)</f>
        <v>#REF!</v>
      </c>
      <c r="P504" t="s">
        <v>67</v>
      </c>
      <c r="Q504" t="e">
        <f xml:space="preserve">
_xlfn.XLOOKUP(
tbl_encuesta[[#This Row],[Mi supervisor o jefe directo nos brinda charlas de 5 minutos y comunica las novedades relevantes a mi puesto de trabajo]],#REF!,#REF!
)</f>
        <v>#REF!</v>
      </c>
      <c r="R504" t="s">
        <v>17</v>
      </c>
      <c r="S504" t="s">
        <v>18</v>
      </c>
      <c r="W504" t="s">
        <v>25</v>
      </c>
      <c r="X504" t="s">
        <v>23</v>
      </c>
      <c r="Y504" t="e">
        <f>+_xlfn.XLOOKUP(tbl_encuesta[[#This Row],[Considero a Limtek como un buen lugar para trabajar]],#REF!,#REF!)</f>
        <v>#REF!</v>
      </c>
      <c r="Z504" t="s">
        <v>1332</v>
      </c>
      <c r="AA504" t="s">
        <v>1333</v>
      </c>
      <c r="AB504" t="s">
        <v>867</v>
      </c>
      <c r="AC504" t="s">
        <v>3744</v>
      </c>
      <c r="AD504" t="s">
        <v>3744</v>
      </c>
      <c r="AE504" t="s">
        <v>55</v>
      </c>
    </row>
    <row r="505" spans="1:31" x14ac:dyDescent="0.25">
      <c r="A505">
        <v>119029427793</v>
      </c>
      <c r="B505">
        <v>462598545</v>
      </c>
      <c r="C505" s="1">
        <v>46024.396886574075</v>
      </c>
      <c r="D505" s="1">
        <v>46024.408645833333</v>
      </c>
      <c r="E505" t="s">
        <v>1334</v>
      </c>
      <c r="F505" t="s">
        <v>23</v>
      </c>
      <c r="G505" t="e">
        <f>+_xlfn.XLOOKUP(tbl_encuesta[[#This Row],[Me siento a gusto con el ambiente de trabajo que se genera en mi equipo.]],#REF!,#REF!)</f>
        <v>#REF!</v>
      </c>
      <c r="H505" t="s">
        <v>23</v>
      </c>
      <c r="I505" t="e">
        <f>+_xlfn.XLOOKUP(tbl_encuesta[[#This Row],[Me siento motivado a dar lo mejor de mí y hacer un buen trabajo]],#REF!,#REF!)</f>
        <v>#REF!</v>
      </c>
      <c r="J505" t="s">
        <v>23</v>
      </c>
      <c r="K505" t="e">
        <f>+_xlfn.XLOOKUP(tbl_encuesta[[#This Row],[Mi supervisor o jefe directo me otorga el soporte que necesito para afrontar cualquier problema que afecte mi trabajo]],#REF!,#REF!)</f>
        <v>#REF!</v>
      </c>
      <c r="L505" t="s">
        <v>23</v>
      </c>
      <c r="M505" t="e">
        <f>+_xlfn.XLOOKUP(tbl_encuesta[[#This Row],[Mi supervisor o jefe directo fomenta que nos apoyemos entre todos en el equipo]],#REF!,#REF!)</f>
        <v>#REF!</v>
      </c>
      <c r="N505" t="s">
        <v>23</v>
      </c>
      <c r="O505" t="e">
        <f>+_xlfn.XLOOKUP(tbl_encuesta[[#This Row],[Siento que mi trabajo es reconocido por mi supervisor o jefe directo.]],#REF!,#REF!)</f>
        <v>#REF!</v>
      </c>
      <c r="P505" t="s">
        <v>31</v>
      </c>
      <c r="Q505" t="e">
        <f xml:space="preserve">
_xlfn.XLOOKUP(
tbl_encuesta[[#This Row],[Mi supervisor o jefe directo nos brinda charlas de 5 minutos y comunica las novedades relevantes a mi puesto de trabajo]],#REF!,#REF!
)</f>
        <v>#REF!</v>
      </c>
      <c r="R505" t="s">
        <v>17</v>
      </c>
      <c r="W505" t="s">
        <v>25</v>
      </c>
      <c r="X505" t="s">
        <v>23</v>
      </c>
      <c r="Y505" t="e">
        <f>+_xlfn.XLOOKUP(tbl_encuesta[[#This Row],[Considero a Limtek como un buen lugar para trabajar]],#REF!,#REF!)</f>
        <v>#REF!</v>
      </c>
      <c r="Z505" t="s">
        <v>1335</v>
      </c>
      <c r="AA505" t="s">
        <v>1336</v>
      </c>
      <c r="AB505" t="s">
        <v>726</v>
      </c>
      <c r="AC505" s="3" t="s">
        <v>3716</v>
      </c>
      <c r="AD505" s="3" t="s">
        <v>3708</v>
      </c>
      <c r="AE505" t="s">
        <v>69</v>
      </c>
    </row>
    <row r="506" spans="1:31" x14ac:dyDescent="0.25">
      <c r="A506">
        <v>119029424994</v>
      </c>
      <c r="B506">
        <v>462598545</v>
      </c>
      <c r="C506" s="1">
        <v>46024.398680555554</v>
      </c>
      <c r="D506" s="1">
        <v>46024.403425925928</v>
      </c>
      <c r="E506" t="s">
        <v>1337</v>
      </c>
      <c r="F506" t="s">
        <v>23</v>
      </c>
      <c r="G506" t="e">
        <f>+_xlfn.XLOOKUP(tbl_encuesta[[#This Row],[Me siento a gusto con el ambiente de trabajo que se genera en mi equipo.]],#REF!,#REF!)</f>
        <v>#REF!</v>
      </c>
      <c r="H506" t="s">
        <v>23</v>
      </c>
      <c r="I506" t="e">
        <f>+_xlfn.XLOOKUP(tbl_encuesta[[#This Row],[Me siento motivado a dar lo mejor de mí y hacer un buen trabajo]],#REF!,#REF!)</f>
        <v>#REF!</v>
      </c>
      <c r="J506" t="s">
        <v>23</v>
      </c>
      <c r="K506" t="e">
        <f>+_xlfn.XLOOKUP(tbl_encuesta[[#This Row],[Mi supervisor o jefe directo me otorga el soporte que necesito para afrontar cualquier problema que afecte mi trabajo]],#REF!,#REF!)</f>
        <v>#REF!</v>
      </c>
      <c r="L506" t="s">
        <v>23</v>
      </c>
      <c r="M506" t="e">
        <f>+_xlfn.XLOOKUP(tbl_encuesta[[#This Row],[Mi supervisor o jefe directo fomenta que nos apoyemos entre todos en el equipo]],#REF!,#REF!)</f>
        <v>#REF!</v>
      </c>
      <c r="N506" t="s">
        <v>23</v>
      </c>
      <c r="O506" t="e">
        <f>+_xlfn.XLOOKUP(tbl_encuesta[[#This Row],[Siento que mi trabajo es reconocido por mi supervisor o jefe directo.]],#REF!,#REF!)</f>
        <v>#REF!</v>
      </c>
      <c r="P506" t="s">
        <v>31</v>
      </c>
      <c r="Q506" t="e">
        <f xml:space="preserve">
_xlfn.XLOOKUP(
tbl_encuesta[[#This Row],[Mi supervisor o jefe directo nos brinda charlas de 5 minutos y comunica las novedades relevantes a mi puesto de trabajo]],#REF!,#REF!
)</f>
        <v>#REF!</v>
      </c>
      <c r="R506" t="s">
        <v>17</v>
      </c>
      <c r="W506" t="s">
        <v>25</v>
      </c>
      <c r="X506" t="s">
        <v>23</v>
      </c>
      <c r="Y506" t="e">
        <f>+_xlfn.XLOOKUP(tbl_encuesta[[#This Row],[Considero a Limtek como un buen lugar para trabajar]],#REF!,#REF!)</f>
        <v>#REF!</v>
      </c>
      <c r="Z506" t="s">
        <v>3744</v>
      </c>
      <c r="AA506" t="s">
        <v>37</v>
      </c>
      <c r="AB506" t="s">
        <v>867</v>
      </c>
      <c r="AC506" t="s">
        <v>3744</v>
      </c>
      <c r="AD506" t="s">
        <v>3744</v>
      </c>
      <c r="AE506" t="s">
        <v>61</v>
      </c>
    </row>
    <row r="507" spans="1:31" x14ac:dyDescent="0.25">
      <c r="A507">
        <v>119029421600</v>
      </c>
      <c r="B507">
        <v>462598545</v>
      </c>
      <c r="C507" s="1">
        <v>46024.38726851852</v>
      </c>
      <c r="D507" s="1">
        <v>46024.396990740737</v>
      </c>
      <c r="E507" t="s">
        <v>1338</v>
      </c>
      <c r="F507" t="s">
        <v>23</v>
      </c>
      <c r="G507" t="e">
        <f>+_xlfn.XLOOKUP(tbl_encuesta[[#This Row],[Me siento a gusto con el ambiente de trabajo que se genera en mi equipo.]],#REF!,#REF!)</f>
        <v>#REF!</v>
      </c>
      <c r="H507" t="s">
        <v>23</v>
      </c>
      <c r="I507" t="e">
        <f>+_xlfn.XLOOKUP(tbl_encuesta[[#This Row],[Me siento motivado a dar lo mejor de mí y hacer un buen trabajo]],#REF!,#REF!)</f>
        <v>#REF!</v>
      </c>
      <c r="J507" t="s">
        <v>23</v>
      </c>
      <c r="K507" t="e">
        <f>+_xlfn.XLOOKUP(tbl_encuesta[[#This Row],[Mi supervisor o jefe directo me otorga el soporte que necesito para afrontar cualquier problema que afecte mi trabajo]],#REF!,#REF!)</f>
        <v>#REF!</v>
      </c>
      <c r="L507" t="s">
        <v>23</v>
      </c>
      <c r="M507" t="e">
        <f>+_xlfn.XLOOKUP(tbl_encuesta[[#This Row],[Mi supervisor o jefe directo fomenta que nos apoyemos entre todos en el equipo]],#REF!,#REF!)</f>
        <v>#REF!</v>
      </c>
      <c r="N507" t="s">
        <v>22</v>
      </c>
      <c r="O507" t="e">
        <f>+_xlfn.XLOOKUP(tbl_encuesta[[#This Row],[Siento que mi trabajo es reconocido por mi supervisor o jefe directo.]],#REF!,#REF!)</f>
        <v>#REF!</v>
      </c>
      <c r="P507" t="s">
        <v>31</v>
      </c>
      <c r="Q507" t="e">
        <f xml:space="preserve">
_xlfn.XLOOKUP(
tbl_encuesta[[#This Row],[Mi supervisor o jefe directo nos brinda charlas de 5 minutos y comunica las novedades relevantes a mi puesto de trabajo]],#REF!,#REF!
)</f>
        <v>#REF!</v>
      </c>
      <c r="R507" t="s">
        <v>17</v>
      </c>
      <c r="T507" t="s">
        <v>19</v>
      </c>
      <c r="W507" t="s">
        <v>46</v>
      </c>
      <c r="X507" t="s">
        <v>23</v>
      </c>
      <c r="Y507" t="e">
        <f>+_xlfn.XLOOKUP(tbl_encuesta[[#This Row],[Considero a Limtek como un buen lugar para trabajar]],#REF!,#REF!)</f>
        <v>#REF!</v>
      </c>
      <c r="Z507" t="s">
        <v>1339</v>
      </c>
      <c r="AA507" t="s">
        <v>1340</v>
      </c>
      <c r="AB507" t="s">
        <v>563</v>
      </c>
      <c r="AC507" s="3" t="s">
        <v>3610</v>
      </c>
      <c r="AD507" s="3" t="s">
        <v>3667</v>
      </c>
      <c r="AE507" t="s">
        <v>55</v>
      </c>
    </row>
    <row r="508" spans="1:31" x14ac:dyDescent="0.25">
      <c r="A508">
        <v>119029386358</v>
      </c>
      <c r="B508">
        <v>462598545</v>
      </c>
      <c r="C508" s="1">
        <v>46024.319733796299</v>
      </c>
      <c r="D508" s="1">
        <v>46024.322928240741</v>
      </c>
      <c r="E508" t="s">
        <v>1341</v>
      </c>
      <c r="F508" t="s">
        <v>23</v>
      </c>
      <c r="G508" t="e">
        <f>+_xlfn.XLOOKUP(tbl_encuesta[[#This Row],[Me siento a gusto con el ambiente de trabajo que se genera en mi equipo.]],#REF!,#REF!)</f>
        <v>#REF!</v>
      </c>
      <c r="H508" t="s">
        <v>23</v>
      </c>
      <c r="I508" t="e">
        <f>+_xlfn.XLOOKUP(tbl_encuesta[[#This Row],[Me siento motivado a dar lo mejor de mí y hacer un buen trabajo]],#REF!,#REF!)</f>
        <v>#REF!</v>
      </c>
      <c r="J508" t="s">
        <v>23</v>
      </c>
      <c r="K508" t="e">
        <f>+_xlfn.XLOOKUP(tbl_encuesta[[#This Row],[Mi supervisor o jefe directo me otorga el soporte que necesito para afrontar cualquier problema que afecte mi trabajo]],#REF!,#REF!)</f>
        <v>#REF!</v>
      </c>
      <c r="L508" t="s">
        <v>23</v>
      </c>
      <c r="M508" t="e">
        <f>+_xlfn.XLOOKUP(tbl_encuesta[[#This Row],[Mi supervisor o jefe directo fomenta que nos apoyemos entre todos en el equipo]],#REF!,#REF!)</f>
        <v>#REF!</v>
      </c>
      <c r="N508" t="s">
        <v>23</v>
      </c>
      <c r="O508" t="e">
        <f>+_xlfn.XLOOKUP(tbl_encuesta[[#This Row],[Siento que mi trabajo es reconocido por mi supervisor o jefe directo.]],#REF!,#REF!)</f>
        <v>#REF!</v>
      </c>
      <c r="P508" t="s">
        <v>31</v>
      </c>
      <c r="Q508" t="e">
        <f xml:space="preserve">
_xlfn.XLOOKUP(
tbl_encuesta[[#This Row],[Mi supervisor o jefe directo nos brinda charlas de 5 minutos y comunica las novedades relevantes a mi puesto de trabajo]],#REF!,#REF!
)</f>
        <v>#REF!</v>
      </c>
      <c r="R508" t="s">
        <v>17</v>
      </c>
      <c r="U508" t="s">
        <v>20</v>
      </c>
      <c r="W508" t="s">
        <v>25</v>
      </c>
      <c r="X508" t="s">
        <v>23</v>
      </c>
      <c r="Y508" t="e">
        <f>+_xlfn.XLOOKUP(tbl_encuesta[[#This Row],[Considero a Limtek como un buen lugar para trabajar]],#REF!,#REF!)</f>
        <v>#REF!</v>
      </c>
      <c r="Z508" t="s">
        <v>1342</v>
      </c>
      <c r="AA508" t="s">
        <v>1343</v>
      </c>
      <c r="AB508" t="s">
        <v>38</v>
      </c>
      <c r="AC508" t="s">
        <v>3610</v>
      </c>
      <c r="AD508" t="s">
        <v>3610</v>
      </c>
      <c r="AE508" t="s">
        <v>34</v>
      </c>
    </row>
    <row r="509" spans="1:31" x14ac:dyDescent="0.25">
      <c r="A509">
        <v>119029354983</v>
      </c>
      <c r="B509">
        <v>462598545</v>
      </c>
      <c r="C509" s="1">
        <v>46024.243611111109</v>
      </c>
      <c r="D509" s="1">
        <v>46024.246006944442</v>
      </c>
      <c r="E509" t="s">
        <v>1344</v>
      </c>
      <c r="F509" t="s">
        <v>23</v>
      </c>
      <c r="G509" t="e">
        <f>+_xlfn.XLOOKUP(tbl_encuesta[[#This Row],[Me siento a gusto con el ambiente de trabajo que se genera en mi equipo.]],#REF!,#REF!)</f>
        <v>#REF!</v>
      </c>
      <c r="H509" t="s">
        <v>23</v>
      </c>
      <c r="I509" t="e">
        <f>+_xlfn.XLOOKUP(tbl_encuesta[[#This Row],[Me siento motivado a dar lo mejor de mí y hacer un buen trabajo]],#REF!,#REF!)</f>
        <v>#REF!</v>
      </c>
      <c r="J509" t="s">
        <v>23</v>
      </c>
      <c r="K509" t="e">
        <f>+_xlfn.XLOOKUP(tbl_encuesta[[#This Row],[Mi supervisor o jefe directo me otorga el soporte que necesito para afrontar cualquier problema que afecte mi trabajo]],#REF!,#REF!)</f>
        <v>#REF!</v>
      </c>
      <c r="L509" t="s">
        <v>23</v>
      </c>
      <c r="M509" t="e">
        <f>+_xlfn.XLOOKUP(tbl_encuesta[[#This Row],[Mi supervisor o jefe directo fomenta que nos apoyemos entre todos en el equipo]],#REF!,#REF!)</f>
        <v>#REF!</v>
      </c>
      <c r="N509" t="s">
        <v>23</v>
      </c>
      <c r="O509" t="e">
        <f>+_xlfn.XLOOKUP(tbl_encuesta[[#This Row],[Siento que mi trabajo es reconocido por mi supervisor o jefe directo.]],#REF!,#REF!)</f>
        <v>#REF!</v>
      </c>
      <c r="P509" t="s">
        <v>31</v>
      </c>
      <c r="Q509" t="e">
        <f xml:space="preserve">
_xlfn.XLOOKUP(
tbl_encuesta[[#This Row],[Mi supervisor o jefe directo nos brinda charlas de 5 minutos y comunica las novedades relevantes a mi puesto de trabajo]],#REF!,#REF!
)</f>
        <v>#REF!</v>
      </c>
      <c r="R509" t="s">
        <v>17</v>
      </c>
      <c r="T509" t="s">
        <v>19</v>
      </c>
      <c r="W509" t="s">
        <v>25</v>
      </c>
      <c r="X509" t="s">
        <v>23</v>
      </c>
      <c r="Y509" t="e">
        <f>+_xlfn.XLOOKUP(tbl_encuesta[[#This Row],[Considero a Limtek como un buen lugar para trabajar]],#REF!,#REF!)</f>
        <v>#REF!</v>
      </c>
      <c r="Z509" t="s">
        <v>1345</v>
      </c>
      <c r="AA509" t="s">
        <v>1346</v>
      </c>
      <c r="AB509" t="s">
        <v>563</v>
      </c>
      <c r="AC509" s="3" t="s">
        <v>3735</v>
      </c>
      <c r="AD509" s="3" t="s">
        <v>3735</v>
      </c>
      <c r="AE509" t="s">
        <v>69</v>
      </c>
    </row>
    <row r="510" spans="1:31" x14ac:dyDescent="0.25">
      <c r="A510">
        <v>119029247001</v>
      </c>
      <c r="B510">
        <v>462598545</v>
      </c>
      <c r="C510" s="1">
        <v>46023.855208333334</v>
      </c>
      <c r="D510" s="1">
        <v>46023.857488425929</v>
      </c>
      <c r="E510" t="s">
        <v>1154</v>
      </c>
      <c r="F510" t="s">
        <v>23</v>
      </c>
      <c r="G510" t="e">
        <f>+_xlfn.XLOOKUP(tbl_encuesta[[#This Row],[Me siento a gusto con el ambiente de trabajo que se genera en mi equipo.]],#REF!,#REF!)</f>
        <v>#REF!</v>
      </c>
      <c r="H510" t="s">
        <v>23</v>
      </c>
      <c r="I510" t="e">
        <f>+_xlfn.XLOOKUP(tbl_encuesta[[#This Row],[Me siento motivado a dar lo mejor de mí y hacer un buen trabajo]],#REF!,#REF!)</f>
        <v>#REF!</v>
      </c>
      <c r="J510" t="s">
        <v>23</v>
      </c>
      <c r="K510" t="e">
        <f>+_xlfn.XLOOKUP(tbl_encuesta[[#This Row],[Mi supervisor o jefe directo me otorga el soporte que necesito para afrontar cualquier problema que afecte mi trabajo]],#REF!,#REF!)</f>
        <v>#REF!</v>
      </c>
      <c r="L510" t="s">
        <v>23</v>
      </c>
      <c r="M510" t="e">
        <f>+_xlfn.XLOOKUP(tbl_encuesta[[#This Row],[Mi supervisor o jefe directo fomenta que nos apoyemos entre todos en el equipo]],#REF!,#REF!)</f>
        <v>#REF!</v>
      </c>
      <c r="N510" t="s">
        <v>23</v>
      </c>
      <c r="O510" t="e">
        <f>+_xlfn.XLOOKUP(tbl_encuesta[[#This Row],[Siento que mi trabajo es reconocido por mi supervisor o jefe directo.]],#REF!,#REF!)</f>
        <v>#REF!</v>
      </c>
      <c r="P510" t="s">
        <v>31</v>
      </c>
      <c r="Q510" t="e">
        <f xml:space="preserve">
_xlfn.XLOOKUP(
tbl_encuesta[[#This Row],[Mi supervisor o jefe directo nos brinda charlas de 5 minutos y comunica las novedades relevantes a mi puesto de trabajo]],#REF!,#REF!
)</f>
        <v>#REF!</v>
      </c>
      <c r="R510" t="s">
        <v>17</v>
      </c>
      <c r="T510" t="s">
        <v>19</v>
      </c>
      <c r="W510" t="s">
        <v>25</v>
      </c>
      <c r="X510" t="s">
        <v>23</v>
      </c>
      <c r="Y510" t="e">
        <f>+_xlfn.XLOOKUP(tbl_encuesta[[#This Row],[Considero a Limtek como un buen lugar para trabajar]],#REF!,#REF!)</f>
        <v>#REF!</v>
      </c>
      <c r="Z510" t="s">
        <v>3744</v>
      </c>
      <c r="AA510" t="s">
        <v>905</v>
      </c>
      <c r="AB510" t="s">
        <v>619</v>
      </c>
      <c r="AC510" s="3" t="s">
        <v>3768</v>
      </c>
      <c r="AD510" s="3" t="s">
        <v>3768</v>
      </c>
      <c r="AE510" t="s">
        <v>29</v>
      </c>
    </row>
    <row r="511" spans="1:31" x14ac:dyDescent="0.25">
      <c r="A511">
        <v>119029207895</v>
      </c>
      <c r="B511">
        <v>462598545</v>
      </c>
      <c r="C511" s="1">
        <v>46023.721284722225</v>
      </c>
      <c r="D511" s="1">
        <v>46023.725185185183</v>
      </c>
      <c r="E511" t="s">
        <v>1347</v>
      </c>
      <c r="F511" t="s">
        <v>23</v>
      </c>
      <c r="G511" t="e">
        <f>+_xlfn.XLOOKUP(tbl_encuesta[[#This Row],[Me siento a gusto con el ambiente de trabajo que se genera en mi equipo.]],#REF!,#REF!)</f>
        <v>#REF!</v>
      </c>
      <c r="H511" t="s">
        <v>23</v>
      </c>
      <c r="I511" t="e">
        <f>+_xlfn.XLOOKUP(tbl_encuesta[[#This Row],[Me siento motivado a dar lo mejor de mí y hacer un buen trabajo]],#REF!,#REF!)</f>
        <v>#REF!</v>
      </c>
      <c r="J511" t="s">
        <v>23</v>
      </c>
      <c r="K511" t="e">
        <f>+_xlfn.XLOOKUP(tbl_encuesta[[#This Row],[Mi supervisor o jefe directo me otorga el soporte que necesito para afrontar cualquier problema que afecte mi trabajo]],#REF!,#REF!)</f>
        <v>#REF!</v>
      </c>
      <c r="L511" t="s">
        <v>23</v>
      </c>
      <c r="M511" t="e">
        <f>+_xlfn.XLOOKUP(tbl_encuesta[[#This Row],[Mi supervisor o jefe directo fomenta que nos apoyemos entre todos en el equipo]],#REF!,#REF!)</f>
        <v>#REF!</v>
      </c>
      <c r="N511" t="s">
        <v>23</v>
      </c>
      <c r="O511" t="e">
        <f>+_xlfn.XLOOKUP(tbl_encuesta[[#This Row],[Siento que mi trabajo es reconocido por mi supervisor o jefe directo.]],#REF!,#REF!)</f>
        <v>#REF!</v>
      </c>
      <c r="P511" t="s">
        <v>31</v>
      </c>
      <c r="Q511" t="e">
        <f xml:space="preserve">
_xlfn.XLOOKUP(
tbl_encuesta[[#This Row],[Mi supervisor o jefe directo nos brinda charlas de 5 minutos y comunica las novedades relevantes a mi puesto de trabajo]],#REF!,#REF!
)</f>
        <v>#REF!</v>
      </c>
      <c r="T511" t="s">
        <v>19</v>
      </c>
      <c r="W511" t="s">
        <v>25</v>
      </c>
      <c r="X511" t="s">
        <v>23</v>
      </c>
      <c r="Y511" t="e">
        <f>+_xlfn.XLOOKUP(tbl_encuesta[[#This Row],[Considero a Limtek como un buen lugar para trabajar]],#REF!,#REF!)</f>
        <v>#REF!</v>
      </c>
      <c r="Z511" t="s">
        <v>1348</v>
      </c>
      <c r="AA511" t="s">
        <v>1349</v>
      </c>
      <c r="AB511" t="s">
        <v>726</v>
      </c>
      <c r="AC511" t="s">
        <v>3744</v>
      </c>
      <c r="AD511" t="s">
        <v>3744</v>
      </c>
      <c r="AE511" t="s">
        <v>69</v>
      </c>
    </row>
    <row r="512" spans="1:31" x14ac:dyDescent="0.25">
      <c r="A512">
        <v>119029204583</v>
      </c>
      <c r="B512">
        <v>462598545</v>
      </c>
      <c r="C512" s="1">
        <v>46023.711458333331</v>
      </c>
      <c r="D512" s="1">
        <v>46023.71366898148</v>
      </c>
      <c r="E512" t="s">
        <v>1350</v>
      </c>
      <c r="F512" t="s">
        <v>23</v>
      </c>
      <c r="G512" t="e">
        <f>+_xlfn.XLOOKUP(tbl_encuesta[[#This Row],[Me siento a gusto con el ambiente de trabajo que se genera en mi equipo.]],#REF!,#REF!)</f>
        <v>#REF!</v>
      </c>
      <c r="H512" t="s">
        <v>23</v>
      </c>
      <c r="I512" t="e">
        <f>+_xlfn.XLOOKUP(tbl_encuesta[[#This Row],[Me siento motivado a dar lo mejor de mí y hacer un buen trabajo]],#REF!,#REF!)</f>
        <v>#REF!</v>
      </c>
      <c r="J512" t="s">
        <v>23</v>
      </c>
      <c r="K512" t="e">
        <f>+_xlfn.XLOOKUP(tbl_encuesta[[#This Row],[Mi supervisor o jefe directo me otorga el soporte que necesito para afrontar cualquier problema que afecte mi trabajo]],#REF!,#REF!)</f>
        <v>#REF!</v>
      </c>
      <c r="L512" t="s">
        <v>23</v>
      </c>
      <c r="M512" t="e">
        <f>+_xlfn.XLOOKUP(tbl_encuesta[[#This Row],[Mi supervisor o jefe directo fomenta que nos apoyemos entre todos en el equipo]],#REF!,#REF!)</f>
        <v>#REF!</v>
      </c>
      <c r="N512" t="s">
        <v>23</v>
      </c>
      <c r="O512" t="e">
        <f>+_xlfn.XLOOKUP(tbl_encuesta[[#This Row],[Siento que mi trabajo es reconocido por mi supervisor o jefe directo.]],#REF!,#REF!)</f>
        <v>#REF!</v>
      </c>
      <c r="P512" t="s">
        <v>31</v>
      </c>
      <c r="Q512" t="e">
        <f xml:space="preserve">
_xlfn.XLOOKUP(
tbl_encuesta[[#This Row],[Mi supervisor o jefe directo nos brinda charlas de 5 minutos y comunica las novedades relevantes a mi puesto de trabajo]],#REF!,#REF!
)</f>
        <v>#REF!</v>
      </c>
      <c r="R512" t="s">
        <v>17</v>
      </c>
      <c r="T512" t="s">
        <v>19</v>
      </c>
      <c r="W512" t="s">
        <v>25</v>
      </c>
      <c r="X512" t="s">
        <v>23</v>
      </c>
      <c r="Y512" t="e">
        <f>+_xlfn.XLOOKUP(tbl_encuesta[[#This Row],[Considero a Limtek como un buen lugar para trabajar]],#REF!,#REF!)</f>
        <v>#REF!</v>
      </c>
      <c r="Z512" t="s">
        <v>1351</v>
      </c>
      <c r="AA512" t="s">
        <v>1352</v>
      </c>
      <c r="AB512" t="s">
        <v>883</v>
      </c>
      <c r="AC512" s="3" t="s">
        <v>3610</v>
      </c>
      <c r="AD512" s="3" t="s">
        <v>3668</v>
      </c>
      <c r="AE512" t="s">
        <v>61</v>
      </c>
    </row>
    <row r="513" spans="1:31" x14ac:dyDescent="0.25">
      <c r="A513">
        <v>119029203321</v>
      </c>
      <c r="B513">
        <v>462598545</v>
      </c>
      <c r="C513" s="1">
        <v>46023.705729166664</v>
      </c>
      <c r="D513" s="1">
        <v>46023.709444444445</v>
      </c>
      <c r="E513" t="s">
        <v>1350</v>
      </c>
      <c r="F513" t="s">
        <v>23</v>
      </c>
      <c r="G513" t="e">
        <f>+_xlfn.XLOOKUP(tbl_encuesta[[#This Row],[Me siento a gusto con el ambiente de trabajo que se genera en mi equipo.]],#REF!,#REF!)</f>
        <v>#REF!</v>
      </c>
      <c r="H513" t="s">
        <v>23</v>
      </c>
      <c r="I513" t="e">
        <f>+_xlfn.XLOOKUP(tbl_encuesta[[#This Row],[Me siento motivado a dar lo mejor de mí y hacer un buen trabajo]],#REF!,#REF!)</f>
        <v>#REF!</v>
      </c>
      <c r="J513" t="s">
        <v>23</v>
      </c>
      <c r="K513" t="e">
        <f>+_xlfn.XLOOKUP(tbl_encuesta[[#This Row],[Mi supervisor o jefe directo me otorga el soporte que necesito para afrontar cualquier problema que afecte mi trabajo]],#REF!,#REF!)</f>
        <v>#REF!</v>
      </c>
      <c r="L513" t="s">
        <v>23</v>
      </c>
      <c r="M513" t="e">
        <f>+_xlfn.XLOOKUP(tbl_encuesta[[#This Row],[Mi supervisor o jefe directo fomenta que nos apoyemos entre todos en el equipo]],#REF!,#REF!)</f>
        <v>#REF!</v>
      </c>
      <c r="N513" t="s">
        <v>23</v>
      </c>
      <c r="O513" t="e">
        <f>+_xlfn.XLOOKUP(tbl_encuesta[[#This Row],[Siento que mi trabajo es reconocido por mi supervisor o jefe directo.]],#REF!,#REF!)</f>
        <v>#REF!</v>
      </c>
      <c r="P513" t="s">
        <v>31</v>
      </c>
      <c r="Q513" t="e">
        <f xml:space="preserve">
_xlfn.XLOOKUP(
tbl_encuesta[[#This Row],[Mi supervisor o jefe directo nos brinda charlas de 5 minutos y comunica las novedades relevantes a mi puesto de trabajo]],#REF!,#REF!
)</f>
        <v>#REF!</v>
      </c>
      <c r="R513" t="s">
        <v>17</v>
      </c>
      <c r="T513" t="s">
        <v>19</v>
      </c>
      <c r="W513" t="s">
        <v>25</v>
      </c>
      <c r="X513" t="s">
        <v>23</v>
      </c>
      <c r="Y513" t="e">
        <f>+_xlfn.XLOOKUP(tbl_encuesta[[#This Row],[Considero a Limtek como un buen lugar para trabajar]],#REF!,#REF!)</f>
        <v>#REF!</v>
      </c>
      <c r="Z513" t="s">
        <v>1353</v>
      </c>
      <c r="AA513" t="s">
        <v>1354</v>
      </c>
      <c r="AB513" t="s">
        <v>883</v>
      </c>
      <c r="AC513" s="3" t="s">
        <v>3610</v>
      </c>
      <c r="AD513" s="3" t="s">
        <v>3668</v>
      </c>
      <c r="AE513" t="s">
        <v>61</v>
      </c>
    </row>
    <row r="514" spans="1:31" x14ac:dyDescent="0.25">
      <c r="A514">
        <v>119029139544</v>
      </c>
      <c r="B514">
        <v>462598545</v>
      </c>
      <c r="C514" s="1">
        <v>46023.512361111112</v>
      </c>
      <c r="D514" s="1">
        <v>46023.523298611108</v>
      </c>
      <c r="E514" t="s">
        <v>1355</v>
      </c>
      <c r="F514" t="s">
        <v>23</v>
      </c>
      <c r="G514" t="e">
        <f>+_xlfn.XLOOKUP(tbl_encuesta[[#This Row],[Me siento a gusto con el ambiente de trabajo que se genera en mi equipo.]],#REF!,#REF!)</f>
        <v>#REF!</v>
      </c>
      <c r="H514" t="s">
        <v>23</v>
      </c>
      <c r="I514" t="e">
        <f>+_xlfn.XLOOKUP(tbl_encuesta[[#This Row],[Me siento motivado a dar lo mejor de mí y hacer un buen trabajo]],#REF!,#REF!)</f>
        <v>#REF!</v>
      </c>
      <c r="J514" t="s">
        <v>23</v>
      </c>
      <c r="K514" t="e">
        <f>+_xlfn.XLOOKUP(tbl_encuesta[[#This Row],[Mi supervisor o jefe directo me otorga el soporte que necesito para afrontar cualquier problema que afecte mi trabajo]],#REF!,#REF!)</f>
        <v>#REF!</v>
      </c>
      <c r="L514" t="s">
        <v>23</v>
      </c>
      <c r="M514" t="e">
        <f>+_xlfn.XLOOKUP(tbl_encuesta[[#This Row],[Mi supervisor o jefe directo fomenta que nos apoyemos entre todos en el equipo]],#REF!,#REF!)</f>
        <v>#REF!</v>
      </c>
      <c r="N514" t="s">
        <v>23</v>
      </c>
      <c r="O514" t="e">
        <f>+_xlfn.XLOOKUP(tbl_encuesta[[#This Row],[Siento que mi trabajo es reconocido por mi supervisor o jefe directo.]],#REF!,#REF!)</f>
        <v>#REF!</v>
      </c>
      <c r="P514" t="s">
        <v>31</v>
      </c>
      <c r="Q514" t="e">
        <f xml:space="preserve">
_xlfn.XLOOKUP(
tbl_encuesta[[#This Row],[Mi supervisor o jefe directo nos brinda charlas de 5 minutos y comunica las novedades relevantes a mi puesto de trabajo]],#REF!,#REF!
)</f>
        <v>#REF!</v>
      </c>
      <c r="T514" t="s">
        <v>19</v>
      </c>
      <c r="W514" t="s">
        <v>46</v>
      </c>
      <c r="X514" t="s">
        <v>23</v>
      </c>
      <c r="Y514" t="e">
        <f>+_xlfn.XLOOKUP(tbl_encuesta[[#This Row],[Considero a Limtek como un buen lugar para trabajar]],#REF!,#REF!)</f>
        <v>#REF!</v>
      </c>
      <c r="Z514" t="s">
        <v>1356</v>
      </c>
      <c r="AA514" t="s">
        <v>1357</v>
      </c>
      <c r="AB514" t="s">
        <v>726</v>
      </c>
      <c r="AC514" s="3" t="s">
        <v>3716</v>
      </c>
      <c r="AD514" s="3" t="s">
        <v>3716</v>
      </c>
      <c r="AE514" t="s">
        <v>69</v>
      </c>
    </row>
    <row r="515" spans="1:31" x14ac:dyDescent="0.25">
      <c r="A515">
        <v>119028926132</v>
      </c>
      <c r="B515">
        <v>462598545</v>
      </c>
      <c r="C515" s="1">
        <v>46022.757175925923</v>
      </c>
      <c r="D515" s="1">
        <v>46022.75984953704</v>
      </c>
      <c r="E515" t="s">
        <v>1358</v>
      </c>
      <c r="F515" t="s">
        <v>23</v>
      </c>
      <c r="G515" t="e">
        <f>+_xlfn.XLOOKUP(tbl_encuesta[[#This Row],[Me siento a gusto con el ambiente de trabajo que se genera en mi equipo.]],#REF!,#REF!)</f>
        <v>#REF!</v>
      </c>
      <c r="H515" t="s">
        <v>23</v>
      </c>
      <c r="I515" t="e">
        <f>+_xlfn.XLOOKUP(tbl_encuesta[[#This Row],[Me siento motivado a dar lo mejor de mí y hacer un buen trabajo]],#REF!,#REF!)</f>
        <v>#REF!</v>
      </c>
      <c r="J515" t="s">
        <v>22</v>
      </c>
      <c r="K515" t="e">
        <f>+_xlfn.XLOOKUP(tbl_encuesta[[#This Row],[Mi supervisor o jefe directo me otorga el soporte que necesito para afrontar cualquier problema que afecte mi trabajo]],#REF!,#REF!)</f>
        <v>#REF!</v>
      </c>
      <c r="L515" t="s">
        <v>23</v>
      </c>
      <c r="M515" t="e">
        <f>+_xlfn.XLOOKUP(tbl_encuesta[[#This Row],[Mi supervisor o jefe directo fomenta que nos apoyemos entre todos en el equipo]],#REF!,#REF!)</f>
        <v>#REF!</v>
      </c>
      <c r="N515" t="s">
        <v>23</v>
      </c>
      <c r="O515" t="e">
        <f>+_xlfn.XLOOKUP(tbl_encuesta[[#This Row],[Siento que mi trabajo es reconocido por mi supervisor o jefe directo.]],#REF!,#REF!)</f>
        <v>#REF!</v>
      </c>
      <c r="P515" t="s">
        <v>175</v>
      </c>
      <c r="Q515" t="e">
        <f xml:space="preserve">
_xlfn.XLOOKUP(
tbl_encuesta[[#This Row],[Mi supervisor o jefe directo nos brinda charlas de 5 minutos y comunica las novedades relevantes a mi puesto de trabajo]],#REF!,#REF!
)</f>
        <v>#REF!</v>
      </c>
      <c r="S515" t="s">
        <v>18</v>
      </c>
      <c r="W515" t="s">
        <v>25</v>
      </c>
      <c r="X515" t="s">
        <v>23</v>
      </c>
      <c r="Y515" t="e">
        <f>+_xlfn.XLOOKUP(tbl_encuesta[[#This Row],[Considero a Limtek como un buen lugar para trabajar]],#REF!,#REF!)</f>
        <v>#REF!</v>
      </c>
      <c r="Z515" t="s">
        <v>113</v>
      </c>
      <c r="AA515" t="s">
        <v>1359</v>
      </c>
      <c r="AB515" t="s">
        <v>28</v>
      </c>
      <c r="AC515" t="s">
        <v>3744</v>
      </c>
      <c r="AD515" t="s">
        <v>3744</v>
      </c>
      <c r="AE515" t="s">
        <v>34</v>
      </c>
    </row>
    <row r="516" spans="1:31" x14ac:dyDescent="0.25">
      <c r="A516">
        <v>119028925612</v>
      </c>
      <c r="B516">
        <v>462598545</v>
      </c>
      <c r="C516" s="1">
        <v>46022.752627314818</v>
      </c>
      <c r="D516" s="1">
        <v>46022.758356481485</v>
      </c>
      <c r="E516" t="s">
        <v>1360</v>
      </c>
      <c r="F516" t="s">
        <v>23</v>
      </c>
      <c r="G516" t="e">
        <f>+_xlfn.XLOOKUP(tbl_encuesta[[#This Row],[Me siento a gusto con el ambiente de trabajo que se genera en mi equipo.]],#REF!,#REF!)</f>
        <v>#REF!</v>
      </c>
      <c r="H516" t="s">
        <v>23</v>
      </c>
      <c r="I516" t="e">
        <f>+_xlfn.XLOOKUP(tbl_encuesta[[#This Row],[Me siento motivado a dar lo mejor de mí y hacer un buen trabajo]],#REF!,#REF!)</f>
        <v>#REF!</v>
      </c>
      <c r="J516" t="s">
        <v>22</v>
      </c>
      <c r="K516" t="e">
        <f>+_xlfn.XLOOKUP(tbl_encuesta[[#This Row],[Mi supervisor o jefe directo me otorga el soporte que necesito para afrontar cualquier problema que afecte mi trabajo]],#REF!,#REF!)</f>
        <v>#REF!</v>
      </c>
      <c r="L516" t="s">
        <v>23</v>
      </c>
      <c r="M516" t="e">
        <f>+_xlfn.XLOOKUP(tbl_encuesta[[#This Row],[Mi supervisor o jefe directo fomenta que nos apoyemos entre todos en el equipo]],#REF!,#REF!)</f>
        <v>#REF!</v>
      </c>
      <c r="N516" t="s">
        <v>22</v>
      </c>
      <c r="O516" t="e">
        <f>+_xlfn.XLOOKUP(tbl_encuesta[[#This Row],[Siento que mi trabajo es reconocido por mi supervisor o jefe directo.]],#REF!,#REF!)</f>
        <v>#REF!</v>
      </c>
      <c r="P516" t="s">
        <v>31</v>
      </c>
      <c r="Q516" t="e">
        <f xml:space="preserve">
_xlfn.XLOOKUP(
tbl_encuesta[[#This Row],[Mi supervisor o jefe directo nos brinda charlas de 5 minutos y comunica las novedades relevantes a mi puesto de trabajo]],#REF!,#REF!
)</f>
        <v>#REF!</v>
      </c>
      <c r="S516" t="s">
        <v>18</v>
      </c>
      <c r="T516" t="s">
        <v>19</v>
      </c>
      <c r="W516" t="s">
        <v>25</v>
      </c>
      <c r="X516" t="s">
        <v>23</v>
      </c>
      <c r="Y516" t="e">
        <f>+_xlfn.XLOOKUP(tbl_encuesta[[#This Row],[Considero a Limtek como un buen lugar para trabajar]],#REF!,#REF!)</f>
        <v>#REF!</v>
      </c>
      <c r="Z516" t="s">
        <v>1361</v>
      </c>
      <c r="AA516" t="s">
        <v>1362</v>
      </c>
      <c r="AB516" t="s">
        <v>726</v>
      </c>
      <c r="AC516" s="3" t="s">
        <v>3716</v>
      </c>
      <c r="AD516" s="3" t="s">
        <v>3708</v>
      </c>
      <c r="AE516" t="s">
        <v>69</v>
      </c>
    </row>
    <row r="517" spans="1:31" x14ac:dyDescent="0.25">
      <c r="A517">
        <v>119028878408</v>
      </c>
      <c r="B517">
        <v>462598545</v>
      </c>
      <c r="C517" s="1">
        <v>46022.634814814817</v>
      </c>
      <c r="D517" s="1">
        <v>46022.637569444443</v>
      </c>
      <c r="E517" t="s">
        <v>1363</v>
      </c>
      <c r="F517" t="s">
        <v>23</v>
      </c>
      <c r="G517" t="e">
        <f>+_xlfn.XLOOKUP(tbl_encuesta[[#This Row],[Me siento a gusto con el ambiente de trabajo que se genera en mi equipo.]],#REF!,#REF!)</f>
        <v>#REF!</v>
      </c>
      <c r="H517" t="s">
        <v>23</v>
      </c>
      <c r="I517" t="e">
        <f>+_xlfn.XLOOKUP(tbl_encuesta[[#This Row],[Me siento motivado a dar lo mejor de mí y hacer un buen trabajo]],#REF!,#REF!)</f>
        <v>#REF!</v>
      </c>
      <c r="J517" t="s">
        <v>22</v>
      </c>
      <c r="K517" t="e">
        <f>+_xlfn.XLOOKUP(tbl_encuesta[[#This Row],[Mi supervisor o jefe directo me otorga el soporte que necesito para afrontar cualquier problema que afecte mi trabajo]],#REF!,#REF!)</f>
        <v>#REF!</v>
      </c>
      <c r="L517" t="s">
        <v>23</v>
      </c>
      <c r="M517" t="e">
        <f>+_xlfn.XLOOKUP(tbl_encuesta[[#This Row],[Mi supervisor o jefe directo fomenta que nos apoyemos entre todos en el equipo]],#REF!,#REF!)</f>
        <v>#REF!</v>
      </c>
      <c r="N517" t="s">
        <v>23</v>
      </c>
      <c r="O517" t="e">
        <f>+_xlfn.XLOOKUP(tbl_encuesta[[#This Row],[Siento que mi trabajo es reconocido por mi supervisor o jefe directo.]],#REF!,#REF!)</f>
        <v>#REF!</v>
      </c>
      <c r="P517" t="s">
        <v>31</v>
      </c>
      <c r="Q517" t="e">
        <f xml:space="preserve">
_xlfn.XLOOKUP(
tbl_encuesta[[#This Row],[Mi supervisor o jefe directo nos brinda charlas de 5 minutos y comunica las novedades relevantes a mi puesto de trabajo]],#REF!,#REF!
)</f>
        <v>#REF!</v>
      </c>
      <c r="R517" t="s">
        <v>17</v>
      </c>
      <c r="S517" t="s">
        <v>18</v>
      </c>
      <c r="W517" t="s">
        <v>25</v>
      </c>
      <c r="X517" t="s">
        <v>23</v>
      </c>
      <c r="Y517" t="e">
        <f>+_xlfn.XLOOKUP(tbl_encuesta[[#This Row],[Considero a Limtek como un buen lugar para trabajar]],#REF!,#REF!)</f>
        <v>#REF!</v>
      </c>
      <c r="Z517" t="s">
        <v>638</v>
      </c>
      <c r="AA517" t="s">
        <v>1364</v>
      </c>
      <c r="AB517" t="s">
        <v>28</v>
      </c>
      <c r="AC517" s="3" t="s">
        <v>3705</v>
      </c>
      <c r="AD517" s="3" t="s">
        <v>3705</v>
      </c>
      <c r="AE517" t="s">
        <v>61</v>
      </c>
    </row>
    <row r="518" spans="1:31" x14ac:dyDescent="0.25">
      <c r="A518">
        <v>119028868067</v>
      </c>
      <c r="B518">
        <v>462598545</v>
      </c>
      <c r="C518" s="1">
        <v>46022.602777777778</v>
      </c>
      <c r="D518" s="1">
        <v>46022.612291666665</v>
      </c>
      <c r="E518" t="s">
        <v>1365</v>
      </c>
      <c r="F518" t="s">
        <v>23</v>
      </c>
      <c r="G518" t="e">
        <f>+_xlfn.XLOOKUP(tbl_encuesta[[#This Row],[Me siento a gusto con el ambiente de trabajo que se genera en mi equipo.]],#REF!,#REF!)</f>
        <v>#REF!</v>
      </c>
      <c r="H518" t="s">
        <v>23</v>
      </c>
      <c r="I518" t="e">
        <f>+_xlfn.XLOOKUP(tbl_encuesta[[#This Row],[Me siento motivado a dar lo mejor de mí y hacer un buen trabajo]],#REF!,#REF!)</f>
        <v>#REF!</v>
      </c>
      <c r="J518" t="s">
        <v>23</v>
      </c>
      <c r="K518" t="e">
        <f>+_xlfn.XLOOKUP(tbl_encuesta[[#This Row],[Mi supervisor o jefe directo me otorga el soporte que necesito para afrontar cualquier problema que afecte mi trabajo]],#REF!,#REF!)</f>
        <v>#REF!</v>
      </c>
      <c r="L518" t="s">
        <v>23</v>
      </c>
      <c r="M518" t="e">
        <f>+_xlfn.XLOOKUP(tbl_encuesta[[#This Row],[Mi supervisor o jefe directo fomenta que nos apoyemos entre todos en el equipo]],#REF!,#REF!)</f>
        <v>#REF!</v>
      </c>
      <c r="N518" t="s">
        <v>23</v>
      </c>
      <c r="O518" t="e">
        <f>+_xlfn.XLOOKUP(tbl_encuesta[[#This Row],[Siento que mi trabajo es reconocido por mi supervisor o jefe directo.]],#REF!,#REF!)</f>
        <v>#REF!</v>
      </c>
      <c r="P518" t="s">
        <v>31</v>
      </c>
      <c r="Q518" t="e">
        <f xml:space="preserve">
_xlfn.XLOOKUP(
tbl_encuesta[[#This Row],[Mi supervisor o jefe directo nos brinda charlas de 5 minutos y comunica las novedades relevantes a mi puesto de trabajo]],#REF!,#REF!
)</f>
        <v>#REF!</v>
      </c>
      <c r="S518" t="s">
        <v>18</v>
      </c>
      <c r="W518" t="s">
        <v>25</v>
      </c>
      <c r="X518" t="s">
        <v>23</v>
      </c>
      <c r="Y518" t="e">
        <f>+_xlfn.XLOOKUP(tbl_encuesta[[#This Row],[Considero a Limtek como un buen lugar para trabajar]],#REF!,#REF!)</f>
        <v>#REF!</v>
      </c>
      <c r="Z518" t="s">
        <v>1366</v>
      </c>
      <c r="AA518" t="s">
        <v>1367</v>
      </c>
      <c r="AB518" t="s">
        <v>726</v>
      </c>
      <c r="AC518" s="3" t="s">
        <v>3716</v>
      </c>
      <c r="AD518" s="3" t="s">
        <v>3708</v>
      </c>
      <c r="AE518" t="s">
        <v>29</v>
      </c>
    </row>
    <row r="519" spans="1:31" x14ac:dyDescent="0.25">
      <c r="A519">
        <v>119028861191</v>
      </c>
      <c r="B519">
        <v>462598545</v>
      </c>
      <c r="C519" s="1">
        <v>46022.591412037036</v>
      </c>
      <c r="D519" s="1">
        <v>46022.596064814818</v>
      </c>
      <c r="E519" t="s">
        <v>1368</v>
      </c>
      <c r="F519" t="s">
        <v>23</v>
      </c>
      <c r="G519" t="e">
        <f>+_xlfn.XLOOKUP(tbl_encuesta[[#This Row],[Me siento a gusto con el ambiente de trabajo que se genera en mi equipo.]],#REF!,#REF!)</f>
        <v>#REF!</v>
      </c>
      <c r="H519" t="s">
        <v>23</v>
      </c>
      <c r="I519" t="e">
        <f>+_xlfn.XLOOKUP(tbl_encuesta[[#This Row],[Me siento motivado a dar lo mejor de mí y hacer un buen trabajo]],#REF!,#REF!)</f>
        <v>#REF!</v>
      </c>
      <c r="J519" t="s">
        <v>23</v>
      </c>
      <c r="K519" t="e">
        <f>+_xlfn.XLOOKUP(tbl_encuesta[[#This Row],[Mi supervisor o jefe directo me otorga el soporte que necesito para afrontar cualquier problema que afecte mi trabajo]],#REF!,#REF!)</f>
        <v>#REF!</v>
      </c>
      <c r="L519" t="s">
        <v>23</v>
      </c>
      <c r="M519" t="e">
        <f>+_xlfn.XLOOKUP(tbl_encuesta[[#This Row],[Mi supervisor o jefe directo fomenta que nos apoyemos entre todos en el equipo]],#REF!,#REF!)</f>
        <v>#REF!</v>
      </c>
      <c r="N519" t="s">
        <v>23</v>
      </c>
      <c r="O519" t="e">
        <f>+_xlfn.XLOOKUP(tbl_encuesta[[#This Row],[Siento que mi trabajo es reconocido por mi supervisor o jefe directo.]],#REF!,#REF!)</f>
        <v>#REF!</v>
      </c>
      <c r="P519" t="s">
        <v>31</v>
      </c>
      <c r="Q519" t="e">
        <f xml:space="preserve">
_xlfn.XLOOKUP(
tbl_encuesta[[#This Row],[Mi supervisor o jefe directo nos brinda charlas de 5 minutos y comunica las novedades relevantes a mi puesto de trabajo]],#REF!,#REF!
)</f>
        <v>#REF!</v>
      </c>
      <c r="R519" t="s">
        <v>17</v>
      </c>
      <c r="T519" t="s">
        <v>19</v>
      </c>
      <c r="W519" t="s">
        <v>25</v>
      </c>
      <c r="X519" t="s">
        <v>23</v>
      </c>
      <c r="Y519" t="e">
        <f>+_xlfn.XLOOKUP(tbl_encuesta[[#This Row],[Considero a Limtek como un buen lugar para trabajar]],#REF!,#REF!)</f>
        <v>#REF!</v>
      </c>
      <c r="Z519" t="s">
        <v>1369</v>
      </c>
      <c r="AA519" t="s">
        <v>380</v>
      </c>
      <c r="AB519" t="s">
        <v>65</v>
      </c>
      <c r="AC519" s="3" t="s">
        <v>3610</v>
      </c>
      <c r="AD519" s="3" t="s">
        <v>3612</v>
      </c>
      <c r="AE519" t="s">
        <v>55</v>
      </c>
    </row>
    <row r="520" spans="1:31" x14ac:dyDescent="0.25">
      <c r="A520">
        <v>119028859022</v>
      </c>
      <c r="B520">
        <v>462598545</v>
      </c>
      <c r="C520" s="1">
        <v>46022.581157407411</v>
      </c>
      <c r="D520" s="1">
        <v>46022.591238425928</v>
      </c>
      <c r="E520" t="s">
        <v>1370</v>
      </c>
      <c r="F520" t="s">
        <v>23</v>
      </c>
      <c r="G520" t="e">
        <f>+_xlfn.XLOOKUP(tbl_encuesta[[#This Row],[Me siento a gusto con el ambiente de trabajo que se genera en mi equipo.]],#REF!,#REF!)</f>
        <v>#REF!</v>
      </c>
      <c r="H520" t="s">
        <v>23</v>
      </c>
      <c r="I520" t="e">
        <f>+_xlfn.XLOOKUP(tbl_encuesta[[#This Row],[Me siento motivado a dar lo mejor de mí y hacer un buen trabajo]],#REF!,#REF!)</f>
        <v>#REF!</v>
      </c>
      <c r="J520" t="s">
        <v>23</v>
      </c>
      <c r="K520" t="e">
        <f>+_xlfn.XLOOKUP(tbl_encuesta[[#This Row],[Mi supervisor o jefe directo me otorga el soporte que necesito para afrontar cualquier problema que afecte mi trabajo]],#REF!,#REF!)</f>
        <v>#REF!</v>
      </c>
      <c r="L520" t="s">
        <v>23</v>
      </c>
      <c r="M520" t="e">
        <f>+_xlfn.XLOOKUP(tbl_encuesta[[#This Row],[Mi supervisor o jefe directo fomenta que nos apoyemos entre todos en el equipo]],#REF!,#REF!)</f>
        <v>#REF!</v>
      </c>
      <c r="N520" t="s">
        <v>23</v>
      </c>
      <c r="O520" t="e">
        <f>+_xlfn.XLOOKUP(tbl_encuesta[[#This Row],[Siento que mi trabajo es reconocido por mi supervisor o jefe directo.]],#REF!,#REF!)</f>
        <v>#REF!</v>
      </c>
      <c r="P520" t="s">
        <v>31</v>
      </c>
      <c r="Q520" t="e">
        <f xml:space="preserve">
_xlfn.XLOOKUP(
tbl_encuesta[[#This Row],[Mi supervisor o jefe directo nos brinda charlas de 5 minutos y comunica las novedades relevantes a mi puesto de trabajo]],#REF!,#REF!
)</f>
        <v>#REF!</v>
      </c>
      <c r="R520" t="s">
        <v>17</v>
      </c>
      <c r="S520" t="s">
        <v>18</v>
      </c>
      <c r="W520" t="s">
        <v>25</v>
      </c>
      <c r="X520" t="s">
        <v>23</v>
      </c>
      <c r="Y520" t="e">
        <f>+_xlfn.XLOOKUP(tbl_encuesta[[#This Row],[Considero a Limtek como un buen lugar para trabajar]],#REF!,#REF!)</f>
        <v>#REF!</v>
      </c>
      <c r="Z520" t="s">
        <v>1371</v>
      </c>
      <c r="AA520" t="s">
        <v>1372</v>
      </c>
      <c r="AB520" t="s">
        <v>704</v>
      </c>
      <c r="AC520" s="3" t="s">
        <v>3610</v>
      </c>
      <c r="AD520" s="3" t="s">
        <v>3610</v>
      </c>
      <c r="AE520" t="s">
        <v>55</v>
      </c>
    </row>
    <row r="521" spans="1:31" x14ac:dyDescent="0.25">
      <c r="A521">
        <v>119028845831</v>
      </c>
      <c r="B521">
        <v>462598545</v>
      </c>
      <c r="C521" s="1">
        <v>46022.557071759256</v>
      </c>
      <c r="D521" s="1">
        <v>46022.562210648146</v>
      </c>
      <c r="E521" t="s">
        <v>1373</v>
      </c>
      <c r="F521" t="s">
        <v>23</v>
      </c>
      <c r="G521" t="e">
        <f>+_xlfn.XLOOKUP(tbl_encuesta[[#This Row],[Me siento a gusto con el ambiente de trabajo que se genera en mi equipo.]],#REF!,#REF!)</f>
        <v>#REF!</v>
      </c>
      <c r="H521" t="s">
        <v>23</v>
      </c>
      <c r="I521" t="e">
        <f>+_xlfn.XLOOKUP(tbl_encuesta[[#This Row],[Me siento motivado a dar lo mejor de mí y hacer un buen trabajo]],#REF!,#REF!)</f>
        <v>#REF!</v>
      </c>
      <c r="J521" t="s">
        <v>23</v>
      </c>
      <c r="K521" t="e">
        <f>+_xlfn.XLOOKUP(tbl_encuesta[[#This Row],[Mi supervisor o jefe directo me otorga el soporte que necesito para afrontar cualquier problema que afecte mi trabajo]],#REF!,#REF!)</f>
        <v>#REF!</v>
      </c>
      <c r="L521" t="s">
        <v>23</v>
      </c>
      <c r="M521" t="e">
        <f>+_xlfn.XLOOKUP(tbl_encuesta[[#This Row],[Mi supervisor o jefe directo fomenta que nos apoyemos entre todos en el equipo]],#REF!,#REF!)</f>
        <v>#REF!</v>
      </c>
      <c r="N521" t="s">
        <v>22</v>
      </c>
      <c r="O521" t="e">
        <f>+_xlfn.XLOOKUP(tbl_encuesta[[#This Row],[Siento que mi trabajo es reconocido por mi supervisor o jefe directo.]],#REF!,#REF!)</f>
        <v>#REF!</v>
      </c>
      <c r="P521" t="s">
        <v>31</v>
      </c>
      <c r="Q521" t="e">
        <f xml:space="preserve">
_xlfn.XLOOKUP(
tbl_encuesta[[#This Row],[Mi supervisor o jefe directo nos brinda charlas de 5 minutos y comunica las novedades relevantes a mi puesto de trabajo]],#REF!,#REF!
)</f>
        <v>#REF!</v>
      </c>
      <c r="R521" t="s">
        <v>17</v>
      </c>
      <c r="W521" t="s">
        <v>46</v>
      </c>
      <c r="X521" t="s">
        <v>23</v>
      </c>
      <c r="Y521" t="e">
        <f>+_xlfn.XLOOKUP(tbl_encuesta[[#This Row],[Considero a Limtek como un buen lugar para trabajar]],#REF!,#REF!)</f>
        <v>#REF!</v>
      </c>
      <c r="Z521" t="s">
        <v>1374</v>
      </c>
      <c r="AA521" t="s">
        <v>1375</v>
      </c>
      <c r="AB521" t="s">
        <v>883</v>
      </c>
      <c r="AC521" s="3" t="s">
        <v>3610</v>
      </c>
      <c r="AD521" s="3" t="s">
        <v>3669</v>
      </c>
      <c r="AE521" t="s">
        <v>55</v>
      </c>
    </row>
    <row r="522" spans="1:31" x14ac:dyDescent="0.25">
      <c r="A522">
        <v>119028837907</v>
      </c>
      <c r="B522">
        <v>462598545</v>
      </c>
      <c r="C522" s="1">
        <v>46022.5390162037</v>
      </c>
      <c r="D522" s="1">
        <v>46022.545416666668</v>
      </c>
      <c r="E522" t="s">
        <v>1376</v>
      </c>
      <c r="F522" t="s">
        <v>22</v>
      </c>
      <c r="G522" t="e">
        <f>+_xlfn.XLOOKUP(tbl_encuesta[[#This Row],[Me siento a gusto con el ambiente de trabajo que se genera en mi equipo.]],#REF!,#REF!)</f>
        <v>#REF!</v>
      </c>
      <c r="H522" t="s">
        <v>23</v>
      </c>
      <c r="I522" t="e">
        <f>+_xlfn.XLOOKUP(tbl_encuesta[[#This Row],[Me siento motivado a dar lo mejor de mí y hacer un buen trabajo]],#REF!,#REF!)</f>
        <v>#REF!</v>
      </c>
      <c r="J522" t="s">
        <v>22</v>
      </c>
      <c r="K522" t="e">
        <f>+_xlfn.XLOOKUP(tbl_encuesta[[#This Row],[Mi supervisor o jefe directo me otorga el soporte que necesito para afrontar cualquier problema que afecte mi trabajo]],#REF!,#REF!)</f>
        <v>#REF!</v>
      </c>
      <c r="L522" t="s">
        <v>97</v>
      </c>
      <c r="M522" t="e">
        <f>+_xlfn.XLOOKUP(tbl_encuesta[[#This Row],[Mi supervisor o jefe directo fomenta que nos apoyemos entre todos en el equipo]],#REF!,#REF!)</f>
        <v>#REF!</v>
      </c>
      <c r="N522" t="s">
        <v>22</v>
      </c>
      <c r="O522" t="e">
        <f>+_xlfn.XLOOKUP(tbl_encuesta[[#This Row],[Siento que mi trabajo es reconocido por mi supervisor o jefe directo.]],#REF!,#REF!)</f>
        <v>#REF!</v>
      </c>
      <c r="P522" t="s">
        <v>31</v>
      </c>
      <c r="Q522" t="e">
        <f xml:space="preserve">
_xlfn.XLOOKUP(
tbl_encuesta[[#This Row],[Mi supervisor o jefe directo nos brinda charlas de 5 minutos y comunica las novedades relevantes a mi puesto de trabajo]],#REF!,#REF!
)</f>
        <v>#REF!</v>
      </c>
      <c r="S522" t="s">
        <v>18</v>
      </c>
      <c r="W522" t="s">
        <v>25</v>
      </c>
      <c r="X522" t="s">
        <v>97</v>
      </c>
      <c r="Y522" t="e">
        <f>+_xlfn.XLOOKUP(tbl_encuesta[[#This Row],[Considero a Limtek como un buen lugar para trabajar]],#REF!,#REF!)</f>
        <v>#REF!</v>
      </c>
      <c r="Z522" t="s">
        <v>1377</v>
      </c>
      <c r="AA522" t="s">
        <v>1378</v>
      </c>
      <c r="AB522" t="s">
        <v>28</v>
      </c>
      <c r="AC522" s="3" t="s">
        <v>3834</v>
      </c>
      <c r="AD522" s="3" t="s">
        <v>3834</v>
      </c>
      <c r="AE522" t="s">
        <v>69</v>
      </c>
    </row>
    <row r="523" spans="1:31" x14ac:dyDescent="0.25">
      <c r="A523">
        <v>119028833940</v>
      </c>
      <c r="B523">
        <v>462598545</v>
      </c>
      <c r="C523" s="1">
        <v>46022.532326388886</v>
      </c>
      <c r="D523" s="1">
        <v>46022.53738425926</v>
      </c>
      <c r="E523" t="s">
        <v>1379</v>
      </c>
      <c r="F523" t="s">
        <v>23</v>
      </c>
      <c r="G523" t="e">
        <f>+_xlfn.XLOOKUP(tbl_encuesta[[#This Row],[Me siento a gusto con el ambiente de trabajo que se genera en mi equipo.]],#REF!,#REF!)</f>
        <v>#REF!</v>
      </c>
      <c r="H523" t="s">
        <v>23</v>
      </c>
      <c r="I523" t="e">
        <f>+_xlfn.XLOOKUP(tbl_encuesta[[#This Row],[Me siento motivado a dar lo mejor de mí y hacer un buen trabajo]],#REF!,#REF!)</f>
        <v>#REF!</v>
      </c>
      <c r="J523" t="s">
        <v>23</v>
      </c>
      <c r="K523" t="e">
        <f>+_xlfn.XLOOKUP(tbl_encuesta[[#This Row],[Mi supervisor o jefe directo me otorga el soporte que necesito para afrontar cualquier problema que afecte mi trabajo]],#REF!,#REF!)</f>
        <v>#REF!</v>
      </c>
      <c r="L523" t="s">
        <v>23</v>
      </c>
      <c r="M523" t="e">
        <f>+_xlfn.XLOOKUP(tbl_encuesta[[#This Row],[Mi supervisor o jefe directo fomenta que nos apoyemos entre todos en el equipo]],#REF!,#REF!)</f>
        <v>#REF!</v>
      </c>
      <c r="N523" t="s">
        <v>23</v>
      </c>
      <c r="O523" t="e">
        <f>+_xlfn.XLOOKUP(tbl_encuesta[[#This Row],[Siento que mi trabajo es reconocido por mi supervisor o jefe directo.]],#REF!,#REF!)</f>
        <v>#REF!</v>
      </c>
      <c r="P523" t="s">
        <v>67</v>
      </c>
      <c r="Q523" t="e">
        <f xml:space="preserve">
_xlfn.XLOOKUP(
tbl_encuesta[[#This Row],[Mi supervisor o jefe directo nos brinda charlas de 5 minutos y comunica las novedades relevantes a mi puesto de trabajo]],#REF!,#REF!
)</f>
        <v>#REF!</v>
      </c>
      <c r="U523" t="s">
        <v>20</v>
      </c>
      <c r="W523" t="s">
        <v>25</v>
      </c>
      <c r="X523" t="s">
        <v>23</v>
      </c>
      <c r="Y523" t="e">
        <f>+_xlfn.XLOOKUP(tbl_encuesta[[#This Row],[Considero a Limtek como un buen lugar para trabajar]],#REF!,#REF!)</f>
        <v>#REF!</v>
      </c>
      <c r="Z523" t="s">
        <v>680</v>
      </c>
      <c r="AA523" t="s">
        <v>681</v>
      </c>
      <c r="AB523" t="s">
        <v>28</v>
      </c>
      <c r="AC523" s="3" t="s">
        <v>3817</v>
      </c>
      <c r="AD523" s="3" t="s">
        <v>3818</v>
      </c>
      <c r="AE523" t="s">
        <v>34</v>
      </c>
    </row>
    <row r="524" spans="1:31" x14ac:dyDescent="0.25">
      <c r="A524">
        <v>119028817444</v>
      </c>
      <c r="B524">
        <v>462598545</v>
      </c>
      <c r="C524" s="1">
        <v>46022.504965277774</v>
      </c>
      <c r="D524" s="1">
        <v>46022.509641203702</v>
      </c>
      <c r="E524" t="s">
        <v>1380</v>
      </c>
      <c r="F524" t="s">
        <v>23</v>
      </c>
      <c r="G524" t="e">
        <f>+_xlfn.XLOOKUP(tbl_encuesta[[#This Row],[Me siento a gusto con el ambiente de trabajo que se genera en mi equipo.]],#REF!,#REF!)</f>
        <v>#REF!</v>
      </c>
      <c r="H524" t="s">
        <v>23</v>
      </c>
      <c r="I524" t="e">
        <f>+_xlfn.XLOOKUP(tbl_encuesta[[#This Row],[Me siento motivado a dar lo mejor de mí y hacer un buen trabajo]],#REF!,#REF!)</f>
        <v>#REF!</v>
      </c>
      <c r="J524" t="s">
        <v>23</v>
      </c>
      <c r="K524" t="e">
        <f>+_xlfn.XLOOKUP(tbl_encuesta[[#This Row],[Mi supervisor o jefe directo me otorga el soporte que necesito para afrontar cualquier problema que afecte mi trabajo]],#REF!,#REF!)</f>
        <v>#REF!</v>
      </c>
      <c r="L524" t="s">
        <v>23</v>
      </c>
      <c r="M524" t="e">
        <f>+_xlfn.XLOOKUP(tbl_encuesta[[#This Row],[Mi supervisor o jefe directo fomenta que nos apoyemos entre todos en el equipo]],#REF!,#REF!)</f>
        <v>#REF!</v>
      </c>
      <c r="N524" t="s">
        <v>23</v>
      </c>
      <c r="O524" t="e">
        <f>+_xlfn.XLOOKUP(tbl_encuesta[[#This Row],[Siento que mi trabajo es reconocido por mi supervisor o jefe directo.]],#REF!,#REF!)</f>
        <v>#REF!</v>
      </c>
      <c r="P524" t="s">
        <v>31</v>
      </c>
      <c r="Q524" t="e">
        <f xml:space="preserve">
_xlfn.XLOOKUP(
tbl_encuesta[[#This Row],[Mi supervisor o jefe directo nos brinda charlas de 5 minutos y comunica las novedades relevantes a mi puesto de trabajo]],#REF!,#REF!
)</f>
        <v>#REF!</v>
      </c>
      <c r="R524" t="s">
        <v>17</v>
      </c>
      <c r="S524" t="s">
        <v>18</v>
      </c>
      <c r="W524" t="s">
        <v>25</v>
      </c>
      <c r="X524" t="s">
        <v>23</v>
      </c>
      <c r="Y524" t="e">
        <f>+_xlfn.XLOOKUP(tbl_encuesta[[#This Row],[Considero a Limtek como un buen lugar para trabajar]],#REF!,#REF!)</f>
        <v>#REF!</v>
      </c>
      <c r="Z524" t="s">
        <v>1381</v>
      </c>
      <c r="AA524" t="s">
        <v>1382</v>
      </c>
      <c r="AB524" t="s">
        <v>767</v>
      </c>
      <c r="AC524" s="3" t="s">
        <v>3819</v>
      </c>
      <c r="AD524" s="3" t="s">
        <v>3819</v>
      </c>
      <c r="AE524" t="s">
        <v>34</v>
      </c>
    </row>
    <row r="525" spans="1:31" x14ac:dyDescent="0.25">
      <c r="A525">
        <v>119028811724</v>
      </c>
      <c r="B525">
        <v>462598545</v>
      </c>
      <c r="C525" s="1">
        <v>46022.490879629629</v>
      </c>
      <c r="D525" s="1">
        <v>46022.50068287037</v>
      </c>
      <c r="E525" t="s">
        <v>1383</v>
      </c>
      <c r="F525" t="s">
        <v>23</v>
      </c>
      <c r="G525" t="e">
        <f>+_xlfn.XLOOKUP(tbl_encuesta[[#This Row],[Me siento a gusto con el ambiente de trabajo que se genera en mi equipo.]],#REF!,#REF!)</f>
        <v>#REF!</v>
      </c>
      <c r="H525" t="s">
        <v>23</v>
      </c>
      <c r="I525" t="e">
        <f>+_xlfn.XLOOKUP(tbl_encuesta[[#This Row],[Me siento motivado a dar lo mejor de mí y hacer un buen trabajo]],#REF!,#REF!)</f>
        <v>#REF!</v>
      </c>
      <c r="J525" t="s">
        <v>23</v>
      </c>
      <c r="K525" t="e">
        <f>+_xlfn.XLOOKUP(tbl_encuesta[[#This Row],[Mi supervisor o jefe directo me otorga el soporte que necesito para afrontar cualquier problema que afecte mi trabajo]],#REF!,#REF!)</f>
        <v>#REF!</v>
      </c>
      <c r="L525" t="s">
        <v>23</v>
      </c>
      <c r="M525" t="e">
        <f>+_xlfn.XLOOKUP(tbl_encuesta[[#This Row],[Mi supervisor o jefe directo fomenta que nos apoyemos entre todos en el equipo]],#REF!,#REF!)</f>
        <v>#REF!</v>
      </c>
      <c r="N525" t="s">
        <v>23</v>
      </c>
      <c r="O525" t="e">
        <f>+_xlfn.XLOOKUP(tbl_encuesta[[#This Row],[Siento que mi trabajo es reconocido por mi supervisor o jefe directo.]],#REF!,#REF!)</f>
        <v>#REF!</v>
      </c>
      <c r="P525" t="s">
        <v>31</v>
      </c>
      <c r="Q525" t="e">
        <f xml:space="preserve">
_xlfn.XLOOKUP(
tbl_encuesta[[#This Row],[Mi supervisor o jefe directo nos brinda charlas de 5 minutos y comunica las novedades relevantes a mi puesto de trabajo]],#REF!,#REF!
)</f>
        <v>#REF!</v>
      </c>
      <c r="R525" t="s">
        <v>17</v>
      </c>
      <c r="W525" t="s">
        <v>46</v>
      </c>
      <c r="X525" t="s">
        <v>23</v>
      </c>
      <c r="Y525" t="e">
        <f>+_xlfn.XLOOKUP(tbl_encuesta[[#This Row],[Considero a Limtek como un buen lugar para trabajar]],#REF!,#REF!)</f>
        <v>#REF!</v>
      </c>
      <c r="Z525" t="s">
        <v>1384</v>
      </c>
      <c r="AA525" t="s">
        <v>1385</v>
      </c>
      <c r="AB525" t="s">
        <v>559</v>
      </c>
      <c r="AC525" t="s">
        <v>3744</v>
      </c>
      <c r="AD525" t="s">
        <v>3744</v>
      </c>
      <c r="AE525" t="s">
        <v>55</v>
      </c>
    </row>
    <row r="526" spans="1:31" x14ac:dyDescent="0.25">
      <c r="A526">
        <v>119028792573</v>
      </c>
      <c r="B526">
        <v>462598545</v>
      </c>
      <c r="C526" s="1">
        <v>46022.459004629629</v>
      </c>
      <c r="D526" s="1">
        <v>46022.468761574077</v>
      </c>
      <c r="E526" t="s">
        <v>1386</v>
      </c>
      <c r="F526" t="s">
        <v>22</v>
      </c>
      <c r="G526" t="e">
        <f>+_xlfn.XLOOKUP(tbl_encuesta[[#This Row],[Me siento a gusto con el ambiente de trabajo que se genera en mi equipo.]],#REF!,#REF!)</f>
        <v>#REF!</v>
      </c>
      <c r="H526" t="s">
        <v>23</v>
      </c>
      <c r="I526" t="e">
        <f>+_xlfn.XLOOKUP(tbl_encuesta[[#This Row],[Me siento motivado a dar lo mejor de mí y hacer un buen trabajo]],#REF!,#REF!)</f>
        <v>#REF!</v>
      </c>
      <c r="J526" t="s">
        <v>23</v>
      </c>
      <c r="K526" t="e">
        <f>+_xlfn.XLOOKUP(tbl_encuesta[[#This Row],[Mi supervisor o jefe directo me otorga el soporte que necesito para afrontar cualquier problema que afecte mi trabajo]],#REF!,#REF!)</f>
        <v>#REF!</v>
      </c>
      <c r="L526" t="s">
        <v>23</v>
      </c>
      <c r="M526" t="e">
        <f>+_xlfn.XLOOKUP(tbl_encuesta[[#This Row],[Mi supervisor o jefe directo fomenta que nos apoyemos entre todos en el equipo]],#REF!,#REF!)</f>
        <v>#REF!</v>
      </c>
      <c r="N526" t="s">
        <v>23</v>
      </c>
      <c r="O526" t="e">
        <f>+_xlfn.XLOOKUP(tbl_encuesta[[#This Row],[Siento que mi trabajo es reconocido por mi supervisor o jefe directo.]],#REF!,#REF!)</f>
        <v>#REF!</v>
      </c>
      <c r="P526" t="s">
        <v>31</v>
      </c>
      <c r="Q526" t="e">
        <f xml:space="preserve">
_xlfn.XLOOKUP(
tbl_encuesta[[#This Row],[Mi supervisor o jefe directo nos brinda charlas de 5 minutos y comunica las novedades relevantes a mi puesto de trabajo]],#REF!,#REF!
)</f>
        <v>#REF!</v>
      </c>
      <c r="R526" t="s">
        <v>17</v>
      </c>
      <c r="S526" t="s">
        <v>18</v>
      </c>
      <c r="W526" t="s">
        <v>25</v>
      </c>
      <c r="X526" t="s">
        <v>23</v>
      </c>
      <c r="Y526" t="e">
        <f>+_xlfn.XLOOKUP(tbl_encuesta[[#This Row],[Considero a Limtek como un buen lugar para trabajar]],#REF!,#REF!)</f>
        <v>#REF!</v>
      </c>
      <c r="Z526" t="s">
        <v>1387</v>
      </c>
      <c r="AA526" t="s">
        <v>1388</v>
      </c>
      <c r="AB526" t="s">
        <v>883</v>
      </c>
      <c r="AC526" s="3" t="s">
        <v>3819</v>
      </c>
      <c r="AD526" s="3" t="s">
        <v>3819</v>
      </c>
      <c r="AE526" t="s">
        <v>34</v>
      </c>
    </row>
    <row r="527" spans="1:31" x14ac:dyDescent="0.25">
      <c r="A527">
        <v>119028772589</v>
      </c>
      <c r="B527">
        <v>462598545</v>
      </c>
      <c r="C527" s="1">
        <v>46022.42728009259</v>
      </c>
      <c r="D527" s="1">
        <v>46022.431250000001</v>
      </c>
      <c r="E527" t="s">
        <v>1389</v>
      </c>
      <c r="F527" t="s">
        <v>23</v>
      </c>
      <c r="G527" t="e">
        <f>+_xlfn.XLOOKUP(tbl_encuesta[[#This Row],[Me siento a gusto con el ambiente de trabajo que se genera en mi equipo.]],#REF!,#REF!)</f>
        <v>#REF!</v>
      </c>
      <c r="H527" t="s">
        <v>23</v>
      </c>
      <c r="I527" t="e">
        <f>+_xlfn.XLOOKUP(tbl_encuesta[[#This Row],[Me siento motivado a dar lo mejor de mí y hacer un buen trabajo]],#REF!,#REF!)</f>
        <v>#REF!</v>
      </c>
      <c r="J527" t="s">
        <v>22</v>
      </c>
      <c r="K527" t="e">
        <f>+_xlfn.XLOOKUP(tbl_encuesta[[#This Row],[Mi supervisor o jefe directo me otorga el soporte que necesito para afrontar cualquier problema que afecte mi trabajo]],#REF!,#REF!)</f>
        <v>#REF!</v>
      </c>
      <c r="L527" t="s">
        <v>23</v>
      </c>
      <c r="M527" t="e">
        <f>+_xlfn.XLOOKUP(tbl_encuesta[[#This Row],[Mi supervisor o jefe directo fomenta que nos apoyemos entre todos en el equipo]],#REF!,#REF!)</f>
        <v>#REF!</v>
      </c>
      <c r="N527" t="s">
        <v>23</v>
      </c>
      <c r="O527" t="e">
        <f>+_xlfn.XLOOKUP(tbl_encuesta[[#This Row],[Siento que mi trabajo es reconocido por mi supervisor o jefe directo.]],#REF!,#REF!)</f>
        <v>#REF!</v>
      </c>
      <c r="P527" t="s">
        <v>67</v>
      </c>
      <c r="Q527" t="e">
        <f xml:space="preserve">
_xlfn.XLOOKUP(
tbl_encuesta[[#This Row],[Mi supervisor o jefe directo nos brinda charlas de 5 minutos y comunica las novedades relevantes a mi puesto de trabajo]],#REF!,#REF!
)</f>
        <v>#REF!</v>
      </c>
      <c r="R527" t="s">
        <v>17</v>
      </c>
      <c r="U527" t="s">
        <v>20</v>
      </c>
      <c r="W527" t="s">
        <v>25</v>
      </c>
      <c r="X527" t="s">
        <v>23</v>
      </c>
      <c r="Y527" t="e">
        <f>+_xlfn.XLOOKUP(tbl_encuesta[[#This Row],[Considero a Limtek como un buen lugar para trabajar]],#REF!,#REF!)</f>
        <v>#REF!</v>
      </c>
      <c r="Z527" t="s">
        <v>522</v>
      </c>
      <c r="AA527" t="s">
        <v>380</v>
      </c>
      <c r="AB527" t="s">
        <v>38</v>
      </c>
      <c r="AC527" s="3" t="s">
        <v>3610</v>
      </c>
      <c r="AD527" s="3" t="s">
        <v>3670</v>
      </c>
      <c r="AE527" t="s">
        <v>34</v>
      </c>
    </row>
    <row r="528" spans="1:31" x14ac:dyDescent="0.25">
      <c r="A528">
        <v>119028772339</v>
      </c>
      <c r="B528">
        <v>462598545</v>
      </c>
      <c r="C528" s="1">
        <v>46022.426157407404</v>
      </c>
      <c r="D528" s="1">
        <v>46022.430856481478</v>
      </c>
      <c r="E528" t="s">
        <v>1389</v>
      </c>
      <c r="F528" t="s">
        <v>23</v>
      </c>
      <c r="G528" t="e">
        <f>+_xlfn.XLOOKUP(tbl_encuesta[[#This Row],[Me siento a gusto con el ambiente de trabajo que se genera en mi equipo.]],#REF!,#REF!)</f>
        <v>#REF!</v>
      </c>
      <c r="H528" t="s">
        <v>23</v>
      </c>
      <c r="I528" t="e">
        <f>+_xlfn.XLOOKUP(tbl_encuesta[[#This Row],[Me siento motivado a dar lo mejor de mí y hacer un buen trabajo]],#REF!,#REF!)</f>
        <v>#REF!</v>
      </c>
      <c r="J528" t="s">
        <v>23</v>
      </c>
      <c r="K528" t="e">
        <f>+_xlfn.XLOOKUP(tbl_encuesta[[#This Row],[Mi supervisor o jefe directo me otorga el soporte que necesito para afrontar cualquier problema que afecte mi trabajo]],#REF!,#REF!)</f>
        <v>#REF!</v>
      </c>
      <c r="L528" t="s">
        <v>23</v>
      </c>
      <c r="M528" t="e">
        <f>+_xlfn.XLOOKUP(tbl_encuesta[[#This Row],[Mi supervisor o jefe directo fomenta que nos apoyemos entre todos en el equipo]],#REF!,#REF!)</f>
        <v>#REF!</v>
      </c>
      <c r="N528" t="s">
        <v>23</v>
      </c>
      <c r="O528" t="e">
        <f>+_xlfn.XLOOKUP(tbl_encuesta[[#This Row],[Siento que mi trabajo es reconocido por mi supervisor o jefe directo.]],#REF!,#REF!)</f>
        <v>#REF!</v>
      </c>
      <c r="P528" t="s">
        <v>31</v>
      </c>
      <c r="Q528" t="e">
        <f xml:space="preserve">
_xlfn.XLOOKUP(
tbl_encuesta[[#This Row],[Mi supervisor o jefe directo nos brinda charlas de 5 minutos y comunica las novedades relevantes a mi puesto de trabajo]],#REF!,#REF!
)</f>
        <v>#REF!</v>
      </c>
      <c r="S528" t="s">
        <v>18</v>
      </c>
      <c r="T528" t="s">
        <v>19</v>
      </c>
      <c r="W528" t="s">
        <v>25</v>
      </c>
      <c r="X528" t="s">
        <v>23</v>
      </c>
      <c r="Y528" t="e">
        <f>+_xlfn.XLOOKUP(tbl_encuesta[[#This Row],[Considero a Limtek como un buen lugar para trabajar]],#REF!,#REF!)</f>
        <v>#REF!</v>
      </c>
      <c r="Z528" t="s">
        <v>1390</v>
      </c>
      <c r="AA528" t="s">
        <v>380</v>
      </c>
      <c r="AB528" t="s">
        <v>38</v>
      </c>
      <c r="AC528" s="3" t="s">
        <v>3610</v>
      </c>
      <c r="AD528" s="3" t="s">
        <v>3670</v>
      </c>
      <c r="AE528" t="s">
        <v>29</v>
      </c>
    </row>
    <row r="529" spans="1:31" x14ac:dyDescent="0.25">
      <c r="A529">
        <v>119028769809</v>
      </c>
      <c r="B529">
        <v>462598545</v>
      </c>
      <c r="C529" s="1">
        <v>46022.421678240738</v>
      </c>
      <c r="D529" s="1">
        <v>46022.426377314812</v>
      </c>
      <c r="E529" t="s">
        <v>1391</v>
      </c>
      <c r="F529" t="s">
        <v>23</v>
      </c>
      <c r="G529" t="e">
        <f>+_xlfn.XLOOKUP(tbl_encuesta[[#This Row],[Me siento a gusto con el ambiente de trabajo que se genera en mi equipo.]],#REF!,#REF!)</f>
        <v>#REF!</v>
      </c>
      <c r="H529" t="s">
        <v>23</v>
      </c>
      <c r="I529" t="e">
        <f>+_xlfn.XLOOKUP(tbl_encuesta[[#This Row],[Me siento motivado a dar lo mejor de mí y hacer un buen trabajo]],#REF!,#REF!)</f>
        <v>#REF!</v>
      </c>
      <c r="J529" t="s">
        <v>23</v>
      </c>
      <c r="K529" t="e">
        <f>+_xlfn.XLOOKUP(tbl_encuesta[[#This Row],[Mi supervisor o jefe directo me otorga el soporte que necesito para afrontar cualquier problema que afecte mi trabajo]],#REF!,#REF!)</f>
        <v>#REF!</v>
      </c>
      <c r="L529" t="s">
        <v>23</v>
      </c>
      <c r="M529" t="e">
        <f>+_xlfn.XLOOKUP(tbl_encuesta[[#This Row],[Mi supervisor o jefe directo fomenta que nos apoyemos entre todos en el equipo]],#REF!,#REF!)</f>
        <v>#REF!</v>
      </c>
      <c r="N529" t="s">
        <v>22</v>
      </c>
      <c r="O529" t="e">
        <f>+_xlfn.XLOOKUP(tbl_encuesta[[#This Row],[Siento que mi trabajo es reconocido por mi supervisor o jefe directo.]],#REF!,#REF!)</f>
        <v>#REF!</v>
      </c>
      <c r="P529" t="s">
        <v>31</v>
      </c>
      <c r="Q529" t="e">
        <f xml:space="preserve">
_xlfn.XLOOKUP(
tbl_encuesta[[#This Row],[Mi supervisor o jefe directo nos brinda charlas de 5 minutos y comunica las novedades relevantes a mi puesto de trabajo]],#REF!,#REF!
)</f>
        <v>#REF!</v>
      </c>
      <c r="S529" t="s">
        <v>18</v>
      </c>
      <c r="W529" t="s">
        <v>25</v>
      </c>
      <c r="X529" t="s">
        <v>23</v>
      </c>
      <c r="Y529" t="e">
        <f>+_xlfn.XLOOKUP(tbl_encuesta[[#This Row],[Considero a Limtek como un buen lugar para trabajar]],#REF!,#REF!)</f>
        <v>#REF!</v>
      </c>
      <c r="Z529" t="s">
        <v>1392</v>
      </c>
      <c r="AA529" t="s">
        <v>1393</v>
      </c>
      <c r="AB529" t="s">
        <v>726</v>
      </c>
      <c r="AC529" t="s">
        <v>3744</v>
      </c>
      <c r="AD529" t="s">
        <v>3744</v>
      </c>
      <c r="AE529" t="s">
        <v>69</v>
      </c>
    </row>
    <row r="530" spans="1:31" x14ac:dyDescent="0.25">
      <c r="A530">
        <v>119028763645</v>
      </c>
      <c r="B530">
        <v>462598545</v>
      </c>
      <c r="C530" s="1">
        <v>46022.412511574075</v>
      </c>
      <c r="D530" s="1">
        <v>46022.415532407409</v>
      </c>
      <c r="E530" t="s">
        <v>1394</v>
      </c>
      <c r="F530" t="s">
        <v>23</v>
      </c>
      <c r="G530" t="e">
        <f>+_xlfn.XLOOKUP(tbl_encuesta[[#This Row],[Me siento a gusto con el ambiente de trabajo que se genera en mi equipo.]],#REF!,#REF!)</f>
        <v>#REF!</v>
      </c>
      <c r="H530" t="s">
        <v>23</v>
      </c>
      <c r="I530" t="e">
        <f>+_xlfn.XLOOKUP(tbl_encuesta[[#This Row],[Me siento motivado a dar lo mejor de mí y hacer un buen trabajo]],#REF!,#REF!)</f>
        <v>#REF!</v>
      </c>
      <c r="J530" t="s">
        <v>23</v>
      </c>
      <c r="K530" t="e">
        <f>+_xlfn.XLOOKUP(tbl_encuesta[[#This Row],[Mi supervisor o jefe directo me otorga el soporte que necesito para afrontar cualquier problema que afecte mi trabajo]],#REF!,#REF!)</f>
        <v>#REF!</v>
      </c>
      <c r="L530" t="s">
        <v>23</v>
      </c>
      <c r="M530" t="e">
        <f>+_xlfn.XLOOKUP(tbl_encuesta[[#This Row],[Mi supervisor o jefe directo fomenta que nos apoyemos entre todos en el equipo]],#REF!,#REF!)</f>
        <v>#REF!</v>
      </c>
      <c r="N530" t="s">
        <v>23</v>
      </c>
      <c r="O530" t="e">
        <f>+_xlfn.XLOOKUP(tbl_encuesta[[#This Row],[Siento que mi trabajo es reconocido por mi supervisor o jefe directo.]],#REF!,#REF!)</f>
        <v>#REF!</v>
      </c>
      <c r="P530" t="s">
        <v>31</v>
      </c>
      <c r="Q530" t="e">
        <f xml:space="preserve">
_xlfn.XLOOKUP(
tbl_encuesta[[#This Row],[Mi supervisor o jefe directo nos brinda charlas de 5 minutos y comunica las novedades relevantes a mi puesto de trabajo]],#REF!,#REF!
)</f>
        <v>#REF!</v>
      </c>
      <c r="R530" t="s">
        <v>17</v>
      </c>
      <c r="W530" t="s">
        <v>25</v>
      </c>
      <c r="X530" t="s">
        <v>23</v>
      </c>
      <c r="Y530" t="e">
        <f>+_xlfn.XLOOKUP(tbl_encuesta[[#This Row],[Considero a Limtek como un buen lugar para trabajar]],#REF!,#REF!)</f>
        <v>#REF!</v>
      </c>
      <c r="Z530" t="s">
        <v>1395</v>
      </c>
      <c r="AA530" t="s">
        <v>1396</v>
      </c>
      <c r="AB530" t="s">
        <v>567</v>
      </c>
      <c r="AC530" t="s">
        <v>3744</v>
      </c>
      <c r="AD530" t="s">
        <v>3744</v>
      </c>
      <c r="AE530" t="s">
        <v>61</v>
      </c>
    </row>
    <row r="531" spans="1:31" x14ac:dyDescent="0.25">
      <c r="A531">
        <v>119028725596</v>
      </c>
      <c r="B531">
        <v>462598545</v>
      </c>
      <c r="C531" s="1">
        <v>46022.336875000001</v>
      </c>
      <c r="D531" s="1">
        <v>46022.339062500003</v>
      </c>
      <c r="E531" t="s">
        <v>1398</v>
      </c>
      <c r="F531" t="s">
        <v>23</v>
      </c>
      <c r="G531" t="e">
        <f>+_xlfn.XLOOKUP(tbl_encuesta[[#This Row],[Me siento a gusto con el ambiente de trabajo que se genera en mi equipo.]],#REF!,#REF!)</f>
        <v>#REF!</v>
      </c>
      <c r="H531" t="s">
        <v>23</v>
      </c>
      <c r="I531" t="e">
        <f>+_xlfn.XLOOKUP(tbl_encuesta[[#This Row],[Me siento motivado a dar lo mejor de mí y hacer un buen trabajo]],#REF!,#REF!)</f>
        <v>#REF!</v>
      </c>
      <c r="J531" t="s">
        <v>23</v>
      </c>
      <c r="K531" t="e">
        <f>+_xlfn.XLOOKUP(tbl_encuesta[[#This Row],[Mi supervisor o jefe directo me otorga el soporte que necesito para afrontar cualquier problema que afecte mi trabajo]],#REF!,#REF!)</f>
        <v>#REF!</v>
      </c>
      <c r="L531" t="s">
        <v>23</v>
      </c>
      <c r="M531" t="e">
        <f>+_xlfn.XLOOKUP(tbl_encuesta[[#This Row],[Mi supervisor o jefe directo fomenta que nos apoyemos entre todos en el equipo]],#REF!,#REF!)</f>
        <v>#REF!</v>
      </c>
      <c r="N531" t="s">
        <v>23</v>
      </c>
      <c r="O531" t="e">
        <f>+_xlfn.XLOOKUP(tbl_encuesta[[#This Row],[Siento que mi trabajo es reconocido por mi supervisor o jefe directo.]],#REF!,#REF!)</f>
        <v>#REF!</v>
      </c>
      <c r="P531" t="s">
        <v>31</v>
      </c>
      <c r="Q531" t="e">
        <f xml:space="preserve">
_xlfn.XLOOKUP(
tbl_encuesta[[#This Row],[Mi supervisor o jefe directo nos brinda charlas de 5 minutos y comunica las novedades relevantes a mi puesto de trabajo]],#REF!,#REF!
)</f>
        <v>#REF!</v>
      </c>
      <c r="R531" t="s">
        <v>17</v>
      </c>
      <c r="T531" t="s">
        <v>19</v>
      </c>
      <c r="W531" t="s">
        <v>25</v>
      </c>
      <c r="X531" t="s">
        <v>23</v>
      </c>
      <c r="Y531" t="e">
        <f>+_xlfn.XLOOKUP(tbl_encuesta[[#This Row],[Considero a Limtek como un buen lugar para trabajar]],#REF!,#REF!)</f>
        <v>#REF!</v>
      </c>
      <c r="Z531" t="s">
        <v>1399</v>
      </c>
      <c r="AA531" t="s">
        <v>1400</v>
      </c>
      <c r="AB531" t="s">
        <v>38</v>
      </c>
      <c r="AC531" s="3" t="s">
        <v>3716</v>
      </c>
      <c r="AD531" s="3" t="s">
        <v>38</v>
      </c>
      <c r="AE531" t="s">
        <v>69</v>
      </c>
    </row>
    <row r="532" spans="1:31" x14ac:dyDescent="0.25">
      <c r="A532">
        <v>119028707445</v>
      </c>
      <c r="B532">
        <v>462598545</v>
      </c>
      <c r="C532" s="1">
        <v>46022.293842592589</v>
      </c>
      <c r="D532" s="1">
        <v>46022.301018518519</v>
      </c>
      <c r="E532" t="s">
        <v>1401</v>
      </c>
      <c r="F532" t="s">
        <v>23</v>
      </c>
      <c r="G532" t="e">
        <f>+_xlfn.XLOOKUP(tbl_encuesta[[#This Row],[Me siento a gusto con el ambiente de trabajo que se genera en mi equipo.]],#REF!,#REF!)</f>
        <v>#REF!</v>
      </c>
      <c r="H532" t="s">
        <v>23</v>
      </c>
      <c r="I532" t="e">
        <f>+_xlfn.XLOOKUP(tbl_encuesta[[#This Row],[Me siento motivado a dar lo mejor de mí y hacer un buen trabajo]],#REF!,#REF!)</f>
        <v>#REF!</v>
      </c>
      <c r="J532" t="s">
        <v>22</v>
      </c>
      <c r="K532" t="e">
        <f>+_xlfn.XLOOKUP(tbl_encuesta[[#This Row],[Mi supervisor o jefe directo me otorga el soporte que necesito para afrontar cualquier problema que afecte mi trabajo]],#REF!,#REF!)</f>
        <v>#REF!</v>
      </c>
      <c r="L532" t="s">
        <v>23</v>
      </c>
      <c r="M532" t="e">
        <f>+_xlfn.XLOOKUP(tbl_encuesta[[#This Row],[Mi supervisor o jefe directo fomenta que nos apoyemos entre todos en el equipo]],#REF!,#REF!)</f>
        <v>#REF!</v>
      </c>
      <c r="N532" t="s">
        <v>22</v>
      </c>
      <c r="O532" t="e">
        <f>+_xlfn.XLOOKUP(tbl_encuesta[[#This Row],[Siento que mi trabajo es reconocido por mi supervisor o jefe directo.]],#REF!,#REF!)</f>
        <v>#REF!</v>
      </c>
      <c r="P532" t="s">
        <v>31</v>
      </c>
      <c r="Q532" t="e">
        <f xml:space="preserve">
_xlfn.XLOOKUP(
tbl_encuesta[[#This Row],[Mi supervisor o jefe directo nos brinda charlas de 5 minutos y comunica las novedades relevantes a mi puesto de trabajo]],#REF!,#REF!
)</f>
        <v>#REF!</v>
      </c>
      <c r="R532" t="s">
        <v>17</v>
      </c>
      <c r="U532" t="s">
        <v>20</v>
      </c>
      <c r="W532" t="s">
        <v>25</v>
      </c>
      <c r="X532" t="s">
        <v>23</v>
      </c>
      <c r="Y532" t="e">
        <f>+_xlfn.XLOOKUP(tbl_encuesta[[#This Row],[Considero a Limtek como un buen lugar para trabajar]],#REF!,#REF!)</f>
        <v>#REF!</v>
      </c>
      <c r="Z532" t="s">
        <v>1402</v>
      </c>
      <c r="AA532" t="s">
        <v>1403</v>
      </c>
      <c r="AB532" t="s">
        <v>28</v>
      </c>
      <c r="AC532" s="3" t="s">
        <v>3820</v>
      </c>
      <c r="AD532" s="3" t="s">
        <v>3821</v>
      </c>
      <c r="AE532" t="s">
        <v>34</v>
      </c>
    </row>
    <row r="533" spans="1:31" x14ac:dyDescent="0.25">
      <c r="A533">
        <v>119028696087</v>
      </c>
      <c r="B533">
        <v>462598545</v>
      </c>
      <c r="C533" s="1">
        <v>46022.27648148148</v>
      </c>
      <c r="D533" s="1">
        <v>46022.277592592596</v>
      </c>
      <c r="E533" t="s">
        <v>1404</v>
      </c>
      <c r="F533" t="s">
        <v>23</v>
      </c>
      <c r="G533" t="e">
        <f>+_xlfn.XLOOKUP(tbl_encuesta[[#This Row],[Me siento a gusto con el ambiente de trabajo que se genera en mi equipo.]],#REF!,#REF!)</f>
        <v>#REF!</v>
      </c>
      <c r="H533" t="s">
        <v>23</v>
      </c>
      <c r="I533" t="e">
        <f>+_xlfn.XLOOKUP(tbl_encuesta[[#This Row],[Me siento motivado a dar lo mejor de mí y hacer un buen trabajo]],#REF!,#REF!)</f>
        <v>#REF!</v>
      </c>
      <c r="J533" t="s">
        <v>23</v>
      </c>
      <c r="K533" t="e">
        <f>+_xlfn.XLOOKUP(tbl_encuesta[[#This Row],[Mi supervisor o jefe directo me otorga el soporte que necesito para afrontar cualquier problema que afecte mi trabajo]],#REF!,#REF!)</f>
        <v>#REF!</v>
      </c>
      <c r="L533" t="s">
        <v>23</v>
      </c>
      <c r="M533" t="e">
        <f>+_xlfn.XLOOKUP(tbl_encuesta[[#This Row],[Mi supervisor o jefe directo fomenta que nos apoyemos entre todos en el equipo]],#REF!,#REF!)</f>
        <v>#REF!</v>
      </c>
      <c r="N533" t="s">
        <v>23</v>
      </c>
      <c r="O533" t="e">
        <f>+_xlfn.XLOOKUP(tbl_encuesta[[#This Row],[Siento que mi trabajo es reconocido por mi supervisor o jefe directo.]],#REF!,#REF!)</f>
        <v>#REF!</v>
      </c>
      <c r="P533" t="s">
        <v>31</v>
      </c>
      <c r="Q533" t="e">
        <f xml:space="preserve">
_xlfn.XLOOKUP(
tbl_encuesta[[#This Row],[Mi supervisor o jefe directo nos brinda charlas de 5 minutos y comunica las novedades relevantes a mi puesto de trabajo]],#REF!,#REF!
)</f>
        <v>#REF!</v>
      </c>
      <c r="R533" t="s">
        <v>17</v>
      </c>
      <c r="W533" t="s">
        <v>25</v>
      </c>
      <c r="X533" t="s">
        <v>23</v>
      </c>
      <c r="Y533" t="e">
        <f>+_xlfn.XLOOKUP(tbl_encuesta[[#This Row],[Considero a Limtek como un buen lugar para trabajar]],#REF!,#REF!)</f>
        <v>#REF!</v>
      </c>
      <c r="Z533" t="s">
        <v>1405</v>
      </c>
      <c r="AA533" t="s">
        <v>1406</v>
      </c>
      <c r="AB533" t="s">
        <v>28</v>
      </c>
      <c r="AC533" s="3" t="s">
        <v>3834</v>
      </c>
      <c r="AD533" s="3" t="s">
        <v>3834</v>
      </c>
      <c r="AE533" t="s">
        <v>34</v>
      </c>
    </row>
    <row r="534" spans="1:31" x14ac:dyDescent="0.25">
      <c r="A534">
        <v>119028695132</v>
      </c>
      <c r="B534">
        <v>462598545</v>
      </c>
      <c r="C534" s="1">
        <v>46022.27275462963</v>
      </c>
      <c r="D534" s="1">
        <v>46022.275312500002</v>
      </c>
      <c r="E534" t="s">
        <v>1407</v>
      </c>
      <c r="F534" t="s">
        <v>22</v>
      </c>
      <c r="G534" t="e">
        <f>+_xlfn.XLOOKUP(tbl_encuesta[[#This Row],[Me siento a gusto con el ambiente de trabajo que se genera en mi equipo.]],#REF!,#REF!)</f>
        <v>#REF!</v>
      </c>
      <c r="H534" t="s">
        <v>97</v>
      </c>
      <c r="I534" t="e">
        <f>+_xlfn.XLOOKUP(tbl_encuesta[[#This Row],[Me siento motivado a dar lo mejor de mí y hacer un buen trabajo]],#REF!,#REF!)</f>
        <v>#REF!</v>
      </c>
      <c r="J534" t="s">
        <v>97</v>
      </c>
      <c r="K534" t="e">
        <f>+_xlfn.XLOOKUP(tbl_encuesta[[#This Row],[Mi supervisor o jefe directo me otorga el soporte que necesito para afrontar cualquier problema que afecte mi trabajo]],#REF!,#REF!)</f>
        <v>#REF!</v>
      </c>
      <c r="L534" t="s">
        <v>22</v>
      </c>
      <c r="M534" t="e">
        <f>+_xlfn.XLOOKUP(tbl_encuesta[[#This Row],[Mi supervisor o jefe directo fomenta que nos apoyemos entre todos en el equipo]],#REF!,#REF!)</f>
        <v>#REF!</v>
      </c>
      <c r="N534" t="s">
        <v>22</v>
      </c>
      <c r="O534" t="e">
        <f>+_xlfn.XLOOKUP(tbl_encuesta[[#This Row],[Siento que mi trabajo es reconocido por mi supervisor o jefe directo.]],#REF!,#REF!)</f>
        <v>#REF!</v>
      </c>
      <c r="P534" t="s">
        <v>31</v>
      </c>
      <c r="Q534" t="e">
        <f xml:space="preserve">
_xlfn.XLOOKUP(
tbl_encuesta[[#This Row],[Mi supervisor o jefe directo nos brinda charlas de 5 minutos y comunica las novedades relevantes a mi puesto de trabajo]],#REF!,#REF!
)</f>
        <v>#REF!</v>
      </c>
      <c r="V534" t="s">
        <v>1408</v>
      </c>
      <c r="W534" t="s">
        <v>25</v>
      </c>
      <c r="X534" t="s">
        <v>97</v>
      </c>
      <c r="Y534" t="e">
        <f>+_xlfn.XLOOKUP(tbl_encuesta[[#This Row],[Considero a Limtek como un buen lugar para trabajar]],#REF!,#REF!)</f>
        <v>#REF!</v>
      </c>
      <c r="Z534" t="s">
        <v>1409</v>
      </c>
      <c r="AA534" t="s">
        <v>1410</v>
      </c>
      <c r="AB534" t="s">
        <v>28</v>
      </c>
      <c r="AC534" s="3" t="s">
        <v>3834</v>
      </c>
      <c r="AD534" s="3" t="s">
        <v>3834</v>
      </c>
      <c r="AE534" t="s">
        <v>55</v>
      </c>
    </row>
    <row r="535" spans="1:31" x14ac:dyDescent="0.25">
      <c r="A535">
        <v>119028694953</v>
      </c>
      <c r="B535">
        <v>462598545</v>
      </c>
      <c r="C535" s="1">
        <v>46022.272951388892</v>
      </c>
      <c r="D535" s="1">
        <v>46022.27484953704</v>
      </c>
      <c r="E535" t="s">
        <v>1411</v>
      </c>
      <c r="F535" t="s">
        <v>22</v>
      </c>
      <c r="G535" t="e">
        <f>+_xlfn.XLOOKUP(tbl_encuesta[[#This Row],[Me siento a gusto con el ambiente de trabajo que se genera en mi equipo.]],#REF!,#REF!)</f>
        <v>#REF!</v>
      </c>
      <c r="H535" t="s">
        <v>22</v>
      </c>
      <c r="I535" t="e">
        <f>+_xlfn.XLOOKUP(tbl_encuesta[[#This Row],[Me siento motivado a dar lo mejor de mí y hacer un buen trabajo]],#REF!,#REF!)</f>
        <v>#REF!</v>
      </c>
      <c r="J535" t="s">
        <v>23</v>
      </c>
      <c r="K535" t="e">
        <f>+_xlfn.XLOOKUP(tbl_encuesta[[#This Row],[Mi supervisor o jefe directo me otorga el soporte que necesito para afrontar cualquier problema que afecte mi trabajo]],#REF!,#REF!)</f>
        <v>#REF!</v>
      </c>
      <c r="L535" t="s">
        <v>23</v>
      </c>
      <c r="M535" t="e">
        <f>+_xlfn.XLOOKUP(tbl_encuesta[[#This Row],[Mi supervisor o jefe directo fomenta que nos apoyemos entre todos en el equipo]],#REF!,#REF!)</f>
        <v>#REF!</v>
      </c>
      <c r="N535" t="s">
        <v>23</v>
      </c>
      <c r="O535" t="e">
        <f>+_xlfn.XLOOKUP(tbl_encuesta[[#This Row],[Siento que mi trabajo es reconocido por mi supervisor o jefe directo.]],#REF!,#REF!)</f>
        <v>#REF!</v>
      </c>
      <c r="P535" t="s">
        <v>31</v>
      </c>
      <c r="Q535" t="e">
        <f xml:space="preserve">
_xlfn.XLOOKUP(
tbl_encuesta[[#This Row],[Mi supervisor o jefe directo nos brinda charlas de 5 minutos y comunica las novedades relevantes a mi puesto de trabajo]],#REF!,#REF!
)</f>
        <v>#REF!</v>
      </c>
      <c r="S535" t="s">
        <v>18</v>
      </c>
      <c r="W535" t="s">
        <v>25</v>
      </c>
      <c r="X535" t="s">
        <v>22</v>
      </c>
      <c r="Y535" t="e">
        <f>+_xlfn.XLOOKUP(tbl_encuesta[[#This Row],[Considero a Limtek como un buen lugar para trabajar]],#REF!,#REF!)</f>
        <v>#REF!</v>
      </c>
      <c r="Z535" t="s">
        <v>213</v>
      </c>
      <c r="AA535" t="s">
        <v>1412</v>
      </c>
      <c r="AB535" t="s">
        <v>28</v>
      </c>
      <c r="AC535" s="3" t="s">
        <v>3834</v>
      </c>
      <c r="AD535" s="3" t="s">
        <v>3834</v>
      </c>
      <c r="AE535" t="s">
        <v>34</v>
      </c>
    </row>
    <row r="536" spans="1:31" x14ac:dyDescent="0.25">
      <c r="A536">
        <v>119028694900</v>
      </c>
      <c r="B536">
        <v>462598545</v>
      </c>
      <c r="C536" s="1">
        <v>46022.271678240744</v>
      </c>
      <c r="D536" s="1">
        <v>46022.274733796294</v>
      </c>
      <c r="E536" t="s">
        <v>1413</v>
      </c>
      <c r="F536" t="s">
        <v>23</v>
      </c>
      <c r="G536" t="e">
        <f>+_xlfn.XLOOKUP(tbl_encuesta[[#This Row],[Me siento a gusto con el ambiente de trabajo que se genera en mi equipo.]],#REF!,#REF!)</f>
        <v>#REF!</v>
      </c>
      <c r="H536" t="s">
        <v>23</v>
      </c>
      <c r="I536" t="e">
        <f>+_xlfn.XLOOKUP(tbl_encuesta[[#This Row],[Me siento motivado a dar lo mejor de mí y hacer un buen trabajo]],#REF!,#REF!)</f>
        <v>#REF!</v>
      </c>
      <c r="J536" t="s">
        <v>23</v>
      </c>
      <c r="K536" t="e">
        <f>+_xlfn.XLOOKUP(tbl_encuesta[[#This Row],[Mi supervisor o jefe directo me otorga el soporte que necesito para afrontar cualquier problema que afecte mi trabajo]],#REF!,#REF!)</f>
        <v>#REF!</v>
      </c>
      <c r="L536" t="s">
        <v>23</v>
      </c>
      <c r="M536" t="e">
        <f>+_xlfn.XLOOKUP(tbl_encuesta[[#This Row],[Mi supervisor o jefe directo fomenta que nos apoyemos entre todos en el equipo]],#REF!,#REF!)</f>
        <v>#REF!</v>
      </c>
      <c r="N536" t="s">
        <v>23</v>
      </c>
      <c r="O536" t="e">
        <f>+_xlfn.XLOOKUP(tbl_encuesta[[#This Row],[Siento que mi trabajo es reconocido por mi supervisor o jefe directo.]],#REF!,#REF!)</f>
        <v>#REF!</v>
      </c>
      <c r="P536" t="s">
        <v>31</v>
      </c>
      <c r="Q536" t="e">
        <f xml:space="preserve">
_xlfn.XLOOKUP(
tbl_encuesta[[#This Row],[Mi supervisor o jefe directo nos brinda charlas de 5 minutos y comunica las novedades relevantes a mi puesto de trabajo]],#REF!,#REF!
)</f>
        <v>#REF!</v>
      </c>
      <c r="R536" t="s">
        <v>17</v>
      </c>
      <c r="W536" t="s">
        <v>25</v>
      </c>
      <c r="X536" t="s">
        <v>23</v>
      </c>
      <c r="Y536" t="e">
        <f>+_xlfn.XLOOKUP(tbl_encuesta[[#This Row],[Considero a Limtek como un buen lugar para trabajar]],#REF!,#REF!)</f>
        <v>#REF!</v>
      </c>
      <c r="Z536" t="s">
        <v>3878</v>
      </c>
      <c r="AA536" t="s">
        <v>1414</v>
      </c>
      <c r="AB536" t="s">
        <v>28</v>
      </c>
      <c r="AC536" s="3" t="s">
        <v>3834</v>
      </c>
      <c r="AD536" s="3" t="s">
        <v>3834</v>
      </c>
      <c r="AE536" t="s">
        <v>34</v>
      </c>
    </row>
    <row r="537" spans="1:31" x14ac:dyDescent="0.25">
      <c r="A537">
        <v>119028694869</v>
      </c>
      <c r="B537">
        <v>462598545</v>
      </c>
      <c r="C537" s="1">
        <v>46022.27070601852</v>
      </c>
      <c r="D537" s="1">
        <v>46022.274675925924</v>
      </c>
      <c r="E537" t="s">
        <v>1415</v>
      </c>
      <c r="F537" t="s">
        <v>22</v>
      </c>
      <c r="G537" t="e">
        <f>+_xlfn.XLOOKUP(tbl_encuesta[[#This Row],[Me siento a gusto con el ambiente de trabajo que se genera en mi equipo.]],#REF!,#REF!)</f>
        <v>#REF!</v>
      </c>
      <c r="H537" t="s">
        <v>23</v>
      </c>
      <c r="I537" t="e">
        <f>+_xlfn.XLOOKUP(tbl_encuesta[[#This Row],[Me siento motivado a dar lo mejor de mí y hacer un buen trabajo]],#REF!,#REF!)</f>
        <v>#REF!</v>
      </c>
      <c r="J537" t="s">
        <v>23</v>
      </c>
      <c r="K537" t="e">
        <f>+_xlfn.XLOOKUP(tbl_encuesta[[#This Row],[Mi supervisor o jefe directo me otorga el soporte que necesito para afrontar cualquier problema que afecte mi trabajo]],#REF!,#REF!)</f>
        <v>#REF!</v>
      </c>
      <c r="L537" t="s">
        <v>23</v>
      </c>
      <c r="M537" t="e">
        <f>+_xlfn.XLOOKUP(tbl_encuesta[[#This Row],[Mi supervisor o jefe directo fomenta que nos apoyemos entre todos en el equipo]],#REF!,#REF!)</f>
        <v>#REF!</v>
      </c>
      <c r="N537" t="s">
        <v>23</v>
      </c>
      <c r="O537" t="e">
        <f>+_xlfn.XLOOKUP(tbl_encuesta[[#This Row],[Siento que mi trabajo es reconocido por mi supervisor o jefe directo.]],#REF!,#REF!)</f>
        <v>#REF!</v>
      </c>
      <c r="P537" t="s">
        <v>31</v>
      </c>
      <c r="Q537" t="e">
        <f xml:space="preserve">
_xlfn.XLOOKUP(
tbl_encuesta[[#This Row],[Mi supervisor o jefe directo nos brinda charlas de 5 minutos y comunica las novedades relevantes a mi puesto de trabajo]],#REF!,#REF!
)</f>
        <v>#REF!</v>
      </c>
      <c r="T537" t="s">
        <v>19</v>
      </c>
      <c r="W537" t="s">
        <v>25</v>
      </c>
      <c r="X537" t="s">
        <v>23</v>
      </c>
      <c r="Y537" t="e">
        <f>+_xlfn.XLOOKUP(tbl_encuesta[[#This Row],[Considero a Limtek como un buen lugar para trabajar]],#REF!,#REF!)</f>
        <v>#REF!</v>
      </c>
      <c r="Z537" t="s">
        <v>122</v>
      </c>
      <c r="AA537" t="s">
        <v>1416</v>
      </c>
      <c r="AB537" t="s">
        <v>28</v>
      </c>
      <c r="AC537" s="3" t="s">
        <v>3834</v>
      </c>
      <c r="AD537" s="3" t="s">
        <v>3834</v>
      </c>
      <c r="AE537" t="s">
        <v>34</v>
      </c>
    </row>
    <row r="538" spans="1:31" x14ac:dyDescent="0.25">
      <c r="A538">
        <v>119028694728</v>
      </c>
      <c r="B538">
        <v>462598545</v>
      </c>
      <c r="C538" s="1">
        <v>46022.271006944444</v>
      </c>
      <c r="D538" s="1">
        <v>46022.274351851855</v>
      </c>
      <c r="E538" t="s">
        <v>1417</v>
      </c>
      <c r="F538" t="s">
        <v>23</v>
      </c>
      <c r="G538" t="e">
        <f>+_xlfn.XLOOKUP(tbl_encuesta[[#This Row],[Me siento a gusto con el ambiente de trabajo que se genera en mi equipo.]],#REF!,#REF!)</f>
        <v>#REF!</v>
      </c>
      <c r="H538" t="s">
        <v>23</v>
      </c>
      <c r="I538" t="e">
        <f>+_xlfn.XLOOKUP(tbl_encuesta[[#This Row],[Me siento motivado a dar lo mejor de mí y hacer un buen trabajo]],#REF!,#REF!)</f>
        <v>#REF!</v>
      </c>
      <c r="J538" t="s">
        <v>22</v>
      </c>
      <c r="K538" t="e">
        <f>+_xlfn.XLOOKUP(tbl_encuesta[[#This Row],[Mi supervisor o jefe directo me otorga el soporte que necesito para afrontar cualquier problema que afecte mi trabajo]],#REF!,#REF!)</f>
        <v>#REF!</v>
      </c>
      <c r="L538" t="s">
        <v>23</v>
      </c>
      <c r="M538" t="e">
        <f>+_xlfn.XLOOKUP(tbl_encuesta[[#This Row],[Mi supervisor o jefe directo fomenta que nos apoyemos entre todos en el equipo]],#REF!,#REF!)</f>
        <v>#REF!</v>
      </c>
      <c r="N538" t="s">
        <v>23</v>
      </c>
      <c r="O538" t="e">
        <f>+_xlfn.XLOOKUP(tbl_encuesta[[#This Row],[Siento que mi trabajo es reconocido por mi supervisor o jefe directo.]],#REF!,#REF!)</f>
        <v>#REF!</v>
      </c>
      <c r="P538" t="s">
        <v>31</v>
      </c>
      <c r="Q538" t="e">
        <f xml:space="preserve">
_xlfn.XLOOKUP(
tbl_encuesta[[#This Row],[Mi supervisor o jefe directo nos brinda charlas de 5 minutos y comunica las novedades relevantes a mi puesto de trabajo]],#REF!,#REF!
)</f>
        <v>#REF!</v>
      </c>
      <c r="R538" t="s">
        <v>17</v>
      </c>
      <c r="W538" t="s">
        <v>25</v>
      </c>
      <c r="X538" t="s">
        <v>22</v>
      </c>
      <c r="Y538" t="e">
        <f>+_xlfn.XLOOKUP(tbl_encuesta[[#This Row],[Considero a Limtek como un buen lugar para trabajar]],#REF!,#REF!)</f>
        <v>#REF!</v>
      </c>
      <c r="Z538" t="s">
        <v>304</v>
      </c>
      <c r="AA538" t="s">
        <v>1418</v>
      </c>
      <c r="AB538" t="s">
        <v>28</v>
      </c>
      <c r="AC538" s="3" t="s">
        <v>3834</v>
      </c>
      <c r="AD538" s="3" t="s">
        <v>3834</v>
      </c>
      <c r="AE538" t="s">
        <v>34</v>
      </c>
    </row>
    <row r="539" spans="1:31" x14ac:dyDescent="0.25">
      <c r="A539">
        <v>119028694614</v>
      </c>
      <c r="B539">
        <v>462598545</v>
      </c>
      <c r="C539" s="1">
        <v>46022.271249999998</v>
      </c>
      <c r="D539" s="1">
        <v>46022.274085648147</v>
      </c>
      <c r="E539" t="s">
        <v>1419</v>
      </c>
      <c r="F539" t="s">
        <v>23</v>
      </c>
      <c r="G539" t="e">
        <f>+_xlfn.XLOOKUP(tbl_encuesta[[#This Row],[Me siento a gusto con el ambiente de trabajo que se genera en mi equipo.]],#REF!,#REF!)</f>
        <v>#REF!</v>
      </c>
      <c r="H539" t="s">
        <v>22</v>
      </c>
      <c r="I539" t="e">
        <f>+_xlfn.XLOOKUP(tbl_encuesta[[#This Row],[Me siento motivado a dar lo mejor de mí y hacer un buen trabajo]],#REF!,#REF!)</f>
        <v>#REF!</v>
      </c>
      <c r="J539" t="s">
        <v>23</v>
      </c>
      <c r="K539" t="e">
        <f>+_xlfn.XLOOKUP(tbl_encuesta[[#This Row],[Mi supervisor o jefe directo me otorga el soporte que necesito para afrontar cualquier problema que afecte mi trabajo]],#REF!,#REF!)</f>
        <v>#REF!</v>
      </c>
      <c r="L539" t="s">
        <v>23</v>
      </c>
      <c r="M539" t="e">
        <f>+_xlfn.XLOOKUP(tbl_encuesta[[#This Row],[Mi supervisor o jefe directo fomenta que nos apoyemos entre todos en el equipo]],#REF!,#REF!)</f>
        <v>#REF!</v>
      </c>
      <c r="N539" t="s">
        <v>22</v>
      </c>
      <c r="O539" t="e">
        <f>+_xlfn.XLOOKUP(tbl_encuesta[[#This Row],[Siento que mi trabajo es reconocido por mi supervisor o jefe directo.]],#REF!,#REF!)</f>
        <v>#REF!</v>
      </c>
      <c r="P539" t="s">
        <v>31</v>
      </c>
      <c r="Q539" t="e">
        <f xml:space="preserve">
_xlfn.XLOOKUP(
tbl_encuesta[[#This Row],[Mi supervisor o jefe directo nos brinda charlas de 5 minutos y comunica las novedades relevantes a mi puesto de trabajo]],#REF!,#REF!
)</f>
        <v>#REF!</v>
      </c>
      <c r="S539" t="s">
        <v>18</v>
      </c>
      <c r="T539" t="s">
        <v>19</v>
      </c>
      <c r="W539" t="s">
        <v>25</v>
      </c>
      <c r="X539" t="s">
        <v>23</v>
      </c>
      <c r="Y539" t="e">
        <f>+_xlfn.XLOOKUP(tbl_encuesta[[#This Row],[Considero a Limtek como un buen lugar para trabajar]],#REF!,#REF!)</f>
        <v>#REF!</v>
      </c>
      <c r="Z539" t="s">
        <v>1420</v>
      </c>
      <c r="AA539" t="s">
        <v>1421</v>
      </c>
      <c r="AB539" t="s">
        <v>28</v>
      </c>
      <c r="AC539" s="3" t="s">
        <v>3834</v>
      </c>
      <c r="AD539" s="3" t="s">
        <v>3834</v>
      </c>
      <c r="AE539" t="s">
        <v>29</v>
      </c>
    </row>
    <row r="540" spans="1:31" x14ac:dyDescent="0.25">
      <c r="A540">
        <v>119028694572</v>
      </c>
      <c r="B540">
        <v>462598545</v>
      </c>
      <c r="C540" s="1">
        <v>46022.270613425928</v>
      </c>
      <c r="D540" s="1">
        <v>46022.273946759262</v>
      </c>
      <c r="E540" t="s">
        <v>1422</v>
      </c>
      <c r="F540" t="s">
        <v>23</v>
      </c>
      <c r="G540" t="e">
        <f>+_xlfn.XLOOKUP(tbl_encuesta[[#This Row],[Me siento a gusto con el ambiente de trabajo que se genera en mi equipo.]],#REF!,#REF!)</f>
        <v>#REF!</v>
      </c>
      <c r="H540" t="s">
        <v>23</v>
      </c>
      <c r="I540" t="e">
        <f>+_xlfn.XLOOKUP(tbl_encuesta[[#This Row],[Me siento motivado a dar lo mejor de mí y hacer un buen trabajo]],#REF!,#REF!)</f>
        <v>#REF!</v>
      </c>
      <c r="J540" t="s">
        <v>23</v>
      </c>
      <c r="K540" t="e">
        <f>+_xlfn.XLOOKUP(tbl_encuesta[[#This Row],[Mi supervisor o jefe directo me otorga el soporte que necesito para afrontar cualquier problema que afecte mi trabajo]],#REF!,#REF!)</f>
        <v>#REF!</v>
      </c>
      <c r="L540" t="s">
        <v>23</v>
      </c>
      <c r="M540" t="e">
        <f>+_xlfn.XLOOKUP(tbl_encuesta[[#This Row],[Mi supervisor o jefe directo fomenta que nos apoyemos entre todos en el equipo]],#REF!,#REF!)</f>
        <v>#REF!</v>
      </c>
      <c r="N540" t="s">
        <v>43</v>
      </c>
      <c r="O540" t="e">
        <f>+_xlfn.XLOOKUP(tbl_encuesta[[#This Row],[Siento que mi trabajo es reconocido por mi supervisor o jefe directo.]],#REF!,#REF!)</f>
        <v>#REF!</v>
      </c>
      <c r="P540" t="s">
        <v>31</v>
      </c>
      <c r="Q540" t="e">
        <f xml:space="preserve">
_xlfn.XLOOKUP(
tbl_encuesta[[#This Row],[Mi supervisor o jefe directo nos brinda charlas de 5 minutos y comunica las novedades relevantes a mi puesto de trabajo]],#REF!,#REF!
)</f>
        <v>#REF!</v>
      </c>
      <c r="R540" t="s">
        <v>17</v>
      </c>
      <c r="W540" t="s">
        <v>25</v>
      </c>
      <c r="X540" t="s">
        <v>97</v>
      </c>
      <c r="Y540" t="e">
        <f>+_xlfn.XLOOKUP(tbl_encuesta[[#This Row],[Considero a Limtek como un buen lugar para trabajar]],#REF!,#REF!)</f>
        <v>#REF!</v>
      </c>
      <c r="Z540" t="s">
        <v>122</v>
      </c>
      <c r="AA540" t="s">
        <v>68</v>
      </c>
      <c r="AB540" t="s">
        <v>28</v>
      </c>
      <c r="AC540" s="3" t="s">
        <v>3834</v>
      </c>
      <c r="AD540" s="3" t="s">
        <v>3834</v>
      </c>
      <c r="AE540" t="s">
        <v>34</v>
      </c>
    </row>
    <row r="541" spans="1:31" x14ac:dyDescent="0.25">
      <c r="A541">
        <v>119028694558</v>
      </c>
      <c r="B541">
        <v>462598545</v>
      </c>
      <c r="C541" s="1">
        <v>46022.271134259259</v>
      </c>
      <c r="D541" s="1">
        <v>46022.273923611108</v>
      </c>
      <c r="E541" t="s">
        <v>1423</v>
      </c>
      <c r="F541" t="s">
        <v>23</v>
      </c>
      <c r="G541" t="e">
        <f>+_xlfn.XLOOKUP(tbl_encuesta[[#This Row],[Me siento a gusto con el ambiente de trabajo que se genera en mi equipo.]],#REF!,#REF!)</f>
        <v>#REF!</v>
      </c>
      <c r="H541" t="s">
        <v>22</v>
      </c>
      <c r="I541" t="e">
        <f>+_xlfn.XLOOKUP(tbl_encuesta[[#This Row],[Me siento motivado a dar lo mejor de mí y hacer un buen trabajo]],#REF!,#REF!)</f>
        <v>#REF!</v>
      </c>
      <c r="J541" t="s">
        <v>97</v>
      </c>
      <c r="K541" t="e">
        <f>+_xlfn.XLOOKUP(tbl_encuesta[[#This Row],[Mi supervisor o jefe directo me otorga el soporte que necesito para afrontar cualquier problema que afecte mi trabajo]],#REF!,#REF!)</f>
        <v>#REF!</v>
      </c>
      <c r="L541" t="s">
        <v>23</v>
      </c>
      <c r="M541" t="e">
        <f>+_xlfn.XLOOKUP(tbl_encuesta[[#This Row],[Mi supervisor o jefe directo fomenta que nos apoyemos entre todos en el equipo]],#REF!,#REF!)</f>
        <v>#REF!</v>
      </c>
      <c r="N541" t="s">
        <v>97</v>
      </c>
      <c r="O541" t="e">
        <f>+_xlfn.XLOOKUP(tbl_encuesta[[#This Row],[Siento que mi trabajo es reconocido por mi supervisor o jefe directo.]],#REF!,#REF!)</f>
        <v>#REF!</v>
      </c>
      <c r="P541" t="s">
        <v>31</v>
      </c>
      <c r="Q541" t="e">
        <f xml:space="preserve">
_xlfn.XLOOKUP(
tbl_encuesta[[#This Row],[Mi supervisor o jefe directo nos brinda charlas de 5 minutos y comunica las novedades relevantes a mi puesto de trabajo]],#REF!,#REF!
)</f>
        <v>#REF!</v>
      </c>
      <c r="R541" t="s">
        <v>17</v>
      </c>
      <c r="W541" t="s">
        <v>25</v>
      </c>
      <c r="X541" t="s">
        <v>22</v>
      </c>
      <c r="Y541" t="e">
        <f>+_xlfn.XLOOKUP(tbl_encuesta[[#This Row],[Considero a Limtek como un buen lugar para trabajar]],#REF!,#REF!)</f>
        <v>#REF!</v>
      </c>
      <c r="Z541" t="s">
        <v>122</v>
      </c>
      <c r="AA541" t="s">
        <v>1424</v>
      </c>
      <c r="AB541" t="s">
        <v>28</v>
      </c>
      <c r="AC541" s="3" t="s">
        <v>3834</v>
      </c>
      <c r="AD541" s="3" t="s">
        <v>3834</v>
      </c>
      <c r="AE541" t="s">
        <v>34</v>
      </c>
    </row>
    <row r="542" spans="1:31" x14ac:dyDescent="0.25">
      <c r="A542">
        <v>119028694361</v>
      </c>
      <c r="B542">
        <v>462598545</v>
      </c>
      <c r="C542" s="1">
        <v>46022.270636574074</v>
      </c>
      <c r="D542" s="1">
        <v>46022.2734375</v>
      </c>
      <c r="E542" t="s">
        <v>1425</v>
      </c>
      <c r="F542" t="s">
        <v>22</v>
      </c>
      <c r="G542" t="e">
        <f>+_xlfn.XLOOKUP(tbl_encuesta[[#This Row],[Me siento a gusto con el ambiente de trabajo que se genera en mi equipo.]],#REF!,#REF!)</f>
        <v>#REF!</v>
      </c>
      <c r="H542" t="s">
        <v>22</v>
      </c>
      <c r="I542" t="e">
        <f>+_xlfn.XLOOKUP(tbl_encuesta[[#This Row],[Me siento motivado a dar lo mejor de mí y hacer un buen trabajo]],#REF!,#REF!)</f>
        <v>#REF!</v>
      </c>
      <c r="J542" t="s">
        <v>22</v>
      </c>
      <c r="K542" t="e">
        <f>+_xlfn.XLOOKUP(tbl_encuesta[[#This Row],[Mi supervisor o jefe directo me otorga el soporte que necesito para afrontar cualquier problema que afecte mi trabajo]],#REF!,#REF!)</f>
        <v>#REF!</v>
      </c>
      <c r="L542" t="s">
        <v>22</v>
      </c>
      <c r="M542" t="e">
        <f>+_xlfn.XLOOKUP(tbl_encuesta[[#This Row],[Mi supervisor o jefe directo fomenta que nos apoyemos entre todos en el equipo]],#REF!,#REF!)</f>
        <v>#REF!</v>
      </c>
      <c r="N542" t="s">
        <v>22</v>
      </c>
      <c r="O542" t="e">
        <f>+_xlfn.XLOOKUP(tbl_encuesta[[#This Row],[Siento que mi trabajo es reconocido por mi supervisor o jefe directo.]],#REF!,#REF!)</f>
        <v>#REF!</v>
      </c>
      <c r="P542" t="s">
        <v>31</v>
      </c>
      <c r="Q542" t="e">
        <f xml:space="preserve">
_xlfn.XLOOKUP(
tbl_encuesta[[#This Row],[Mi supervisor o jefe directo nos brinda charlas de 5 minutos y comunica las novedades relevantes a mi puesto de trabajo]],#REF!,#REF!
)</f>
        <v>#REF!</v>
      </c>
      <c r="R542" t="s">
        <v>17</v>
      </c>
      <c r="T542" t="s">
        <v>19</v>
      </c>
      <c r="W542" t="s">
        <v>25</v>
      </c>
      <c r="X542" t="s">
        <v>22</v>
      </c>
      <c r="Y542" t="e">
        <f>+_xlfn.XLOOKUP(tbl_encuesta[[#This Row],[Considero a Limtek como un buen lugar para trabajar]],#REF!,#REF!)</f>
        <v>#REF!</v>
      </c>
      <c r="Z542" t="s">
        <v>1426</v>
      </c>
      <c r="AA542" t="s">
        <v>1427</v>
      </c>
      <c r="AB542" t="s">
        <v>28</v>
      </c>
      <c r="AC542" s="3" t="s">
        <v>3834</v>
      </c>
      <c r="AD542" s="3" t="s">
        <v>3834</v>
      </c>
      <c r="AE542" t="s">
        <v>55</v>
      </c>
    </row>
    <row r="543" spans="1:31" x14ac:dyDescent="0.25">
      <c r="A543">
        <v>119028684911</v>
      </c>
      <c r="B543">
        <v>462598545</v>
      </c>
      <c r="C543" s="1">
        <v>46022.246574074074</v>
      </c>
      <c r="D543" s="1">
        <v>46022.252025462964</v>
      </c>
      <c r="E543" t="s">
        <v>1428</v>
      </c>
      <c r="F543" t="s">
        <v>22</v>
      </c>
      <c r="G543" t="e">
        <f>+_xlfn.XLOOKUP(tbl_encuesta[[#This Row],[Me siento a gusto con el ambiente de trabajo que se genera en mi equipo.]],#REF!,#REF!)</f>
        <v>#REF!</v>
      </c>
      <c r="H543" t="s">
        <v>23</v>
      </c>
      <c r="I543" t="e">
        <f>+_xlfn.XLOOKUP(tbl_encuesta[[#This Row],[Me siento motivado a dar lo mejor de mí y hacer un buen trabajo]],#REF!,#REF!)</f>
        <v>#REF!</v>
      </c>
      <c r="J543" t="s">
        <v>43</v>
      </c>
      <c r="K543" t="e">
        <f>+_xlfn.XLOOKUP(tbl_encuesta[[#This Row],[Mi supervisor o jefe directo me otorga el soporte que necesito para afrontar cualquier problema que afecte mi trabajo]],#REF!,#REF!)</f>
        <v>#REF!</v>
      </c>
      <c r="L543" t="s">
        <v>43</v>
      </c>
      <c r="M543" t="e">
        <f>+_xlfn.XLOOKUP(tbl_encuesta[[#This Row],[Mi supervisor o jefe directo fomenta que nos apoyemos entre todos en el equipo]],#REF!,#REF!)</f>
        <v>#REF!</v>
      </c>
      <c r="N543" t="s">
        <v>43</v>
      </c>
      <c r="O543" t="e">
        <f>+_xlfn.XLOOKUP(tbl_encuesta[[#This Row],[Siento que mi trabajo es reconocido por mi supervisor o jefe directo.]],#REF!,#REF!)</f>
        <v>#REF!</v>
      </c>
      <c r="P543" t="s">
        <v>67</v>
      </c>
      <c r="Q543" t="e">
        <f xml:space="preserve">
_xlfn.XLOOKUP(
tbl_encuesta[[#This Row],[Mi supervisor o jefe directo nos brinda charlas de 5 minutos y comunica las novedades relevantes a mi puesto de trabajo]],#REF!,#REF!
)</f>
        <v>#REF!</v>
      </c>
      <c r="R543" t="s">
        <v>17</v>
      </c>
      <c r="T543" t="s">
        <v>19</v>
      </c>
      <c r="W543" t="s">
        <v>25</v>
      </c>
      <c r="X543" t="s">
        <v>23</v>
      </c>
      <c r="Y543" t="e">
        <f>+_xlfn.XLOOKUP(tbl_encuesta[[#This Row],[Considero a Limtek como un buen lugar para trabajar]],#REF!,#REF!)</f>
        <v>#REF!</v>
      </c>
      <c r="Z543" t="s">
        <v>1429</v>
      </c>
      <c r="AA543" t="s">
        <v>1430</v>
      </c>
      <c r="AB543" t="s">
        <v>1431</v>
      </c>
      <c r="AC543" s="3" t="s">
        <v>3610</v>
      </c>
      <c r="AD543" s="3" t="s">
        <v>3671</v>
      </c>
      <c r="AE543" t="s">
        <v>34</v>
      </c>
    </row>
    <row r="544" spans="1:31" x14ac:dyDescent="0.25">
      <c r="A544">
        <v>119028672517</v>
      </c>
      <c r="B544">
        <v>462598545</v>
      </c>
      <c r="C544" s="1">
        <v>46022.219386574077</v>
      </c>
      <c r="D544" s="1">
        <v>46022.22215277778</v>
      </c>
      <c r="E544" t="s">
        <v>1432</v>
      </c>
      <c r="F544" t="s">
        <v>23</v>
      </c>
      <c r="G544" t="e">
        <f>+_xlfn.XLOOKUP(tbl_encuesta[[#This Row],[Me siento a gusto con el ambiente de trabajo que se genera en mi equipo.]],#REF!,#REF!)</f>
        <v>#REF!</v>
      </c>
      <c r="H544" t="s">
        <v>23</v>
      </c>
      <c r="I544" t="e">
        <f>+_xlfn.XLOOKUP(tbl_encuesta[[#This Row],[Me siento motivado a dar lo mejor de mí y hacer un buen trabajo]],#REF!,#REF!)</f>
        <v>#REF!</v>
      </c>
      <c r="J544" t="s">
        <v>23</v>
      </c>
      <c r="K544" t="e">
        <f>+_xlfn.XLOOKUP(tbl_encuesta[[#This Row],[Mi supervisor o jefe directo me otorga el soporte que necesito para afrontar cualquier problema que afecte mi trabajo]],#REF!,#REF!)</f>
        <v>#REF!</v>
      </c>
      <c r="L544" t="s">
        <v>23</v>
      </c>
      <c r="M544" t="e">
        <f>+_xlfn.XLOOKUP(tbl_encuesta[[#This Row],[Mi supervisor o jefe directo fomenta que nos apoyemos entre todos en el equipo]],#REF!,#REF!)</f>
        <v>#REF!</v>
      </c>
      <c r="N544" t="s">
        <v>23</v>
      </c>
      <c r="O544" t="e">
        <f>+_xlfn.XLOOKUP(tbl_encuesta[[#This Row],[Siento que mi trabajo es reconocido por mi supervisor o jefe directo.]],#REF!,#REF!)</f>
        <v>#REF!</v>
      </c>
      <c r="P544" t="s">
        <v>67</v>
      </c>
      <c r="Q544" t="e">
        <f xml:space="preserve">
_xlfn.XLOOKUP(
tbl_encuesta[[#This Row],[Mi supervisor o jefe directo nos brinda charlas de 5 minutos y comunica las novedades relevantes a mi puesto de trabajo]],#REF!,#REF!
)</f>
        <v>#REF!</v>
      </c>
      <c r="R544" t="s">
        <v>17</v>
      </c>
      <c r="T544" t="s">
        <v>19</v>
      </c>
      <c r="W544" t="s">
        <v>25</v>
      </c>
      <c r="X544" t="s">
        <v>23</v>
      </c>
      <c r="Y544" t="e">
        <f>+_xlfn.XLOOKUP(tbl_encuesta[[#This Row],[Considero a Limtek como un buen lugar para trabajar]],#REF!,#REF!)</f>
        <v>#REF!</v>
      </c>
      <c r="Z544" t="s">
        <v>1433</v>
      </c>
      <c r="AA544" t="s">
        <v>1434</v>
      </c>
      <c r="AB544" t="s">
        <v>567</v>
      </c>
      <c r="AC544" s="3" t="s">
        <v>3758</v>
      </c>
      <c r="AD544" s="3" t="s">
        <v>3787</v>
      </c>
      <c r="AE544" t="s">
        <v>29</v>
      </c>
    </row>
    <row r="545" spans="1:31" x14ac:dyDescent="0.25">
      <c r="A545">
        <v>119028671159</v>
      </c>
      <c r="B545">
        <v>462598545</v>
      </c>
      <c r="C545" s="1">
        <v>46022.21570601852</v>
      </c>
      <c r="D545" s="1">
        <v>46022.218344907407</v>
      </c>
      <c r="E545" t="s">
        <v>1432</v>
      </c>
      <c r="F545" t="s">
        <v>23</v>
      </c>
      <c r="G545" t="e">
        <f>+_xlfn.XLOOKUP(tbl_encuesta[[#This Row],[Me siento a gusto con el ambiente de trabajo que se genera en mi equipo.]],#REF!,#REF!)</f>
        <v>#REF!</v>
      </c>
      <c r="H545" t="s">
        <v>23</v>
      </c>
      <c r="I545" t="e">
        <f>+_xlfn.XLOOKUP(tbl_encuesta[[#This Row],[Me siento motivado a dar lo mejor de mí y hacer un buen trabajo]],#REF!,#REF!)</f>
        <v>#REF!</v>
      </c>
      <c r="J545" t="s">
        <v>22</v>
      </c>
      <c r="K545" t="e">
        <f>+_xlfn.XLOOKUP(tbl_encuesta[[#This Row],[Mi supervisor o jefe directo me otorga el soporte que necesito para afrontar cualquier problema que afecte mi trabajo]],#REF!,#REF!)</f>
        <v>#REF!</v>
      </c>
      <c r="L545" t="s">
        <v>22</v>
      </c>
      <c r="M545" t="e">
        <f>+_xlfn.XLOOKUP(tbl_encuesta[[#This Row],[Mi supervisor o jefe directo fomenta que nos apoyemos entre todos en el equipo]],#REF!,#REF!)</f>
        <v>#REF!</v>
      </c>
      <c r="N545" t="s">
        <v>22</v>
      </c>
      <c r="O545" t="e">
        <f>+_xlfn.XLOOKUP(tbl_encuesta[[#This Row],[Siento que mi trabajo es reconocido por mi supervisor o jefe directo.]],#REF!,#REF!)</f>
        <v>#REF!</v>
      </c>
      <c r="P545" t="s">
        <v>67</v>
      </c>
      <c r="Q545" t="e">
        <f xml:space="preserve">
_xlfn.XLOOKUP(
tbl_encuesta[[#This Row],[Mi supervisor o jefe directo nos brinda charlas de 5 minutos y comunica las novedades relevantes a mi puesto de trabajo]],#REF!,#REF!
)</f>
        <v>#REF!</v>
      </c>
      <c r="R545" t="s">
        <v>17</v>
      </c>
      <c r="T545" t="s">
        <v>19</v>
      </c>
      <c r="W545" t="s">
        <v>25</v>
      </c>
      <c r="X545" t="s">
        <v>23</v>
      </c>
      <c r="Y545" t="e">
        <f>+_xlfn.XLOOKUP(tbl_encuesta[[#This Row],[Considero a Limtek como un buen lugar para trabajar]],#REF!,#REF!)</f>
        <v>#REF!</v>
      </c>
      <c r="Z545" t="s">
        <v>1435</v>
      </c>
      <c r="AA545" t="s">
        <v>1436</v>
      </c>
      <c r="AB545" t="s">
        <v>567</v>
      </c>
      <c r="AC545" s="3" t="s">
        <v>3758</v>
      </c>
      <c r="AD545" s="3" t="s">
        <v>3787</v>
      </c>
      <c r="AE545" t="s">
        <v>34</v>
      </c>
    </row>
    <row r="546" spans="1:31" x14ac:dyDescent="0.25">
      <c r="A546">
        <v>119028586125</v>
      </c>
      <c r="B546">
        <v>462598545</v>
      </c>
      <c r="C546" s="1">
        <v>46021.946921296294</v>
      </c>
      <c r="D546" s="1">
        <v>46021.950729166667</v>
      </c>
      <c r="E546" t="s">
        <v>1437</v>
      </c>
      <c r="F546" t="s">
        <v>22</v>
      </c>
      <c r="G546" t="e">
        <f>+_xlfn.XLOOKUP(tbl_encuesta[[#This Row],[Me siento a gusto con el ambiente de trabajo que se genera en mi equipo.]],#REF!,#REF!)</f>
        <v>#REF!</v>
      </c>
      <c r="H546" t="s">
        <v>23</v>
      </c>
      <c r="I546" t="e">
        <f>+_xlfn.XLOOKUP(tbl_encuesta[[#This Row],[Me siento motivado a dar lo mejor de mí y hacer un buen trabajo]],#REF!,#REF!)</f>
        <v>#REF!</v>
      </c>
      <c r="J546" t="s">
        <v>23</v>
      </c>
      <c r="K546" t="e">
        <f>+_xlfn.XLOOKUP(tbl_encuesta[[#This Row],[Mi supervisor o jefe directo me otorga el soporte que necesito para afrontar cualquier problema que afecte mi trabajo]],#REF!,#REF!)</f>
        <v>#REF!</v>
      </c>
      <c r="L546" t="s">
        <v>23</v>
      </c>
      <c r="M546" t="e">
        <f>+_xlfn.XLOOKUP(tbl_encuesta[[#This Row],[Mi supervisor o jefe directo fomenta que nos apoyemos entre todos en el equipo]],#REF!,#REF!)</f>
        <v>#REF!</v>
      </c>
      <c r="N546" t="s">
        <v>23</v>
      </c>
      <c r="O546" t="e">
        <f>+_xlfn.XLOOKUP(tbl_encuesta[[#This Row],[Siento que mi trabajo es reconocido por mi supervisor o jefe directo.]],#REF!,#REF!)</f>
        <v>#REF!</v>
      </c>
      <c r="P546" t="s">
        <v>31</v>
      </c>
      <c r="Q546" t="e">
        <f xml:space="preserve">
_xlfn.XLOOKUP(
tbl_encuesta[[#This Row],[Mi supervisor o jefe directo nos brinda charlas de 5 minutos y comunica las novedades relevantes a mi puesto de trabajo]],#REF!,#REF!
)</f>
        <v>#REF!</v>
      </c>
      <c r="R546" t="s">
        <v>17</v>
      </c>
      <c r="W546" t="s">
        <v>25</v>
      </c>
      <c r="X546" t="s">
        <v>22</v>
      </c>
      <c r="Y546" t="e">
        <f>+_xlfn.XLOOKUP(tbl_encuesta[[#This Row],[Considero a Limtek como un buen lugar para trabajar]],#REF!,#REF!)</f>
        <v>#REF!</v>
      </c>
      <c r="Z546" t="s">
        <v>1438</v>
      </c>
      <c r="AA546" t="s">
        <v>1439</v>
      </c>
      <c r="AB546" t="s">
        <v>559</v>
      </c>
      <c r="AC546" s="3" t="s">
        <v>3791</v>
      </c>
      <c r="AD546" s="3" t="s">
        <v>3847</v>
      </c>
      <c r="AE546" t="s">
        <v>34</v>
      </c>
    </row>
    <row r="547" spans="1:31" x14ac:dyDescent="0.25">
      <c r="A547">
        <v>119028584732</v>
      </c>
      <c r="B547">
        <v>462598545</v>
      </c>
      <c r="C547" s="1">
        <v>46021.936435185184</v>
      </c>
      <c r="D547" s="1">
        <v>46021.946099537039</v>
      </c>
      <c r="E547" t="s">
        <v>1437</v>
      </c>
      <c r="F547" t="s">
        <v>22</v>
      </c>
      <c r="G547" t="e">
        <f>+_xlfn.XLOOKUP(tbl_encuesta[[#This Row],[Me siento a gusto con el ambiente de trabajo que se genera en mi equipo.]],#REF!,#REF!)</f>
        <v>#REF!</v>
      </c>
      <c r="H547" t="s">
        <v>23</v>
      </c>
      <c r="I547" t="e">
        <f>+_xlfn.XLOOKUP(tbl_encuesta[[#This Row],[Me siento motivado a dar lo mejor de mí y hacer un buen trabajo]],#REF!,#REF!)</f>
        <v>#REF!</v>
      </c>
      <c r="J547" t="s">
        <v>23</v>
      </c>
      <c r="K547" t="e">
        <f>+_xlfn.XLOOKUP(tbl_encuesta[[#This Row],[Mi supervisor o jefe directo me otorga el soporte que necesito para afrontar cualquier problema que afecte mi trabajo]],#REF!,#REF!)</f>
        <v>#REF!</v>
      </c>
      <c r="L547" t="s">
        <v>23</v>
      </c>
      <c r="M547" t="e">
        <f>+_xlfn.XLOOKUP(tbl_encuesta[[#This Row],[Mi supervisor o jefe directo fomenta que nos apoyemos entre todos en el equipo]],#REF!,#REF!)</f>
        <v>#REF!</v>
      </c>
      <c r="N547" t="s">
        <v>23</v>
      </c>
      <c r="O547" t="e">
        <f>+_xlfn.XLOOKUP(tbl_encuesta[[#This Row],[Siento que mi trabajo es reconocido por mi supervisor o jefe directo.]],#REF!,#REF!)</f>
        <v>#REF!</v>
      </c>
      <c r="P547" t="s">
        <v>31</v>
      </c>
      <c r="Q547" t="e">
        <f xml:space="preserve">
_xlfn.XLOOKUP(
tbl_encuesta[[#This Row],[Mi supervisor o jefe directo nos brinda charlas de 5 minutos y comunica las novedades relevantes a mi puesto de trabajo]],#REF!,#REF!
)</f>
        <v>#REF!</v>
      </c>
      <c r="R547" t="s">
        <v>17</v>
      </c>
      <c r="V547" t="s">
        <v>522</v>
      </c>
      <c r="W547" t="s">
        <v>25</v>
      </c>
      <c r="X547" t="s">
        <v>23</v>
      </c>
      <c r="Y547" t="e">
        <f>+_xlfn.XLOOKUP(tbl_encuesta[[#This Row],[Considero a Limtek como un buen lugar para trabajar]],#REF!,#REF!)</f>
        <v>#REF!</v>
      </c>
      <c r="Z547" t="s">
        <v>1438</v>
      </c>
      <c r="AA547" t="s">
        <v>1440</v>
      </c>
      <c r="AB547" t="s">
        <v>559</v>
      </c>
      <c r="AC547" s="3" t="s">
        <v>3791</v>
      </c>
      <c r="AD547" s="3" t="s">
        <v>3847</v>
      </c>
      <c r="AE547" t="s">
        <v>34</v>
      </c>
    </row>
    <row r="548" spans="1:31" x14ac:dyDescent="0.25">
      <c r="A548">
        <v>119028583368</v>
      </c>
      <c r="B548">
        <v>462598545</v>
      </c>
      <c r="C548" s="1">
        <v>46021.935671296298</v>
      </c>
      <c r="D548" s="1">
        <v>46021.941851851851</v>
      </c>
      <c r="E548" t="s">
        <v>1441</v>
      </c>
      <c r="F548" t="s">
        <v>23</v>
      </c>
      <c r="G548" t="e">
        <f>+_xlfn.XLOOKUP(tbl_encuesta[[#This Row],[Me siento a gusto con el ambiente de trabajo que se genera en mi equipo.]],#REF!,#REF!)</f>
        <v>#REF!</v>
      </c>
      <c r="H548" t="s">
        <v>23</v>
      </c>
      <c r="I548" t="e">
        <f>+_xlfn.XLOOKUP(tbl_encuesta[[#This Row],[Me siento motivado a dar lo mejor de mí y hacer un buen trabajo]],#REF!,#REF!)</f>
        <v>#REF!</v>
      </c>
      <c r="J548" t="s">
        <v>23</v>
      </c>
      <c r="K548" t="e">
        <f>+_xlfn.XLOOKUP(tbl_encuesta[[#This Row],[Mi supervisor o jefe directo me otorga el soporte que necesito para afrontar cualquier problema que afecte mi trabajo]],#REF!,#REF!)</f>
        <v>#REF!</v>
      </c>
      <c r="L548" t="s">
        <v>23</v>
      </c>
      <c r="M548" t="e">
        <f>+_xlfn.XLOOKUP(tbl_encuesta[[#This Row],[Mi supervisor o jefe directo fomenta que nos apoyemos entre todos en el equipo]],#REF!,#REF!)</f>
        <v>#REF!</v>
      </c>
      <c r="N548" t="s">
        <v>23</v>
      </c>
      <c r="O548" t="e">
        <f>+_xlfn.XLOOKUP(tbl_encuesta[[#This Row],[Siento que mi trabajo es reconocido por mi supervisor o jefe directo.]],#REF!,#REF!)</f>
        <v>#REF!</v>
      </c>
      <c r="P548" t="s">
        <v>31</v>
      </c>
      <c r="Q548" t="e">
        <f xml:space="preserve">
_xlfn.XLOOKUP(
tbl_encuesta[[#This Row],[Mi supervisor o jefe directo nos brinda charlas de 5 minutos y comunica las novedades relevantes a mi puesto de trabajo]],#REF!,#REF!
)</f>
        <v>#REF!</v>
      </c>
      <c r="R548" t="s">
        <v>17</v>
      </c>
      <c r="S548" t="s">
        <v>18</v>
      </c>
      <c r="W548" t="s">
        <v>25</v>
      </c>
      <c r="X548" t="s">
        <v>23</v>
      </c>
      <c r="Y548" t="e">
        <f>+_xlfn.XLOOKUP(tbl_encuesta[[#This Row],[Considero a Limtek como un buen lugar para trabajar]],#REF!,#REF!)</f>
        <v>#REF!</v>
      </c>
      <c r="Z548" t="s">
        <v>1442</v>
      </c>
      <c r="AA548" t="s">
        <v>1443</v>
      </c>
      <c r="AB548" t="s">
        <v>883</v>
      </c>
      <c r="AC548" s="3" t="s">
        <v>3716</v>
      </c>
      <c r="AD548" s="3" t="s">
        <v>3719</v>
      </c>
      <c r="AE548" t="s">
        <v>69</v>
      </c>
    </row>
    <row r="549" spans="1:31" x14ac:dyDescent="0.25">
      <c r="A549">
        <v>119028580211</v>
      </c>
      <c r="B549">
        <v>462598545</v>
      </c>
      <c r="C549" s="1">
        <v>46021.927025462966</v>
      </c>
      <c r="D549" s="1">
        <v>46021.932395833333</v>
      </c>
      <c r="E549" t="s">
        <v>1444</v>
      </c>
      <c r="F549" t="s">
        <v>22</v>
      </c>
      <c r="G549" t="e">
        <f>+_xlfn.XLOOKUP(tbl_encuesta[[#This Row],[Me siento a gusto con el ambiente de trabajo que se genera en mi equipo.]],#REF!,#REF!)</f>
        <v>#REF!</v>
      </c>
      <c r="H549" t="s">
        <v>23</v>
      </c>
      <c r="I549" t="e">
        <f>+_xlfn.XLOOKUP(tbl_encuesta[[#This Row],[Me siento motivado a dar lo mejor de mí y hacer un buen trabajo]],#REF!,#REF!)</f>
        <v>#REF!</v>
      </c>
      <c r="J549" t="s">
        <v>22</v>
      </c>
      <c r="K549" t="e">
        <f>+_xlfn.XLOOKUP(tbl_encuesta[[#This Row],[Mi supervisor o jefe directo me otorga el soporte que necesito para afrontar cualquier problema que afecte mi trabajo]],#REF!,#REF!)</f>
        <v>#REF!</v>
      </c>
      <c r="L549" t="s">
        <v>22</v>
      </c>
      <c r="M549" t="e">
        <f>+_xlfn.XLOOKUP(tbl_encuesta[[#This Row],[Mi supervisor o jefe directo fomenta que nos apoyemos entre todos en el equipo]],#REF!,#REF!)</f>
        <v>#REF!</v>
      </c>
      <c r="N549" t="s">
        <v>22</v>
      </c>
      <c r="O549" t="e">
        <f>+_xlfn.XLOOKUP(tbl_encuesta[[#This Row],[Siento que mi trabajo es reconocido por mi supervisor o jefe directo.]],#REF!,#REF!)</f>
        <v>#REF!</v>
      </c>
      <c r="P549" t="s">
        <v>67</v>
      </c>
      <c r="Q549" t="e">
        <f xml:space="preserve">
_xlfn.XLOOKUP(
tbl_encuesta[[#This Row],[Mi supervisor o jefe directo nos brinda charlas de 5 minutos y comunica las novedades relevantes a mi puesto de trabajo]],#REF!,#REF!
)</f>
        <v>#REF!</v>
      </c>
      <c r="R549" t="s">
        <v>17</v>
      </c>
      <c r="U549" t="s">
        <v>20</v>
      </c>
      <c r="W549" t="s">
        <v>25</v>
      </c>
      <c r="X549" t="s">
        <v>23</v>
      </c>
      <c r="Y549" t="e">
        <f>+_xlfn.XLOOKUP(tbl_encuesta[[#This Row],[Considero a Limtek como un buen lugar para trabajar]],#REF!,#REF!)</f>
        <v>#REF!</v>
      </c>
      <c r="Z549" t="s">
        <v>1445</v>
      </c>
      <c r="AA549" t="s">
        <v>1446</v>
      </c>
      <c r="AB549" t="s">
        <v>559</v>
      </c>
      <c r="AC549" t="s">
        <v>3744</v>
      </c>
      <c r="AD549" t="s">
        <v>3744</v>
      </c>
      <c r="AE549" t="s">
        <v>69</v>
      </c>
    </row>
    <row r="550" spans="1:31" x14ac:dyDescent="0.25">
      <c r="A550">
        <v>119028566636</v>
      </c>
      <c r="B550">
        <v>462598545</v>
      </c>
      <c r="C550" s="1">
        <v>46021.89471064815</v>
      </c>
      <c r="D550" s="1">
        <v>46021.89576388889</v>
      </c>
      <c r="E550" t="s">
        <v>1447</v>
      </c>
      <c r="F550" t="s">
        <v>43</v>
      </c>
      <c r="G550" t="e">
        <f>+_xlfn.XLOOKUP(tbl_encuesta[[#This Row],[Me siento a gusto con el ambiente de trabajo que se genera en mi equipo.]],#REF!,#REF!)</f>
        <v>#REF!</v>
      </c>
      <c r="H550" t="s">
        <v>22</v>
      </c>
      <c r="I550" t="e">
        <f>+_xlfn.XLOOKUP(tbl_encuesta[[#This Row],[Me siento motivado a dar lo mejor de mí y hacer un buen trabajo]],#REF!,#REF!)</f>
        <v>#REF!</v>
      </c>
      <c r="J550" t="s">
        <v>43</v>
      </c>
      <c r="K550" t="e">
        <f>+_xlfn.XLOOKUP(tbl_encuesta[[#This Row],[Mi supervisor o jefe directo me otorga el soporte que necesito para afrontar cualquier problema que afecte mi trabajo]],#REF!,#REF!)</f>
        <v>#REF!</v>
      </c>
      <c r="L550" t="s">
        <v>43</v>
      </c>
      <c r="M550" t="e">
        <f>+_xlfn.XLOOKUP(tbl_encuesta[[#This Row],[Mi supervisor o jefe directo fomenta que nos apoyemos entre todos en el equipo]],#REF!,#REF!)</f>
        <v>#REF!</v>
      </c>
      <c r="N550" t="s">
        <v>97</v>
      </c>
      <c r="O550" t="e">
        <f>+_xlfn.XLOOKUP(tbl_encuesta[[#This Row],[Siento que mi trabajo es reconocido por mi supervisor o jefe directo.]],#REF!,#REF!)</f>
        <v>#REF!</v>
      </c>
      <c r="P550" t="s">
        <v>175</v>
      </c>
      <c r="Q550" t="e">
        <f xml:space="preserve">
_xlfn.XLOOKUP(
tbl_encuesta[[#This Row],[Mi supervisor o jefe directo nos brinda charlas de 5 minutos y comunica las novedades relevantes a mi puesto de trabajo]],#REF!,#REF!
)</f>
        <v>#REF!</v>
      </c>
      <c r="S550" t="s">
        <v>18</v>
      </c>
      <c r="W550" t="s">
        <v>25</v>
      </c>
      <c r="X550" t="s">
        <v>23</v>
      </c>
      <c r="Y550" t="e">
        <f>+_xlfn.XLOOKUP(tbl_encuesta[[#This Row],[Considero a Limtek como un buen lugar para trabajar]],#REF!,#REF!)</f>
        <v>#REF!</v>
      </c>
      <c r="Z550" t="s">
        <v>527</v>
      </c>
      <c r="AA550" t="s">
        <v>122</v>
      </c>
      <c r="AB550" t="s">
        <v>883</v>
      </c>
      <c r="AC550" s="3" t="s">
        <v>3716</v>
      </c>
      <c r="AD550" s="3" t="s">
        <v>3719</v>
      </c>
      <c r="AE550" t="s">
        <v>69</v>
      </c>
    </row>
    <row r="551" spans="1:31" x14ac:dyDescent="0.25">
      <c r="A551">
        <v>119028566253</v>
      </c>
      <c r="B551">
        <v>462598545</v>
      </c>
      <c r="C551" s="1">
        <v>46021.890243055554</v>
      </c>
      <c r="D551" s="1">
        <v>46021.894745370373</v>
      </c>
      <c r="E551" t="s">
        <v>1448</v>
      </c>
      <c r="F551" t="s">
        <v>23</v>
      </c>
      <c r="G551" t="e">
        <f>+_xlfn.XLOOKUP(tbl_encuesta[[#This Row],[Me siento a gusto con el ambiente de trabajo que se genera en mi equipo.]],#REF!,#REF!)</f>
        <v>#REF!</v>
      </c>
      <c r="H551" t="s">
        <v>23</v>
      </c>
      <c r="I551" t="e">
        <f>+_xlfn.XLOOKUP(tbl_encuesta[[#This Row],[Me siento motivado a dar lo mejor de mí y hacer un buen trabajo]],#REF!,#REF!)</f>
        <v>#REF!</v>
      </c>
      <c r="J551" t="s">
        <v>22</v>
      </c>
      <c r="K551" t="e">
        <f>+_xlfn.XLOOKUP(tbl_encuesta[[#This Row],[Mi supervisor o jefe directo me otorga el soporte que necesito para afrontar cualquier problema que afecte mi trabajo]],#REF!,#REF!)</f>
        <v>#REF!</v>
      </c>
      <c r="L551" t="s">
        <v>22</v>
      </c>
      <c r="M551" t="e">
        <f>+_xlfn.XLOOKUP(tbl_encuesta[[#This Row],[Mi supervisor o jefe directo fomenta que nos apoyemos entre todos en el equipo]],#REF!,#REF!)</f>
        <v>#REF!</v>
      </c>
      <c r="N551" t="s">
        <v>23</v>
      </c>
      <c r="O551" t="e">
        <f>+_xlfn.XLOOKUP(tbl_encuesta[[#This Row],[Siento que mi trabajo es reconocido por mi supervisor o jefe directo.]],#REF!,#REF!)</f>
        <v>#REF!</v>
      </c>
      <c r="P551" t="s">
        <v>67</v>
      </c>
      <c r="Q551" t="e">
        <f xml:space="preserve">
_xlfn.XLOOKUP(
tbl_encuesta[[#This Row],[Mi supervisor o jefe directo nos brinda charlas de 5 minutos y comunica las novedades relevantes a mi puesto de trabajo]],#REF!,#REF!
)</f>
        <v>#REF!</v>
      </c>
      <c r="R551" t="s">
        <v>17</v>
      </c>
      <c r="T551" t="s">
        <v>19</v>
      </c>
      <c r="W551" t="s">
        <v>25</v>
      </c>
      <c r="X551" t="s">
        <v>23</v>
      </c>
      <c r="Y551" t="e">
        <f>+_xlfn.XLOOKUP(tbl_encuesta[[#This Row],[Considero a Limtek como un buen lugar para trabajar]],#REF!,#REF!)</f>
        <v>#REF!</v>
      </c>
      <c r="Z551" t="s">
        <v>1449</v>
      </c>
      <c r="AA551" t="s">
        <v>1450</v>
      </c>
      <c r="AB551" t="s">
        <v>28</v>
      </c>
      <c r="AC551" s="3" t="s">
        <v>3862</v>
      </c>
      <c r="AD551" s="3" t="s">
        <v>3863</v>
      </c>
      <c r="AE551" t="s">
        <v>34</v>
      </c>
    </row>
    <row r="552" spans="1:31" x14ac:dyDescent="0.25">
      <c r="A552">
        <v>119028565153</v>
      </c>
      <c r="B552">
        <v>462598545</v>
      </c>
      <c r="C552" s="1">
        <v>46021.886631944442</v>
      </c>
      <c r="D552" s="1">
        <v>46021.89199074074</v>
      </c>
      <c r="E552" t="s">
        <v>1451</v>
      </c>
      <c r="F552" t="s">
        <v>23</v>
      </c>
      <c r="G552" t="e">
        <f>+_xlfn.XLOOKUP(tbl_encuesta[[#This Row],[Me siento a gusto con el ambiente de trabajo que se genera en mi equipo.]],#REF!,#REF!)</f>
        <v>#REF!</v>
      </c>
      <c r="H552" t="s">
        <v>23</v>
      </c>
      <c r="I552" t="e">
        <f>+_xlfn.XLOOKUP(tbl_encuesta[[#This Row],[Me siento motivado a dar lo mejor de mí y hacer un buen trabajo]],#REF!,#REF!)</f>
        <v>#REF!</v>
      </c>
      <c r="J552" t="s">
        <v>23</v>
      </c>
      <c r="K552" t="e">
        <f>+_xlfn.XLOOKUP(tbl_encuesta[[#This Row],[Mi supervisor o jefe directo me otorga el soporte que necesito para afrontar cualquier problema que afecte mi trabajo]],#REF!,#REF!)</f>
        <v>#REF!</v>
      </c>
      <c r="L552" t="s">
        <v>23</v>
      </c>
      <c r="M552" t="e">
        <f>+_xlfn.XLOOKUP(tbl_encuesta[[#This Row],[Mi supervisor o jefe directo fomenta que nos apoyemos entre todos en el equipo]],#REF!,#REF!)</f>
        <v>#REF!</v>
      </c>
      <c r="N552" t="s">
        <v>23</v>
      </c>
      <c r="O552" t="e">
        <f>+_xlfn.XLOOKUP(tbl_encuesta[[#This Row],[Siento que mi trabajo es reconocido por mi supervisor o jefe directo.]],#REF!,#REF!)</f>
        <v>#REF!</v>
      </c>
      <c r="P552" t="s">
        <v>31</v>
      </c>
      <c r="Q552" t="e">
        <f xml:space="preserve">
_xlfn.XLOOKUP(
tbl_encuesta[[#This Row],[Mi supervisor o jefe directo nos brinda charlas de 5 minutos y comunica las novedades relevantes a mi puesto de trabajo]],#REF!,#REF!
)</f>
        <v>#REF!</v>
      </c>
      <c r="U552" t="s">
        <v>20</v>
      </c>
      <c r="W552" t="s">
        <v>25</v>
      </c>
      <c r="X552" t="s">
        <v>23</v>
      </c>
      <c r="Y552" t="e">
        <f>+_xlfn.XLOOKUP(tbl_encuesta[[#This Row],[Considero a Limtek como un buen lugar para trabajar]],#REF!,#REF!)</f>
        <v>#REF!</v>
      </c>
      <c r="Z552" t="s">
        <v>1452</v>
      </c>
      <c r="AA552" t="s">
        <v>527</v>
      </c>
      <c r="AB552" t="s">
        <v>28</v>
      </c>
      <c r="AC552" s="3" t="s">
        <v>3716</v>
      </c>
      <c r="AD552" s="3" t="s">
        <v>3722</v>
      </c>
      <c r="AE552" t="s">
        <v>69</v>
      </c>
    </row>
    <row r="553" spans="1:31" x14ac:dyDescent="0.25">
      <c r="A553">
        <v>119028562602</v>
      </c>
      <c r="B553">
        <v>462598545</v>
      </c>
      <c r="C553" s="1">
        <v>46021.87945601852</v>
      </c>
      <c r="D553" s="1">
        <v>46021.885000000002</v>
      </c>
      <c r="E553" t="s">
        <v>1453</v>
      </c>
      <c r="F553" t="s">
        <v>23</v>
      </c>
      <c r="G553" t="e">
        <f>+_xlfn.XLOOKUP(tbl_encuesta[[#This Row],[Me siento a gusto con el ambiente de trabajo que se genera en mi equipo.]],#REF!,#REF!)</f>
        <v>#REF!</v>
      </c>
      <c r="H553" t="s">
        <v>23</v>
      </c>
      <c r="I553" t="e">
        <f>+_xlfn.XLOOKUP(tbl_encuesta[[#This Row],[Me siento motivado a dar lo mejor de mí y hacer un buen trabajo]],#REF!,#REF!)</f>
        <v>#REF!</v>
      </c>
      <c r="J553" t="s">
        <v>22</v>
      </c>
      <c r="K553" t="e">
        <f>+_xlfn.XLOOKUP(tbl_encuesta[[#This Row],[Mi supervisor o jefe directo me otorga el soporte que necesito para afrontar cualquier problema que afecte mi trabajo]],#REF!,#REF!)</f>
        <v>#REF!</v>
      </c>
      <c r="L553" t="s">
        <v>23</v>
      </c>
      <c r="M553" t="e">
        <f>+_xlfn.XLOOKUP(tbl_encuesta[[#This Row],[Mi supervisor o jefe directo fomenta que nos apoyemos entre todos en el equipo]],#REF!,#REF!)</f>
        <v>#REF!</v>
      </c>
      <c r="N553" t="s">
        <v>23</v>
      </c>
      <c r="O553" t="e">
        <f>+_xlfn.XLOOKUP(tbl_encuesta[[#This Row],[Siento que mi trabajo es reconocido por mi supervisor o jefe directo.]],#REF!,#REF!)</f>
        <v>#REF!</v>
      </c>
      <c r="P553" t="s">
        <v>31</v>
      </c>
      <c r="Q553" t="e">
        <f xml:space="preserve">
_xlfn.XLOOKUP(
tbl_encuesta[[#This Row],[Mi supervisor o jefe directo nos brinda charlas de 5 minutos y comunica las novedades relevantes a mi puesto de trabajo]],#REF!,#REF!
)</f>
        <v>#REF!</v>
      </c>
      <c r="R553" t="s">
        <v>17</v>
      </c>
      <c r="T553" t="s">
        <v>19</v>
      </c>
      <c r="W553" t="s">
        <v>25</v>
      </c>
      <c r="X553" t="s">
        <v>23</v>
      </c>
      <c r="Y553" t="e">
        <f>+_xlfn.XLOOKUP(tbl_encuesta[[#This Row],[Considero a Limtek como un buen lugar para trabajar]],#REF!,#REF!)</f>
        <v>#REF!</v>
      </c>
      <c r="Z553" t="s">
        <v>1454</v>
      </c>
      <c r="AA553" t="s">
        <v>1455</v>
      </c>
      <c r="AB553" t="s">
        <v>559</v>
      </c>
      <c r="AC553" t="s">
        <v>3744</v>
      </c>
      <c r="AD553" t="s">
        <v>3744</v>
      </c>
      <c r="AE553" t="s">
        <v>34</v>
      </c>
    </row>
    <row r="554" spans="1:31" x14ac:dyDescent="0.25">
      <c r="A554">
        <v>119028561989</v>
      </c>
      <c r="B554">
        <v>462598545</v>
      </c>
      <c r="C554" s="1">
        <v>46021.880393518521</v>
      </c>
      <c r="D554" s="1">
        <v>46021.883344907408</v>
      </c>
      <c r="E554" t="s">
        <v>620</v>
      </c>
      <c r="F554" t="s">
        <v>23</v>
      </c>
      <c r="G554" t="e">
        <f>+_xlfn.XLOOKUP(tbl_encuesta[[#This Row],[Me siento a gusto con el ambiente de trabajo que se genera en mi equipo.]],#REF!,#REF!)</f>
        <v>#REF!</v>
      </c>
      <c r="H554" t="s">
        <v>23</v>
      </c>
      <c r="I554" t="e">
        <f>+_xlfn.XLOOKUP(tbl_encuesta[[#This Row],[Me siento motivado a dar lo mejor de mí y hacer un buen trabajo]],#REF!,#REF!)</f>
        <v>#REF!</v>
      </c>
      <c r="J554" t="s">
        <v>23</v>
      </c>
      <c r="K554" t="e">
        <f>+_xlfn.XLOOKUP(tbl_encuesta[[#This Row],[Mi supervisor o jefe directo me otorga el soporte que necesito para afrontar cualquier problema que afecte mi trabajo]],#REF!,#REF!)</f>
        <v>#REF!</v>
      </c>
      <c r="L554" t="s">
        <v>23</v>
      </c>
      <c r="M554" t="e">
        <f>+_xlfn.XLOOKUP(tbl_encuesta[[#This Row],[Mi supervisor o jefe directo fomenta que nos apoyemos entre todos en el equipo]],#REF!,#REF!)</f>
        <v>#REF!</v>
      </c>
      <c r="N554" t="s">
        <v>23</v>
      </c>
      <c r="O554" t="e">
        <f>+_xlfn.XLOOKUP(tbl_encuesta[[#This Row],[Siento que mi trabajo es reconocido por mi supervisor o jefe directo.]],#REF!,#REF!)</f>
        <v>#REF!</v>
      </c>
      <c r="P554" t="s">
        <v>31</v>
      </c>
      <c r="Q554" t="e">
        <f xml:space="preserve">
_xlfn.XLOOKUP(
tbl_encuesta[[#This Row],[Mi supervisor o jefe directo nos brinda charlas de 5 minutos y comunica las novedades relevantes a mi puesto de trabajo]],#REF!,#REF!
)</f>
        <v>#REF!</v>
      </c>
      <c r="R554" t="s">
        <v>17</v>
      </c>
      <c r="S554" t="s">
        <v>18</v>
      </c>
      <c r="W554" t="s">
        <v>25</v>
      </c>
      <c r="X554" t="s">
        <v>23</v>
      </c>
      <c r="Y554" t="e">
        <f>+_xlfn.XLOOKUP(tbl_encuesta[[#This Row],[Considero a Limtek como un buen lugar para trabajar]],#REF!,#REF!)</f>
        <v>#REF!</v>
      </c>
      <c r="Z554" t="s">
        <v>1456</v>
      </c>
      <c r="AA554" t="s">
        <v>622</v>
      </c>
      <c r="AB554" t="s">
        <v>619</v>
      </c>
      <c r="AC554" t="s">
        <v>1457</v>
      </c>
      <c r="AD554" t="s">
        <v>623</v>
      </c>
      <c r="AE554" t="s">
        <v>61</v>
      </c>
    </row>
    <row r="555" spans="1:31" x14ac:dyDescent="0.25">
      <c r="A555">
        <v>119028555016</v>
      </c>
      <c r="B555">
        <v>462598545</v>
      </c>
      <c r="C555" s="1">
        <v>46021.863240740742</v>
      </c>
      <c r="D555" s="1">
        <v>46021.865057870367</v>
      </c>
      <c r="E555" t="s">
        <v>1458</v>
      </c>
      <c r="F555" t="s">
        <v>23</v>
      </c>
      <c r="G555" t="e">
        <f>+_xlfn.XLOOKUP(tbl_encuesta[[#This Row],[Me siento a gusto con el ambiente de trabajo que se genera en mi equipo.]],#REF!,#REF!)</f>
        <v>#REF!</v>
      </c>
      <c r="H555" t="s">
        <v>23</v>
      </c>
      <c r="I555" t="e">
        <f>+_xlfn.XLOOKUP(tbl_encuesta[[#This Row],[Me siento motivado a dar lo mejor de mí y hacer un buen trabajo]],#REF!,#REF!)</f>
        <v>#REF!</v>
      </c>
      <c r="J555" t="s">
        <v>23</v>
      </c>
      <c r="K555" t="e">
        <f>+_xlfn.XLOOKUP(tbl_encuesta[[#This Row],[Mi supervisor o jefe directo me otorga el soporte que necesito para afrontar cualquier problema que afecte mi trabajo]],#REF!,#REF!)</f>
        <v>#REF!</v>
      </c>
      <c r="L555" t="s">
        <v>23</v>
      </c>
      <c r="M555" t="e">
        <f>+_xlfn.XLOOKUP(tbl_encuesta[[#This Row],[Mi supervisor o jefe directo fomenta que nos apoyemos entre todos en el equipo]],#REF!,#REF!)</f>
        <v>#REF!</v>
      </c>
      <c r="N555" t="s">
        <v>23</v>
      </c>
      <c r="O555" t="e">
        <f>+_xlfn.XLOOKUP(tbl_encuesta[[#This Row],[Siento que mi trabajo es reconocido por mi supervisor o jefe directo.]],#REF!,#REF!)</f>
        <v>#REF!</v>
      </c>
      <c r="P555" t="s">
        <v>31</v>
      </c>
      <c r="Q555" t="e">
        <f xml:space="preserve">
_xlfn.XLOOKUP(
tbl_encuesta[[#This Row],[Mi supervisor o jefe directo nos brinda charlas de 5 minutos y comunica las novedades relevantes a mi puesto de trabajo]],#REF!,#REF!
)</f>
        <v>#REF!</v>
      </c>
      <c r="R555" t="s">
        <v>17</v>
      </c>
      <c r="S555" t="s">
        <v>18</v>
      </c>
      <c r="W555" t="s">
        <v>25</v>
      </c>
      <c r="X555" t="s">
        <v>23</v>
      </c>
      <c r="Y555" t="e">
        <f>+_xlfn.XLOOKUP(tbl_encuesta[[#This Row],[Considero a Limtek como un buen lugar para trabajar]],#REF!,#REF!)</f>
        <v>#REF!</v>
      </c>
      <c r="Z555" t="s">
        <v>727</v>
      </c>
      <c r="AA555" t="s">
        <v>1459</v>
      </c>
      <c r="AB555" t="s">
        <v>28</v>
      </c>
      <c r="AC555" s="3" t="s">
        <v>3749</v>
      </c>
      <c r="AD555" s="3" t="s">
        <v>3749</v>
      </c>
      <c r="AE555" t="s">
        <v>69</v>
      </c>
    </row>
    <row r="556" spans="1:31" x14ac:dyDescent="0.25">
      <c r="A556">
        <v>119028552662</v>
      </c>
      <c r="B556">
        <v>462598545</v>
      </c>
      <c r="C556" s="1">
        <v>46021.853437500002</v>
      </c>
      <c r="D556" s="1">
        <v>46021.859236111108</v>
      </c>
      <c r="E556" t="s">
        <v>1460</v>
      </c>
      <c r="F556" t="s">
        <v>23</v>
      </c>
      <c r="G556" t="e">
        <f>+_xlfn.XLOOKUP(tbl_encuesta[[#This Row],[Me siento a gusto con el ambiente de trabajo que se genera en mi equipo.]],#REF!,#REF!)</f>
        <v>#REF!</v>
      </c>
      <c r="H556" t="s">
        <v>23</v>
      </c>
      <c r="I556" t="e">
        <f>+_xlfn.XLOOKUP(tbl_encuesta[[#This Row],[Me siento motivado a dar lo mejor de mí y hacer un buen trabajo]],#REF!,#REF!)</f>
        <v>#REF!</v>
      </c>
      <c r="J556" t="s">
        <v>23</v>
      </c>
      <c r="K556" t="e">
        <f>+_xlfn.XLOOKUP(tbl_encuesta[[#This Row],[Mi supervisor o jefe directo me otorga el soporte que necesito para afrontar cualquier problema que afecte mi trabajo]],#REF!,#REF!)</f>
        <v>#REF!</v>
      </c>
      <c r="L556" t="s">
        <v>23</v>
      </c>
      <c r="M556" t="e">
        <f>+_xlfn.XLOOKUP(tbl_encuesta[[#This Row],[Mi supervisor o jefe directo fomenta que nos apoyemos entre todos en el equipo]],#REF!,#REF!)</f>
        <v>#REF!</v>
      </c>
      <c r="N556" t="s">
        <v>23</v>
      </c>
      <c r="O556" t="e">
        <f>+_xlfn.XLOOKUP(tbl_encuesta[[#This Row],[Siento que mi trabajo es reconocido por mi supervisor o jefe directo.]],#REF!,#REF!)</f>
        <v>#REF!</v>
      </c>
      <c r="P556" t="s">
        <v>31</v>
      </c>
      <c r="Q556" t="e">
        <f xml:space="preserve">
_xlfn.XLOOKUP(
tbl_encuesta[[#This Row],[Mi supervisor o jefe directo nos brinda charlas de 5 minutos y comunica las novedades relevantes a mi puesto de trabajo]],#REF!,#REF!
)</f>
        <v>#REF!</v>
      </c>
      <c r="R556" t="s">
        <v>17</v>
      </c>
      <c r="T556" t="s">
        <v>19</v>
      </c>
      <c r="W556" t="s">
        <v>25</v>
      </c>
      <c r="X556" t="s">
        <v>23</v>
      </c>
      <c r="Y556" t="e">
        <f>+_xlfn.XLOOKUP(tbl_encuesta[[#This Row],[Considero a Limtek como un buen lugar para trabajar]],#REF!,#REF!)</f>
        <v>#REF!</v>
      </c>
      <c r="Z556" t="s">
        <v>1461</v>
      </c>
      <c r="AA556" t="s">
        <v>1462</v>
      </c>
      <c r="AB556" t="s">
        <v>619</v>
      </c>
      <c r="AC556" s="3" t="s">
        <v>3610</v>
      </c>
      <c r="AD556" s="3" t="s">
        <v>3672</v>
      </c>
      <c r="AE556" t="s">
        <v>34</v>
      </c>
    </row>
    <row r="557" spans="1:31" x14ac:dyDescent="0.25">
      <c r="A557">
        <v>119028550517</v>
      </c>
      <c r="B557">
        <v>462598545</v>
      </c>
      <c r="C557" s="1">
        <v>46021.847870370373</v>
      </c>
      <c r="D557" s="1">
        <v>46021.853703703702</v>
      </c>
      <c r="E557" t="s">
        <v>1463</v>
      </c>
      <c r="F557" t="s">
        <v>23</v>
      </c>
      <c r="G557" t="e">
        <f>+_xlfn.XLOOKUP(tbl_encuesta[[#This Row],[Me siento a gusto con el ambiente de trabajo que se genera en mi equipo.]],#REF!,#REF!)</f>
        <v>#REF!</v>
      </c>
      <c r="H557" t="s">
        <v>23</v>
      </c>
      <c r="I557" t="e">
        <f>+_xlfn.XLOOKUP(tbl_encuesta[[#This Row],[Me siento motivado a dar lo mejor de mí y hacer un buen trabajo]],#REF!,#REF!)</f>
        <v>#REF!</v>
      </c>
      <c r="J557" t="s">
        <v>23</v>
      </c>
      <c r="K557" t="e">
        <f>+_xlfn.XLOOKUP(tbl_encuesta[[#This Row],[Mi supervisor o jefe directo me otorga el soporte que necesito para afrontar cualquier problema que afecte mi trabajo]],#REF!,#REF!)</f>
        <v>#REF!</v>
      </c>
      <c r="L557" t="s">
        <v>23</v>
      </c>
      <c r="M557" t="e">
        <f>+_xlfn.XLOOKUP(tbl_encuesta[[#This Row],[Mi supervisor o jefe directo fomenta que nos apoyemos entre todos en el equipo]],#REF!,#REF!)</f>
        <v>#REF!</v>
      </c>
      <c r="N557" t="s">
        <v>23</v>
      </c>
      <c r="O557" t="e">
        <f>+_xlfn.XLOOKUP(tbl_encuesta[[#This Row],[Siento que mi trabajo es reconocido por mi supervisor o jefe directo.]],#REF!,#REF!)</f>
        <v>#REF!</v>
      </c>
      <c r="P557" t="s">
        <v>31</v>
      </c>
      <c r="Q557" t="e">
        <f xml:space="preserve">
_xlfn.XLOOKUP(
tbl_encuesta[[#This Row],[Mi supervisor o jefe directo nos brinda charlas de 5 minutos y comunica las novedades relevantes a mi puesto de trabajo]],#REF!,#REF!
)</f>
        <v>#REF!</v>
      </c>
      <c r="R557" t="s">
        <v>17</v>
      </c>
      <c r="W557" t="s">
        <v>25</v>
      </c>
      <c r="X557" t="s">
        <v>23</v>
      </c>
      <c r="Y557" t="e">
        <f>+_xlfn.XLOOKUP(tbl_encuesta[[#This Row],[Considero a Limtek como un buen lugar para trabajar]],#REF!,#REF!)</f>
        <v>#REF!</v>
      </c>
      <c r="Z557" t="s">
        <v>1464</v>
      </c>
      <c r="AA557" t="s">
        <v>477</v>
      </c>
      <c r="AB557" t="s">
        <v>767</v>
      </c>
      <c r="AC557" s="3" t="s">
        <v>3610</v>
      </c>
      <c r="AD557" s="3" t="s">
        <v>3610</v>
      </c>
      <c r="AE557" t="s">
        <v>55</v>
      </c>
    </row>
    <row r="558" spans="1:31" x14ac:dyDescent="0.25">
      <c r="A558">
        <v>119028546750</v>
      </c>
      <c r="B558">
        <v>462598545</v>
      </c>
      <c r="C558" s="1">
        <v>46021.836562500001</v>
      </c>
      <c r="D558" s="1">
        <v>46021.844444444447</v>
      </c>
      <c r="E558" t="s">
        <v>1465</v>
      </c>
      <c r="F558" t="s">
        <v>23</v>
      </c>
      <c r="G558" t="e">
        <f>+_xlfn.XLOOKUP(tbl_encuesta[[#This Row],[Me siento a gusto con el ambiente de trabajo que se genera en mi equipo.]],#REF!,#REF!)</f>
        <v>#REF!</v>
      </c>
      <c r="H558" t="s">
        <v>23</v>
      </c>
      <c r="I558" t="e">
        <f>+_xlfn.XLOOKUP(tbl_encuesta[[#This Row],[Me siento motivado a dar lo mejor de mí y hacer un buen trabajo]],#REF!,#REF!)</f>
        <v>#REF!</v>
      </c>
      <c r="J558" t="s">
        <v>23</v>
      </c>
      <c r="K558" t="e">
        <f>+_xlfn.XLOOKUP(tbl_encuesta[[#This Row],[Mi supervisor o jefe directo me otorga el soporte que necesito para afrontar cualquier problema que afecte mi trabajo]],#REF!,#REF!)</f>
        <v>#REF!</v>
      </c>
      <c r="L558" t="s">
        <v>23</v>
      </c>
      <c r="M558" t="e">
        <f>+_xlfn.XLOOKUP(tbl_encuesta[[#This Row],[Mi supervisor o jefe directo fomenta que nos apoyemos entre todos en el equipo]],#REF!,#REF!)</f>
        <v>#REF!</v>
      </c>
      <c r="N558" t="s">
        <v>23</v>
      </c>
      <c r="O558" t="e">
        <f>+_xlfn.XLOOKUP(tbl_encuesta[[#This Row],[Siento que mi trabajo es reconocido por mi supervisor o jefe directo.]],#REF!,#REF!)</f>
        <v>#REF!</v>
      </c>
      <c r="P558" t="s">
        <v>31</v>
      </c>
      <c r="Q558" t="e">
        <f xml:space="preserve">
_xlfn.XLOOKUP(
tbl_encuesta[[#This Row],[Mi supervisor o jefe directo nos brinda charlas de 5 minutos y comunica las novedades relevantes a mi puesto de trabajo]],#REF!,#REF!
)</f>
        <v>#REF!</v>
      </c>
      <c r="R558" t="s">
        <v>17</v>
      </c>
      <c r="S558" t="s">
        <v>18</v>
      </c>
      <c r="W558" t="s">
        <v>25</v>
      </c>
      <c r="X558" t="s">
        <v>23</v>
      </c>
      <c r="Y558" t="e">
        <f>+_xlfn.XLOOKUP(tbl_encuesta[[#This Row],[Considero a Limtek como un buen lugar para trabajar]],#REF!,#REF!)</f>
        <v>#REF!</v>
      </c>
      <c r="Z558" t="s">
        <v>1466</v>
      </c>
      <c r="AA558" t="s">
        <v>1467</v>
      </c>
      <c r="AB558" t="s">
        <v>563</v>
      </c>
      <c r="AC558" s="3" t="s">
        <v>3716</v>
      </c>
      <c r="AD558" s="3" t="s">
        <v>3716</v>
      </c>
      <c r="AE558" t="s">
        <v>69</v>
      </c>
    </row>
    <row r="559" spans="1:31" x14ac:dyDescent="0.25">
      <c r="A559">
        <v>119028544507</v>
      </c>
      <c r="B559">
        <v>462598545</v>
      </c>
      <c r="C559" s="1">
        <v>46021.835486111115</v>
      </c>
      <c r="D559" s="1">
        <v>46021.838969907411</v>
      </c>
      <c r="E559" t="s">
        <v>1468</v>
      </c>
      <c r="F559" t="s">
        <v>23</v>
      </c>
      <c r="G559" t="e">
        <f>+_xlfn.XLOOKUP(tbl_encuesta[[#This Row],[Me siento a gusto con el ambiente de trabajo que se genera en mi equipo.]],#REF!,#REF!)</f>
        <v>#REF!</v>
      </c>
      <c r="H559" t="s">
        <v>23</v>
      </c>
      <c r="I559" t="e">
        <f>+_xlfn.XLOOKUP(tbl_encuesta[[#This Row],[Me siento motivado a dar lo mejor de mí y hacer un buen trabajo]],#REF!,#REF!)</f>
        <v>#REF!</v>
      </c>
      <c r="J559" t="s">
        <v>23</v>
      </c>
      <c r="K559" t="e">
        <f>+_xlfn.XLOOKUP(tbl_encuesta[[#This Row],[Mi supervisor o jefe directo me otorga el soporte que necesito para afrontar cualquier problema que afecte mi trabajo]],#REF!,#REF!)</f>
        <v>#REF!</v>
      </c>
      <c r="L559" t="s">
        <v>23</v>
      </c>
      <c r="M559" t="e">
        <f>+_xlfn.XLOOKUP(tbl_encuesta[[#This Row],[Mi supervisor o jefe directo fomenta que nos apoyemos entre todos en el equipo]],#REF!,#REF!)</f>
        <v>#REF!</v>
      </c>
      <c r="N559" t="s">
        <v>22</v>
      </c>
      <c r="O559" t="e">
        <f>+_xlfn.XLOOKUP(tbl_encuesta[[#This Row],[Siento que mi trabajo es reconocido por mi supervisor o jefe directo.]],#REF!,#REF!)</f>
        <v>#REF!</v>
      </c>
      <c r="P559" t="s">
        <v>31</v>
      </c>
      <c r="Q559" t="e">
        <f xml:space="preserve">
_xlfn.XLOOKUP(
tbl_encuesta[[#This Row],[Mi supervisor o jefe directo nos brinda charlas de 5 minutos y comunica las novedades relevantes a mi puesto de trabajo]],#REF!,#REF!
)</f>
        <v>#REF!</v>
      </c>
      <c r="R559" t="s">
        <v>17</v>
      </c>
      <c r="T559" t="s">
        <v>19</v>
      </c>
      <c r="W559" t="s">
        <v>25</v>
      </c>
      <c r="X559" t="s">
        <v>23</v>
      </c>
      <c r="Y559" t="e">
        <f>+_xlfn.XLOOKUP(tbl_encuesta[[#This Row],[Considero a Limtek como un buen lugar para trabajar]],#REF!,#REF!)</f>
        <v>#REF!</v>
      </c>
      <c r="Z559" t="s">
        <v>1469</v>
      </c>
      <c r="AA559" t="s">
        <v>1470</v>
      </c>
      <c r="AB559" t="s">
        <v>567</v>
      </c>
      <c r="AC559" s="3" t="s">
        <v>3758</v>
      </c>
      <c r="AD559" s="3" t="s">
        <v>3758</v>
      </c>
      <c r="AE559" t="s">
        <v>69</v>
      </c>
    </row>
    <row r="560" spans="1:31" x14ac:dyDescent="0.25">
      <c r="A560">
        <v>119028542706</v>
      </c>
      <c r="B560">
        <v>462598545</v>
      </c>
      <c r="C560" s="1">
        <v>46021.829421296294</v>
      </c>
      <c r="D560" s="1">
        <v>46021.834699074076</v>
      </c>
      <c r="E560" t="s">
        <v>1471</v>
      </c>
      <c r="F560" t="s">
        <v>23</v>
      </c>
      <c r="G560" t="e">
        <f>+_xlfn.XLOOKUP(tbl_encuesta[[#This Row],[Me siento a gusto con el ambiente de trabajo que se genera en mi equipo.]],#REF!,#REF!)</f>
        <v>#REF!</v>
      </c>
      <c r="H560" t="s">
        <v>23</v>
      </c>
      <c r="I560" t="e">
        <f>+_xlfn.XLOOKUP(tbl_encuesta[[#This Row],[Me siento motivado a dar lo mejor de mí y hacer un buen trabajo]],#REF!,#REF!)</f>
        <v>#REF!</v>
      </c>
      <c r="J560" t="s">
        <v>23</v>
      </c>
      <c r="K560" t="e">
        <f>+_xlfn.XLOOKUP(tbl_encuesta[[#This Row],[Mi supervisor o jefe directo me otorga el soporte que necesito para afrontar cualquier problema que afecte mi trabajo]],#REF!,#REF!)</f>
        <v>#REF!</v>
      </c>
      <c r="L560" t="s">
        <v>23</v>
      </c>
      <c r="M560" t="e">
        <f>+_xlfn.XLOOKUP(tbl_encuesta[[#This Row],[Mi supervisor o jefe directo fomenta que nos apoyemos entre todos en el equipo]],#REF!,#REF!)</f>
        <v>#REF!</v>
      </c>
      <c r="N560" t="s">
        <v>22</v>
      </c>
      <c r="O560" t="e">
        <f>+_xlfn.XLOOKUP(tbl_encuesta[[#This Row],[Siento que mi trabajo es reconocido por mi supervisor o jefe directo.]],#REF!,#REF!)</f>
        <v>#REF!</v>
      </c>
      <c r="P560" t="s">
        <v>31</v>
      </c>
      <c r="Q560" t="e">
        <f xml:space="preserve">
_xlfn.XLOOKUP(
tbl_encuesta[[#This Row],[Mi supervisor o jefe directo nos brinda charlas de 5 minutos y comunica las novedades relevantes a mi puesto de trabajo]],#REF!,#REF!
)</f>
        <v>#REF!</v>
      </c>
      <c r="R560" t="s">
        <v>17</v>
      </c>
      <c r="S560" t="s">
        <v>18</v>
      </c>
      <c r="W560" t="s">
        <v>25</v>
      </c>
      <c r="X560" t="s">
        <v>23</v>
      </c>
      <c r="Y560" t="e">
        <f>+_xlfn.XLOOKUP(tbl_encuesta[[#This Row],[Considero a Limtek como un buen lugar para trabajar]],#REF!,#REF!)</f>
        <v>#REF!</v>
      </c>
      <c r="Z560" t="s">
        <v>1472</v>
      </c>
      <c r="AA560" t="s">
        <v>1473</v>
      </c>
      <c r="AB560" t="s">
        <v>563</v>
      </c>
      <c r="AC560" s="3" t="s">
        <v>3831</v>
      </c>
      <c r="AD560" s="3" t="s">
        <v>3831</v>
      </c>
      <c r="AE560" t="s">
        <v>69</v>
      </c>
    </row>
    <row r="561" spans="1:31" x14ac:dyDescent="0.25">
      <c r="A561">
        <v>119028532311</v>
      </c>
      <c r="B561">
        <v>462598545</v>
      </c>
      <c r="C561" s="1">
        <v>46021.80709490741</v>
      </c>
      <c r="D561" s="1">
        <v>46021.809965277775</v>
      </c>
      <c r="E561" t="s">
        <v>1474</v>
      </c>
      <c r="F561" t="s">
        <v>23</v>
      </c>
      <c r="G561" t="e">
        <f>+_xlfn.XLOOKUP(tbl_encuesta[[#This Row],[Me siento a gusto con el ambiente de trabajo que se genera en mi equipo.]],#REF!,#REF!)</f>
        <v>#REF!</v>
      </c>
      <c r="H561" t="s">
        <v>23</v>
      </c>
      <c r="I561" t="e">
        <f>+_xlfn.XLOOKUP(tbl_encuesta[[#This Row],[Me siento motivado a dar lo mejor de mí y hacer un buen trabajo]],#REF!,#REF!)</f>
        <v>#REF!</v>
      </c>
      <c r="J561" t="s">
        <v>22</v>
      </c>
      <c r="K561" t="e">
        <f>+_xlfn.XLOOKUP(tbl_encuesta[[#This Row],[Mi supervisor o jefe directo me otorga el soporte que necesito para afrontar cualquier problema que afecte mi trabajo]],#REF!,#REF!)</f>
        <v>#REF!</v>
      </c>
      <c r="L561" t="s">
        <v>22</v>
      </c>
      <c r="M561" t="e">
        <f>+_xlfn.XLOOKUP(tbl_encuesta[[#This Row],[Mi supervisor o jefe directo fomenta que nos apoyemos entre todos en el equipo]],#REF!,#REF!)</f>
        <v>#REF!</v>
      </c>
      <c r="N561" t="s">
        <v>23</v>
      </c>
      <c r="O561" t="e">
        <f>+_xlfn.XLOOKUP(tbl_encuesta[[#This Row],[Siento que mi trabajo es reconocido por mi supervisor o jefe directo.]],#REF!,#REF!)</f>
        <v>#REF!</v>
      </c>
      <c r="P561" t="s">
        <v>67</v>
      </c>
      <c r="Q561" t="e">
        <f xml:space="preserve">
_xlfn.XLOOKUP(
tbl_encuesta[[#This Row],[Mi supervisor o jefe directo nos brinda charlas de 5 minutos y comunica las novedades relevantes a mi puesto de trabajo]],#REF!,#REF!
)</f>
        <v>#REF!</v>
      </c>
      <c r="R561" t="s">
        <v>17</v>
      </c>
      <c r="W561" t="s">
        <v>25</v>
      </c>
      <c r="X561" t="s">
        <v>22</v>
      </c>
      <c r="Y561" t="e">
        <f>+_xlfn.XLOOKUP(tbl_encuesta[[#This Row],[Considero a Limtek como un buen lugar para trabajar]],#REF!,#REF!)</f>
        <v>#REF!</v>
      </c>
      <c r="Z561" t="s">
        <v>1475</v>
      </c>
      <c r="AA561" t="s">
        <v>122</v>
      </c>
      <c r="AB561" t="s">
        <v>619</v>
      </c>
      <c r="AC561" t="s">
        <v>3744</v>
      </c>
      <c r="AD561" t="s">
        <v>3744</v>
      </c>
      <c r="AE561" t="s">
        <v>34</v>
      </c>
    </row>
    <row r="562" spans="1:31" x14ac:dyDescent="0.25">
      <c r="A562">
        <v>119028530539</v>
      </c>
      <c r="B562">
        <v>462598545</v>
      </c>
      <c r="C562" s="1">
        <v>46021.797395833331</v>
      </c>
      <c r="D562" s="1">
        <v>46021.806018518517</v>
      </c>
      <c r="E562" t="s">
        <v>1476</v>
      </c>
      <c r="F562" t="s">
        <v>23</v>
      </c>
      <c r="G562" t="e">
        <f>+_xlfn.XLOOKUP(tbl_encuesta[[#This Row],[Me siento a gusto con el ambiente de trabajo que se genera en mi equipo.]],#REF!,#REF!)</f>
        <v>#REF!</v>
      </c>
      <c r="H562" t="s">
        <v>23</v>
      </c>
      <c r="I562" t="e">
        <f>+_xlfn.XLOOKUP(tbl_encuesta[[#This Row],[Me siento motivado a dar lo mejor de mí y hacer un buen trabajo]],#REF!,#REF!)</f>
        <v>#REF!</v>
      </c>
      <c r="J562" t="s">
        <v>22</v>
      </c>
      <c r="K562" t="e">
        <f>+_xlfn.XLOOKUP(tbl_encuesta[[#This Row],[Mi supervisor o jefe directo me otorga el soporte que necesito para afrontar cualquier problema que afecte mi trabajo]],#REF!,#REF!)</f>
        <v>#REF!</v>
      </c>
      <c r="L562" t="s">
        <v>23</v>
      </c>
      <c r="M562" t="e">
        <f>+_xlfn.XLOOKUP(tbl_encuesta[[#This Row],[Mi supervisor o jefe directo fomenta que nos apoyemos entre todos en el equipo]],#REF!,#REF!)</f>
        <v>#REF!</v>
      </c>
      <c r="N562" t="s">
        <v>23</v>
      </c>
      <c r="O562" t="e">
        <f>+_xlfn.XLOOKUP(tbl_encuesta[[#This Row],[Siento que mi trabajo es reconocido por mi supervisor o jefe directo.]],#REF!,#REF!)</f>
        <v>#REF!</v>
      </c>
      <c r="P562" t="s">
        <v>31</v>
      </c>
      <c r="Q562" t="e">
        <f xml:space="preserve">
_xlfn.XLOOKUP(
tbl_encuesta[[#This Row],[Mi supervisor o jefe directo nos brinda charlas de 5 minutos y comunica las novedades relevantes a mi puesto de trabajo]],#REF!,#REF!
)</f>
        <v>#REF!</v>
      </c>
      <c r="R562" t="s">
        <v>17</v>
      </c>
      <c r="T562" t="s">
        <v>19</v>
      </c>
      <c r="W562" t="s">
        <v>46</v>
      </c>
      <c r="X562" t="s">
        <v>23</v>
      </c>
      <c r="Y562" t="e">
        <f>+_xlfn.XLOOKUP(tbl_encuesta[[#This Row],[Considero a Limtek como un buen lugar para trabajar]],#REF!,#REF!)</f>
        <v>#REF!</v>
      </c>
      <c r="Z562" t="s">
        <v>1477</v>
      </c>
      <c r="AA562" t="s">
        <v>1478</v>
      </c>
      <c r="AB562" t="s">
        <v>563</v>
      </c>
      <c r="AC562" s="3" t="s">
        <v>3716</v>
      </c>
      <c r="AD562" s="3" t="s">
        <v>3716</v>
      </c>
      <c r="AE562" t="s">
        <v>29</v>
      </c>
    </row>
    <row r="563" spans="1:31" x14ac:dyDescent="0.25">
      <c r="A563">
        <v>119028528679</v>
      </c>
      <c r="B563">
        <v>462598545</v>
      </c>
      <c r="C563" s="1">
        <v>46021.795671296299</v>
      </c>
      <c r="D563" s="1">
        <v>46021.801886574074</v>
      </c>
      <c r="E563" t="s">
        <v>1479</v>
      </c>
      <c r="F563" t="s">
        <v>23</v>
      </c>
      <c r="G563" t="e">
        <f>+_xlfn.XLOOKUP(tbl_encuesta[[#This Row],[Me siento a gusto con el ambiente de trabajo que se genera en mi equipo.]],#REF!,#REF!)</f>
        <v>#REF!</v>
      </c>
      <c r="H563" t="s">
        <v>23</v>
      </c>
      <c r="I563" t="e">
        <f>+_xlfn.XLOOKUP(tbl_encuesta[[#This Row],[Me siento motivado a dar lo mejor de mí y hacer un buen trabajo]],#REF!,#REF!)</f>
        <v>#REF!</v>
      </c>
      <c r="J563" t="s">
        <v>23</v>
      </c>
      <c r="K563" t="e">
        <f>+_xlfn.XLOOKUP(tbl_encuesta[[#This Row],[Mi supervisor o jefe directo me otorga el soporte que necesito para afrontar cualquier problema que afecte mi trabajo]],#REF!,#REF!)</f>
        <v>#REF!</v>
      </c>
      <c r="L563" t="s">
        <v>23</v>
      </c>
      <c r="M563" t="e">
        <f>+_xlfn.XLOOKUP(tbl_encuesta[[#This Row],[Mi supervisor o jefe directo fomenta que nos apoyemos entre todos en el equipo]],#REF!,#REF!)</f>
        <v>#REF!</v>
      </c>
      <c r="N563" t="s">
        <v>23</v>
      </c>
      <c r="O563" t="e">
        <f>+_xlfn.XLOOKUP(tbl_encuesta[[#This Row],[Siento que mi trabajo es reconocido por mi supervisor o jefe directo.]],#REF!,#REF!)</f>
        <v>#REF!</v>
      </c>
      <c r="P563" t="s">
        <v>31</v>
      </c>
      <c r="Q563" t="e">
        <f xml:space="preserve">
_xlfn.XLOOKUP(
tbl_encuesta[[#This Row],[Mi supervisor o jefe directo nos brinda charlas de 5 minutos y comunica las novedades relevantes a mi puesto de trabajo]],#REF!,#REF!
)</f>
        <v>#REF!</v>
      </c>
      <c r="V563" t="s">
        <v>1480</v>
      </c>
      <c r="W563" t="s">
        <v>25</v>
      </c>
      <c r="X563" t="s">
        <v>23</v>
      </c>
      <c r="Y563" t="e">
        <f>+_xlfn.XLOOKUP(tbl_encuesta[[#This Row],[Considero a Limtek como un buen lugar para trabajar]],#REF!,#REF!)</f>
        <v>#REF!</v>
      </c>
      <c r="Z563" t="s">
        <v>1481</v>
      </c>
      <c r="AA563" t="s">
        <v>1481</v>
      </c>
      <c r="AB563" t="s">
        <v>563</v>
      </c>
      <c r="AC563" s="3" t="s">
        <v>3610</v>
      </c>
      <c r="AD563" s="3" t="s">
        <v>3673</v>
      </c>
      <c r="AE563" t="s">
        <v>34</v>
      </c>
    </row>
    <row r="564" spans="1:31" x14ac:dyDescent="0.25">
      <c r="A564">
        <v>119028527070</v>
      </c>
      <c r="B564">
        <v>462598545</v>
      </c>
      <c r="C564" s="1">
        <v>46021.792847222219</v>
      </c>
      <c r="D564" s="1">
        <v>46021.798495370371</v>
      </c>
      <c r="E564" t="s">
        <v>1482</v>
      </c>
      <c r="F564" t="s">
        <v>22</v>
      </c>
      <c r="G564" t="e">
        <f>+_xlfn.XLOOKUP(tbl_encuesta[[#This Row],[Me siento a gusto con el ambiente de trabajo que se genera en mi equipo.]],#REF!,#REF!)</f>
        <v>#REF!</v>
      </c>
      <c r="H564" t="s">
        <v>23</v>
      </c>
      <c r="I564" t="e">
        <f>+_xlfn.XLOOKUP(tbl_encuesta[[#This Row],[Me siento motivado a dar lo mejor de mí y hacer un buen trabajo]],#REF!,#REF!)</f>
        <v>#REF!</v>
      </c>
      <c r="J564" t="s">
        <v>23</v>
      </c>
      <c r="K564" t="e">
        <f>+_xlfn.XLOOKUP(tbl_encuesta[[#This Row],[Mi supervisor o jefe directo me otorga el soporte que necesito para afrontar cualquier problema que afecte mi trabajo]],#REF!,#REF!)</f>
        <v>#REF!</v>
      </c>
      <c r="L564" t="s">
        <v>23</v>
      </c>
      <c r="M564" t="e">
        <f>+_xlfn.XLOOKUP(tbl_encuesta[[#This Row],[Mi supervisor o jefe directo fomenta que nos apoyemos entre todos en el equipo]],#REF!,#REF!)</f>
        <v>#REF!</v>
      </c>
      <c r="N564" t="s">
        <v>23</v>
      </c>
      <c r="O564" t="e">
        <f>+_xlfn.XLOOKUP(tbl_encuesta[[#This Row],[Siento que mi trabajo es reconocido por mi supervisor o jefe directo.]],#REF!,#REF!)</f>
        <v>#REF!</v>
      </c>
      <c r="P564" t="s">
        <v>24</v>
      </c>
      <c r="Q564" t="e">
        <f xml:space="preserve">
_xlfn.XLOOKUP(
tbl_encuesta[[#This Row],[Mi supervisor o jefe directo nos brinda charlas de 5 minutos y comunica las novedades relevantes a mi puesto de trabajo]],#REF!,#REF!
)</f>
        <v>#REF!</v>
      </c>
      <c r="R564" t="s">
        <v>17</v>
      </c>
      <c r="S564" t="s">
        <v>18</v>
      </c>
      <c r="W564" t="s">
        <v>25</v>
      </c>
      <c r="X564" t="s">
        <v>23</v>
      </c>
      <c r="Y564" t="e">
        <f>+_xlfn.XLOOKUP(tbl_encuesta[[#This Row],[Considero a Limtek como un buen lugar para trabajar]],#REF!,#REF!)</f>
        <v>#REF!</v>
      </c>
      <c r="Z564" t="s">
        <v>1483</v>
      </c>
      <c r="AA564" t="s">
        <v>1484</v>
      </c>
      <c r="AB564" t="s">
        <v>559</v>
      </c>
      <c r="AC564" t="s">
        <v>3744</v>
      </c>
      <c r="AD564" t="s">
        <v>3744</v>
      </c>
      <c r="AE564" t="s">
        <v>34</v>
      </c>
    </row>
    <row r="565" spans="1:31" x14ac:dyDescent="0.25">
      <c r="A565">
        <v>119028525862</v>
      </c>
      <c r="B565">
        <v>462598545</v>
      </c>
      <c r="C565" s="1">
        <v>46021.78733796296</v>
      </c>
      <c r="D565" s="1">
        <v>46021.795949074076</v>
      </c>
      <c r="E565" t="s">
        <v>1485</v>
      </c>
      <c r="F565" t="s">
        <v>43</v>
      </c>
      <c r="G565" t="e">
        <f>+_xlfn.XLOOKUP(tbl_encuesta[[#This Row],[Me siento a gusto con el ambiente de trabajo que se genera en mi equipo.]],#REF!,#REF!)</f>
        <v>#REF!</v>
      </c>
      <c r="H565" t="s">
        <v>23</v>
      </c>
      <c r="I565" t="e">
        <f>+_xlfn.XLOOKUP(tbl_encuesta[[#This Row],[Me siento motivado a dar lo mejor de mí y hacer un buen trabajo]],#REF!,#REF!)</f>
        <v>#REF!</v>
      </c>
      <c r="J565" t="s">
        <v>23</v>
      </c>
      <c r="K565" t="e">
        <f>+_xlfn.XLOOKUP(tbl_encuesta[[#This Row],[Mi supervisor o jefe directo me otorga el soporte que necesito para afrontar cualquier problema que afecte mi trabajo]],#REF!,#REF!)</f>
        <v>#REF!</v>
      </c>
      <c r="L565" t="s">
        <v>23</v>
      </c>
      <c r="M565" t="e">
        <f>+_xlfn.XLOOKUP(tbl_encuesta[[#This Row],[Mi supervisor o jefe directo fomenta que nos apoyemos entre todos en el equipo]],#REF!,#REF!)</f>
        <v>#REF!</v>
      </c>
      <c r="N565" t="s">
        <v>22</v>
      </c>
      <c r="O565" t="e">
        <f>+_xlfn.XLOOKUP(tbl_encuesta[[#This Row],[Siento que mi trabajo es reconocido por mi supervisor o jefe directo.]],#REF!,#REF!)</f>
        <v>#REF!</v>
      </c>
      <c r="P565" t="s">
        <v>31</v>
      </c>
      <c r="Q565" t="e">
        <f xml:space="preserve">
_xlfn.XLOOKUP(
tbl_encuesta[[#This Row],[Mi supervisor o jefe directo nos brinda charlas de 5 minutos y comunica las novedades relevantes a mi puesto de trabajo]],#REF!,#REF!
)</f>
        <v>#REF!</v>
      </c>
      <c r="V565" t="s">
        <v>1486</v>
      </c>
      <c r="W565" t="s">
        <v>25</v>
      </c>
      <c r="X565" t="s">
        <v>23</v>
      </c>
      <c r="Y565" t="e">
        <f>+_xlfn.XLOOKUP(tbl_encuesta[[#This Row],[Considero a Limtek como un buen lugar para trabajar]],#REF!,#REF!)</f>
        <v>#REF!</v>
      </c>
      <c r="Z565" t="s">
        <v>822</v>
      </c>
      <c r="AA565" t="s">
        <v>1487</v>
      </c>
      <c r="AB565" t="s">
        <v>28</v>
      </c>
      <c r="AC565" s="3" t="s">
        <v>3705</v>
      </c>
      <c r="AD565" s="3" t="s">
        <v>3705</v>
      </c>
      <c r="AE565" t="s">
        <v>34</v>
      </c>
    </row>
    <row r="566" spans="1:31" x14ac:dyDescent="0.25">
      <c r="A566">
        <v>119028517595</v>
      </c>
      <c r="B566">
        <v>462598545</v>
      </c>
      <c r="C566" s="1">
        <v>46021.75880787037</v>
      </c>
      <c r="D566" s="1">
        <v>46021.777372685188</v>
      </c>
      <c r="E566" t="s">
        <v>1488</v>
      </c>
      <c r="F566" t="s">
        <v>23</v>
      </c>
      <c r="G566" t="e">
        <f>+_xlfn.XLOOKUP(tbl_encuesta[[#This Row],[Me siento a gusto con el ambiente de trabajo que se genera en mi equipo.]],#REF!,#REF!)</f>
        <v>#REF!</v>
      </c>
      <c r="H566" t="s">
        <v>22</v>
      </c>
      <c r="I566" t="e">
        <f>+_xlfn.XLOOKUP(tbl_encuesta[[#This Row],[Me siento motivado a dar lo mejor de mí y hacer un buen trabajo]],#REF!,#REF!)</f>
        <v>#REF!</v>
      </c>
      <c r="J566" t="s">
        <v>23</v>
      </c>
      <c r="K566" t="e">
        <f>+_xlfn.XLOOKUP(tbl_encuesta[[#This Row],[Mi supervisor o jefe directo me otorga el soporte que necesito para afrontar cualquier problema que afecte mi trabajo]],#REF!,#REF!)</f>
        <v>#REF!</v>
      </c>
      <c r="L566" t="s">
        <v>23</v>
      </c>
      <c r="M566" t="e">
        <f>+_xlfn.XLOOKUP(tbl_encuesta[[#This Row],[Mi supervisor o jefe directo fomenta que nos apoyemos entre todos en el equipo]],#REF!,#REF!)</f>
        <v>#REF!</v>
      </c>
      <c r="N566" t="s">
        <v>23</v>
      </c>
      <c r="O566" t="e">
        <f>+_xlfn.XLOOKUP(tbl_encuesta[[#This Row],[Siento que mi trabajo es reconocido por mi supervisor o jefe directo.]],#REF!,#REF!)</f>
        <v>#REF!</v>
      </c>
      <c r="P566" t="s">
        <v>31</v>
      </c>
      <c r="Q566" t="e">
        <f xml:space="preserve">
_xlfn.XLOOKUP(
tbl_encuesta[[#This Row],[Mi supervisor o jefe directo nos brinda charlas de 5 minutos y comunica las novedades relevantes a mi puesto de trabajo]],#REF!,#REF!
)</f>
        <v>#REF!</v>
      </c>
      <c r="R566" t="s">
        <v>17</v>
      </c>
      <c r="W566" t="s">
        <v>25</v>
      </c>
      <c r="X566" t="s">
        <v>23</v>
      </c>
      <c r="Y566" t="e">
        <f>+_xlfn.XLOOKUP(tbl_encuesta[[#This Row],[Considero a Limtek como un buen lugar para trabajar]],#REF!,#REF!)</f>
        <v>#REF!</v>
      </c>
      <c r="Z566" t="s">
        <v>1489</v>
      </c>
      <c r="AA566" t="s">
        <v>1490</v>
      </c>
      <c r="AB566" t="s">
        <v>1491</v>
      </c>
      <c r="AC566" t="s">
        <v>3744</v>
      </c>
      <c r="AD566" t="s">
        <v>3744</v>
      </c>
      <c r="AE566" t="s">
        <v>34</v>
      </c>
    </row>
    <row r="567" spans="1:31" x14ac:dyDescent="0.25">
      <c r="A567">
        <v>119028516752</v>
      </c>
      <c r="B567">
        <v>462598545</v>
      </c>
      <c r="C567" s="1">
        <v>46021.77003472222</v>
      </c>
      <c r="D567" s="1">
        <v>46021.775509259256</v>
      </c>
      <c r="E567" t="s">
        <v>1492</v>
      </c>
      <c r="F567" t="s">
        <v>23</v>
      </c>
      <c r="G567" t="e">
        <f>+_xlfn.XLOOKUP(tbl_encuesta[[#This Row],[Me siento a gusto con el ambiente de trabajo que se genera en mi equipo.]],#REF!,#REF!)</f>
        <v>#REF!</v>
      </c>
      <c r="H567" t="s">
        <v>23</v>
      </c>
      <c r="I567" t="e">
        <f>+_xlfn.XLOOKUP(tbl_encuesta[[#This Row],[Me siento motivado a dar lo mejor de mí y hacer un buen trabajo]],#REF!,#REF!)</f>
        <v>#REF!</v>
      </c>
      <c r="J567" t="s">
        <v>23</v>
      </c>
      <c r="K567" t="e">
        <f>+_xlfn.XLOOKUP(tbl_encuesta[[#This Row],[Mi supervisor o jefe directo me otorga el soporte que necesito para afrontar cualquier problema que afecte mi trabajo]],#REF!,#REF!)</f>
        <v>#REF!</v>
      </c>
      <c r="L567" t="s">
        <v>23</v>
      </c>
      <c r="M567" t="e">
        <f>+_xlfn.XLOOKUP(tbl_encuesta[[#This Row],[Mi supervisor o jefe directo fomenta que nos apoyemos entre todos en el equipo]],#REF!,#REF!)</f>
        <v>#REF!</v>
      </c>
      <c r="N567" t="s">
        <v>23</v>
      </c>
      <c r="O567" t="e">
        <f>+_xlfn.XLOOKUP(tbl_encuesta[[#This Row],[Siento que mi trabajo es reconocido por mi supervisor o jefe directo.]],#REF!,#REF!)</f>
        <v>#REF!</v>
      </c>
      <c r="P567" t="s">
        <v>31</v>
      </c>
      <c r="Q567" t="e">
        <f xml:space="preserve">
_xlfn.XLOOKUP(
tbl_encuesta[[#This Row],[Mi supervisor o jefe directo nos brinda charlas de 5 minutos y comunica las novedades relevantes a mi puesto de trabajo]],#REF!,#REF!
)</f>
        <v>#REF!</v>
      </c>
      <c r="S567" t="s">
        <v>18</v>
      </c>
      <c r="U567" t="s">
        <v>20</v>
      </c>
      <c r="W567" t="s">
        <v>25</v>
      </c>
      <c r="X567" t="s">
        <v>23</v>
      </c>
      <c r="Y567" t="e">
        <f>+_xlfn.XLOOKUP(tbl_encuesta[[#This Row],[Considero a Limtek como un buen lugar para trabajar]],#REF!,#REF!)</f>
        <v>#REF!</v>
      </c>
      <c r="Z567" t="s">
        <v>1493</v>
      </c>
      <c r="AA567" t="s">
        <v>1494</v>
      </c>
      <c r="AB567" t="s">
        <v>28</v>
      </c>
      <c r="AC567" s="3" t="s">
        <v>3749</v>
      </c>
      <c r="AD567" s="3" t="s">
        <v>3750</v>
      </c>
      <c r="AE567" t="s">
        <v>34</v>
      </c>
    </row>
    <row r="568" spans="1:31" x14ac:dyDescent="0.25">
      <c r="A568">
        <v>119028515926</v>
      </c>
      <c r="B568">
        <v>462598545</v>
      </c>
      <c r="C568" s="1">
        <v>46021.765613425923</v>
      </c>
      <c r="D568" s="1">
        <v>46021.773877314816</v>
      </c>
      <c r="E568" t="s">
        <v>1495</v>
      </c>
      <c r="F568" t="s">
        <v>23</v>
      </c>
      <c r="G568" t="e">
        <f>+_xlfn.XLOOKUP(tbl_encuesta[[#This Row],[Me siento a gusto con el ambiente de trabajo que se genera en mi equipo.]],#REF!,#REF!)</f>
        <v>#REF!</v>
      </c>
      <c r="H568" t="s">
        <v>23</v>
      </c>
      <c r="I568" t="e">
        <f>+_xlfn.XLOOKUP(tbl_encuesta[[#This Row],[Me siento motivado a dar lo mejor de mí y hacer un buen trabajo]],#REF!,#REF!)</f>
        <v>#REF!</v>
      </c>
      <c r="J568" t="s">
        <v>23</v>
      </c>
      <c r="K568" t="e">
        <f>+_xlfn.XLOOKUP(tbl_encuesta[[#This Row],[Mi supervisor o jefe directo me otorga el soporte que necesito para afrontar cualquier problema que afecte mi trabajo]],#REF!,#REF!)</f>
        <v>#REF!</v>
      </c>
      <c r="L568" t="s">
        <v>23</v>
      </c>
      <c r="M568" t="e">
        <f>+_xlfn.XLOOKUP(tbl_encuesta[[#This Row],[Mi supervisor o jefe directo fomenta que nos apoyemos entre todos en el equipo]],#REF!,#REF!)</f>
        <v>#REF!</v>
      </c>
      <c r="N568" t="s">
        <v>23</v>
      </c>
      <c r="O568" t="e">
        <f>+_xlfn.XLOOKUP(tbl_encuesta[[#This Row],[Siento que mi trabajo es reconocido por mi supervisor o jefe directo.]],#REF!,#REF!)</f>
        <v>#REF!</v>
      </c>
      <c r="P568" t="s">
        <v>31</v>
      </c>
      <c r="Q568" t="e">
        <f xml:space="preserve">
_xlfn.XLOOKUP(
tbl_encuesta[[#This Row],[Mi supervisor o jefe directo nos brinda charlas de 5 minutos y comunica las novedades relevantes a mi puesto de trabajo]],#REF!,#REF!
)</f>
        <v>#REF!</v>
      </c>
      <c r="R568" t="s">
        <v>17</v>
      </c>
      <c r="T568" t="s">
        <v>19</v>
      </c>
      <c r="W568" t="s">
        <v>46</v>
      </c>
      <c r="X568" t="s">
        <v>23</v>
      </c>
      <c r="Y568" t="e">
        <f>+_xlfn.XLOOKUP(tbl_encuesta[[#This Row],[Considero a Limtek como un buen lugar para trabajar]],#REF!,#REF!)</f>
        <v>#REF!</v>
      </c>
      <c r="Z568" t="s">
        <v>1496</v>
      </c>
      <c r="AA568" t="s">
        <v>1497</v>
      </c>
      <c r="AB568" t="s">
        <v>559</v>
      </c>
      <c r="AC568" s="3" t="s">
        <v>3716</v>
      </c>
      <c r="AD568" s="3" t="s">
        <v>1431</v>
      </c>
      <c r="AE568" t="s">
        <v>29</v>
      </c>
    </row>
    <row r="569" spans="1:31" x14ac:dyDescent="0.25">
      <c r="A569">
        <v>119028515308</v>
      </c>
      <c r="B569">
        <v>462598545</v>
      </c>
      <c r="C569" s="1">
        <v>46021.765300925923</v>
      </c>
      <c r="D569" s="1">
        <v>46021.772418981483</v>
      </c>
      <c r="E569" t="s">
        <v>1498</v>
      </c>
      <c r="F569" t="s">
        <v>23</v>
      </c>
      <c r="G569" t="e">
        <f>+_xlfn.XLOOKUP(tbl_encuesta[[#This Row],[Me siento a gusto con el ambiente de trabajo que se genera en mi equipo.]],#REF!,#REF!)</f>
        <v>#REF!</v>
      </c>
      <c r="H569" t="s">
        <v>23</v>
      </c>
      <c r="I569" t="e">
        <f>+_xlfn.XLOOKUP(tbl_encuesta[[#This Row],[Me siento motivado a dar lo mejor de mí y hacer un buen trabajo]],#REF!,#REF!)</f>
        <v>#REF!</v>
      </c>
      <c r="J569" t="s">
        <v>23</v>
      </c>
      <c r="K569" t="e">
        <f>+_xlfn.XLOOKUP(tbl_encuesta[[#This Row],[Mi supervisor o jefe directo me otorga el soporte que necesito para afrontar cualquier problema que afecte mi trabajo]],#REF!,#REF!)</f>
        <v>#REF!</v>
      </c>
      <c r="L569" t="s">
        <v>23</v>
      </c>
      <c r="M569" t="e">
        <f>+_xlfn.XLOOKUP(tbl_encuesta[[#This Row],[Mi supervisor o jefe directo fomenta que nos apoyemos entre todos en el equipo]],#REF!,#REF!)</f>
        <v>#REF!</v>
      </c>
      <c r="N569" t="s">
        <v>22</v>
      </c>
      <c r="O569" t="e">
        <f>+_xlfn.XLOOKUP(tbl_encuesta[[#This Row],[Siento que mi trabajo es reconocido por mi supervisor o jefe directo.]],#REF!,#REF!)</f>
        <v>#REF!</v>
      </c>
      <c r="P569" t="s">
        <v>31</v>
      </c>
      <c r="Q569" t="e">
        <f xml:space="preserve">
_xlfn.XLOOKUP(
tbl_encuesta[[#This Row],[Mi supervisor o jefe directo nos brinda charlas de 5 minutos y comunica las novedades relevantes a mi puesto de trabajo]],#REF!,#REF!
)</f>
        <v>#REF!</v>
      </c>
      <c r="R569" t="s">
        <v>17</v>
      </c>
      <c r="T569" t="s">
        <v>19</v>
      </c>
      <c r="W569" t="s">
        <v>46</v>
      </c>
      <c r="X569" t="s">
        <v>23</v>
      </c>
      <c r="Y569" t="e">
        <f>+_xlfn.XLOOKUP(tbl_encuesta[[#This Row],[Considero a Limtek como un buen lugar para trabajar]],#REF!,#REF!)</f>
        <v>#REF!</v>
      </c>
      <c r="Z569" t="s">
        <v>1499</v>
      </c>
      <c r="AA569" t="s">
        <v>1500</v>
      </c>
      <c r="AB569" t="s">
        <v>563</v>
      </c>
      <c r="AC569" s="3" t="s">
        <v>3610</v>
      </c>
      <c r="AD569" s="3" t="s">
        <v>3667</v>
      </c>
      <c r="AE569" t="s">
        <v>55</v>
      </c>
    </row>
    <row r="570" spans="1:31" x14ac:dyDescent="0.25">
      <c r="A570">
        <v>119028509315</v>
      </c>
      <c r="B570">
        <v>462598545</v>
      </c>
      <c r="C570" s="1">
        <v>46021.755335648151</v>
      </c>
      <c r="D570" s="1">
        <v>46021.759618055556</v>
      </c>
      <c r="E570" t="s">
        <v>1501</v>
      </c>
      <c r="F570" t="s">
        <v>23</v>
      </c>
      <c r="G570" t="e">
        <f>+_xlfn.XLOOKUP(tbl_encuesta[[#This Row],[Me siento a gusto con el ambiente de trabajo que se genera en mi equipo.]],#REF!,#REF!)</f>
        <v>#REF!</v>
      </c>
      <c r="H570" t="s">
        <v>23</v>
      </c>
      <c r="I570" t="e">
        <f>+_xlfn.XLOOKUP(tbl_encuesta[[#This Row],[Me siento motivado a dar lo mejor de mí y hacer un buen trabajo]],#REF!,#REF!)</f>
        <v>#REF!</v>
      </c>
      <c r="J570" t="s">
        <v>23</v>
      </c>
      <c r="K570" t="e">
        <f>+_xlfn.XLOOKUP(tbl_encuesta[[#This Row],[Mi supervisor o jefe directo me otorga el soporte que necesito para afrontar cualquier problema que afecte mi trabajo]],#REF!,#REF!)</f>
        <v>#REF!</v>
      </c>
      <c r="L570" t="s">
        <v>23</v>
      </c>
      <c r="M570" t="e">
        <f>+_xlfn.XLOOKUP(tbl_encuesta[[#This Row],[Mi supervisor o jefe directo fomenta que nos apoyemos entre todos en el equipo]],#REF!,#REF!)</f>
        <v>#REF!</v>
      </c>
      <c r="N570" t="s">
        <v>22</v>
      </c>
      <c r="O570" t="e">
        <f>+_xlfn.XLOOKUP(tbl_encuesta[[#This Row],[Siento que mi trabajo es reconocido por mi supervisor o jefe directo.]],#REF!,#REF!)</f>
        <v>#REF!</v>
      </c>
      <c r="P570" t="s">
        <v>31</v>
      </c>
      <c r="Q570" t="e">
        <f xml:space="preserve">
_xlfn.XLOOKUP(
tbl_encuesta[[#This Row],[Mi supervisor o jefe directo nos brinda charlas de 5 minutos y comunica las novedades relevantes a mi puesto de trabajo]],#REF!,#REF!
)</f>
        <v>#REF!</v>
      </c>
      <c r="U570" t="s">
        <v>20</v>
      </c>
      <c r="W570" t="s">
        <v>25</v>
      </c>
      <c r="X570" t="s">
        <v>23</v>
      </c>
      <c r="Y570" t="e">
        <f>+_xlfn.XLOOKUP(tbl_encuesta[[#This Row],[Considero a Limtek como un buen lugar para trabajar]],#REF!,#REF!)</f>
        <v>#REF!</v>
      </c>
      <c r="Z570" t="s">
        <v>1502</v>
      </c>
      <c r="AA570" t="s">
        <v>1503</v>
      </c>
      <c r="AB570" t="s">
        <v>687</v>
      </c>
      <c r="AC570" s="3" t="s">
        <v>3610</v>
      </c>
      <c r="AD570" s="3" t="s">
        <v>3674</v>
      </c>
      <c r="AE570" t="s">
        <v>34</v>
      </c>
    </row>
    <row r="571" spans="1:31" x14ac:dyDescent="0.25">
      <c r="A571">
        <v>119028506378</v>
      </c>
      <c r="B571">
        <v>462598545</v>
      </c>
      <c r="C571" s="1">
        <v>46021.750972222224</v>
      </c>
      <c r="D571" s="1">
        <v>46021.753379629627</v>
      </c>
      <c r="E571" t="s">
        <v>1504</v>
      </c>
      <c r="F571" t="s">
        <v>23</v>
      </c>
      <c r="G571" t="e">
        <f>+_xlfn.XLOOKUP(tbl_encuesta[[#This Row],[Me siento a gusto con el ambiente de trabajo que se genera en mi equipo.]],#REF!,#REF!)</f>
        <v>#REF!</v>
      </c>
      <c r="H571" t="s">
        <v>23</v>
      </c>
      <c r="I571" t="e">
        <f>+_xlfn.XLOOKUP(tbl_encuesta[[#This Row],[Me siento motivado a dar lo mejor de mí y hacer un buen trabajo]],#REF!,#REF!)</f>
        <v>#REF!</v>
      </c>
      <c r="J571" t="s">
        <v>23</v>
      </c>
      <c r="K571" t="e">
        <f>+_xlfn.XLOOKUP(tbl_encuesta[[#This Row],[Mi supervisor o jefe directo me otorga el soporte que necesito para afrontar cualquier problema que afecte mi trabajo]],#REF!,#REF!)</f>
        <v>#REF!</v>
      </c>
      <c r="L571" t="s">
        <v>23</v>
      </c>
      <c r="M571" t="e">
        <f>+_xlfn.XLOOKUP(tbl_encuesta[[#This Row],[Mi supervisor o jefe directo fomenta que nos apoyemos entre todos en el equipo]],#REF!,#REF!)</f>
        <v>#REF!</v>
      </c>
      <c r="N571" t="s">
        <v>23</v>
      </c>
      <c r="O571" t="e">
        <f>+_xlfn.XLOOKUP(tbl_encuesta[[#This Row],[Siento que mi trabajo es reconocido por mi supervisor o jefe directo.]],#REF!,#REF!)</f>
        <v>#REF!</v>
      </c>
      <c r="P571" t="s">
        <v>31</v>
      </c>
      <c r="Q571" t="e">
        <f xml:space="preserve">
_xlfn.XLOOKUP(
tbl_encuesta[[#This Row],[Mi supervisor o jefe directo nos brinda charlas de 5 minutos y comunica las novedades relevantes a mi puesto de trabajo]],#REF!,#REF!
)</f>
        <v>#REF!</v>
      </c>
      <c r="R571" t="s">
        <v>17</v>
      </c>
      <c r="U571" t="s">
        <v>20</v>
      </c>
      <c r="W571" t="s">
        <v>25</v>
      </c>
      <c r="X571" t="s">
        <v>23</v>
      </c>
      <c r="Y571" t="e">
        <f>+_xlfn.XLOOKUP(tbl_encuesta[[#This Row],[Considero a Limtek como un buen lugar para trabajar]],#REF!,#REF!)</f>
        <v>#REF!</v>
      </c>
      <c r="Z571" t="s">
        <v>1505</v>
      </c>
      <c r="AA571" t="s">
        <v>1506</v>
      </c>
      <c r="AB571" t="s">
        <v>38</v>
      </c>
      <c r="AC571" s="3" t="s">
        <v>3610</v>
      </c>
      <c r="AD571" s="3" t="s">
        <v>3675</v>
      </c>
      <c r="AE571" t="s">
        <v>34</v>
      </c>
    </row>
    <row r="572" spans="1:31" x14ac:dyDescent="0.25">
      <c r="A572">
        <v>119028504521</v>
      </c>
      <c r="B572">
        <v>462598545</v>
      </c>
      <c r="C572" s="1">
        <v>46021.744085648148</v>
      </c>
      <c r="D572" s="1">
        <v>46021.749340277776</v>
      </c>
      <c r="E572" t="s">
        <v>1507</v>
      </c>
      <c r="F572" t="s">
        <v>23</v>
      </c>
      <c r="G572" t="e">
        <f>+_xlfn.XLOOKUP(tbl_encuesta[[#This Row],[Me siento a gusto con el ambiente de trabajo que se genera en mi equipo.]],#REF!,#REF!)</f>
        <v>#REF!</v>
      </c>
      <c r="H572" t="s">
        <v>23</v>
      </c>
      <c r="I572" t="e">
        <f>+_xlfn.XLOOKUP(tbl_encuesta[[#This Row],[Me siento motivado a dar lo mejor de mí y hacer un buen trabajo]],#REF!,#REF!)</f>
        <v>#REF!</v>
      </c>
      <c r="J572" t="s">
        <v>23</v>
      </c>
      <c r="K572" t="e">
        <f>+_xlfn.XLOOKUP(tbl_encuesta[[#This Row],[Mi supervisor o jefe directo me otorga el soporte que necesito para afrontar cualquier problema que afecte mi trabajo]],#REF!,#REF!)</f>
        <v>#REF!</v>
      </c>
      <c r="L572" t="s">
        <v>97</v>
      </c>
      <c r="M572" t="e">
        <f>+_xlfn.XLOOKUP(tbl_encuesta[[#This Row],[Mi supervisor o jefe directo fomenta que nos apoyemos entre todos en el equipo]],#REF!,#REF!)</f>
        <v>#REF!</v>
      </c>
      <c r="N572" t="s">
        <v>23</v>
      </c>
      <c r="O572" t="e">
        <f>+_xlfn.XLOOKUP(tbl_encuesta[[#This Row],[Siento que mi trabajo es reconocido por mi supervisor o jefe directo.]],#REF!,#REF!)</f>
        <v>#REF!</v>
      </c>
      <c r="P572" t="s">
        <v>67</v>
      </c>
      <c r="Q572" t="e">
        <f xml:space="preserve">
_xlfn.XLOOKUP(
tbl_encuesta[[#This Row],[Mi supervisor o jefe directo nos brinda charlas de 5 minutos y comunica las novedades relevantes a mi puesto de trabajo]],#REF!,#REF!
)</f>
        <v>#REF!</v>
      </c>
      <c r="S572" t="s">
        <v>18</v>
      </c>
      <c r="W572" t="s">
        <v>25</v>
      </c>
      <c r="X572" t="s">
        <v>23</v>
      </c>
      <c r="Y572" t="e">
        <f>+_xlfn.XLOOKUP(tbl_encuesta[[#This Row],[Considero a Limtek como un buen lugar para trabajar]],#REF!,#REF!)</f>
        <v>#REF!</v>
      </c>
      <c r="Z572" t="s">
        <v>1508</v>
      </c>
      <c r="AA572" t="s">
        <v>725</v>
      </c>
      <c r="AB572" t="s">
        <v>726</v>
      </c>
      <c r="AC572" s="3" t="s">
        <v>3610</v>
      </c>
      <c r="AD572" s="3" t="s">
        <v>3676</v>
      </c>
      <c r="AE572" t="s">
        <v>34</v>
      </c>
    </row>
    <row r="573" spans="1:31" x14ac:dyDescent="0.25">
      <c r="A573">
        <v>119028502591</v>
      </c>
      <c r="B573">
        <v>462598545</v>
      </c>
      <c r="C573" s="1">
        <v>46021.743738425925</v>
      </c>
      <c r="D573" s="1">
        <v>46021.745219907411</v>
      </c>
      <c r="E573" t="s">
        <v>1509</v>
      </c>
      <c r="F573" t="s">
        <v>23</v>
      </c>
      <c r="G573" t="e">
        <f>+_xlfn.XLOOKUP(tbl_encuesta[[#This Row],[Me siento a gusto con el ambiente de trabajo que se genera en mi equipo.]],#REF!,#REF!)</f>
        <v>#REF!</v>
      </c>
      <c r="H573" t="s">
        <v>23</v>
      </c>
      <c r="I573" t="e">
        <f>+_xlfn.XLOOKUP(tbl_encuesta[[#This Row],[Me siento motivado a dar lo mejor de mí y hacer un buen trabajo]],#REF!,#REF!)</f>
        <v>#REF!</v>
      </c>
      <c r="J573" t="s">
        <v>23</v>
      </c>
      <c r="K573" t="e">
        <f>+_xlfn.XLOOKUP(tbl_encuesta[[#This Row],[Mi supervisor o jefe directo me otorga el soporte que necesito para afrontar cualquier problema que afecte mi trabajo]],#REF!,#REF!)</f>
        <v>#REF!</v>
      </c>
      <c r="L573" t="s">
        <v>23</v>
      </c>
      <c r="M573" t="e">
        <f>+_xlfn.XLOOKUP(tbl_encuesta[[#This Row],[Mi supervisor o jefe directo fomenta que nos apoyemos entre todos en el equipo]],#REF!,#REF!)</f>
        <v>#REF!</v>
      </c>
      <c r="N573" t="s">
        <v>23</v>
      </c>
      <c r="O573" t="e">
        <f>+_xlfn.XLOOKUP(tbl_encuesta[[#This Row],[Siento que mi trabajo es reconocido por mi supervisor o jefe directo.]],#REF!,#REF!)</f>
        <v>#REF!</v>
      </c>
      <c r="P573" t="s">
        <v>31</v>
      </c>
      <c r="Q573" t="e">
        <f xml:space="preserve">
_xlfn.XLOOKUP(
tbl_encuesta[[#This Row],[Mi supervisor o jefe directo nos brinda charlas de 5 minutos y comunica las novedades relevantes a mi puesto de trabajo]],#REF!,#REF!
)</f>
        <v>#REF!</v>
      </c>
      <c r="R573" t="s">
        <v>17</v>
      </c>
      <c r="W573" t="s">
        <v>25</v>
      </c>
      <c r="X573" t="s">
        <v>23</v>
      </c>
      <c r="Y573" t="e">
        <f>+_xlfn.XLOOKUP(tbl_encuesta[[#This Row],[Considero a Limtek como un buen lugar para trabajar]],#REF!,#REF!)</f>
        <v>#REF!</v>
      </c>
      <c r="Z573" t="s">
        <v>1510</v>
      </c>
      <c r="AA573" t="s">
        <v>1511</v>
      </c>
      <c r="AB573" t="s">
        <v>38</v>
      </c>
      <c r="AC573" s="3" t="s">
        <v>3610</v>
      </c>
      <c r="AD573" s="3" t="s">
        <v>3677</v>
      </c>
      <c r="AE573" t="s">
        <v>61</v>
      </c>
    </row>
    <row r="574" spans="1:31" x14ac:dyDescent="0.25">
      <c r="A574">
        <v>119028499391</v>
      </c>
      <c r="B574">
        <v>462598545</v>
      </c>
      <c r="C574" s="1">
        <v>46021.734814814816</v>
      </c>
      <c r="D574" s="1">
        <v>46021.738680555558</v>
      </c>
      <c r="E574" t="s">
        <v>1512</v>
      </c>
      <c r="F574" t="s">
        <v>23</v>
      </c>
      <c r="G574" t="e">
        <f>+_xlfn.XLOOKUP(tbl_encuesta[[#This Row],[Me siento a gusto con el ambiente de trabajo que se genera en mi equipo.]],#REF!,#REF!)</f>
        <v>#REF!</v>
      </c>
      <c r="H574" t="s">
        <v>23</v>
      </c>
      <c r="I574" t="e">
        <f>+_xlfn.XLOOKUP(tbl_encuesta[[#This Row],[Me siento motivado a dar lo mejor de mí y hacer un buen trabajo]],#REF!,#REF!)</f>
        <v>#REF!</v>
      </c>
      <c r="J574" t="s">
        <v>23</v>
      </c>
      <c r="K574" t="e">
        <f>+_xlfn.XLOOKUP(tbl_encuesta[[#This Row],[Mi supervisor o jefe directo me otorga el soporte que necesito para afrontar cualquier problema que afecte mi trabajo]],#REF!,#REF!)</f>
        <v>#REF!</v>
      </c>
      <c r="L574" t="s">
        <v>23</v>
      </c>
      <c r="M574" t="e">
        <f>+_xlfn.XLOOKUP(tbl_encuesta[[#This Row],[Mi supervisor o jefe directo fomenta que nos apoyemos entre todos en el equipo]],#REF!,#REF!)</f>
        <v>#REF!</v>
      </c>
      <c r="N574" t="s">
        <v>23</v>
      </c>
      <c r="O574" t="e">
        <f>+_xlfn.XLOOKUP(tbl_encuesta[[#This Row],[Siento que mi trabajo es reconocido por mi supervisor o jefe directo.]],#REF!,#REF!)</f>
        <v>#REF!</v>
      </c>
      <c r="P574" t="s">
        <v>31</v>
      </c>
      <c r="Q574" t="e">
        <f xml:space="preserve">
_xlfn.XLOOKUP(
tbl_encuesta[[#This Row],[Mi supervisor o jefe directo nos brinda charlas de 5 minutos y comunica las novedades relevantes a mi puesto de trabajo]],#REF!,#REF!
)</f>
        <v>#REF!</v>
      </c>
      <c r="T574" t="s">
        <v>19</v>
      </c>
      <c r="W574" t="s">
        <v>25</v>
      </c>
      <c r="X574" t="s">
        <v>23</v>
      </c>
      <c r="Y574" t="e">
        <f>+_xlfn.XLOOKUP(tbl_encuesta[[#This Row],[Considero a Limtek como un buen lugar para trabajar]],#REF!,#REF!)</f>
        <v>#REF!</v>
      </c>
      <c r="Z574" t="s">
        <v>1513</v>
      </c>
      <c r="AA574" t="s">
        <v>1514</v>
      </c>
      <c r="AB574" t="s">
        <v>687</v>
      </c>
      <c r="AC574" t="s">
        <v>3592</v>
      </c>
      <c r="AD574" t="s">
        <v>306</v>
      </c>
      <c r="AE574" t="s">
        <v>69</v>
      </c>
    </row>
    <row r="575" spans="1:31" x14ac:dyDescent="0.25">
      <c r="A575">
        <v>119028493796</v>
      </c>
      <c r="B575">
        <v>462598545</v>
      </c>
      <c r="C575" s="1">
        <v>46021.725752314815</v>
      </c>
      <c r="D575" s="1">
        <v>46021.727500000001</v>
      </c>
      <c r="E575" t="s">
        <v>1515</v>
      </c>
      <c r="F575" t="s">
        <v>23</v>
      </c>
      <c r="G575" t="e">
        <f>+_xlfn.XLOOKUP(tbl_encuesta[[#This Row],[Me siento a gusto con el ambiente de trabajo que se genera en mi equipo.]],#REF!,#REF!)</f>
        <v>#REF!</v>
      </c>
      <c r="H575" t="s">
        <v>23</v>
      </c>
      <c r="I575" t="e">
        <f>+_xlfn.XLOOKUP(tbl_encuesta[[#This Row],[Me siento motivado a dar lo mejor de mí y hacer un buen trabajo]],#REF!,#REF!)</f>
        <v>#REF!</v>
      </c>
      <c r="J575" t="s">
        <v>23</v>
      </c>
      <c r="K575" t="e">
        <f>+_xlfn.XLOOKUP(tbl_encuesta[[#This Row],[Mi supervisor o jefe directo me otorga el soporte que necesito para afrontar cualquier problema que afecte mi trabajo]],#REF!,#REF!)</f>
        <v>#REF!</v>
      </c>
      <c r="L575" t="s">
        <v>23</v>
      </c>
      <c r="M575" t="e">
        <f>+_xlfn.XLOOKUP(tbl_encuesta[[#This Row],[Mi supervisor o jefe directo fomenta que nos apoyemos entre todos en el equipo]],#REF!,#REF!)</f>
        <v>#REF!</v>
      </c>
      <c r="N575" t="s">
        <v>22</v>
      </c>
      <c r="O575" t="e">
        <f>+_xlfn.XLOOKUP(tbl_encuesta[[#This Row],[Siento que mi trabajo es reconocido por mi supervisor o jefe directo.]],#REF!,#REF!)</f>
        <v>#REF!</v>
      </c>
      <c r="P575" t="s">
        <v>31</v>
      </c>
      <c r="Q575" t="e">
        <f xml:space="preserve">
_xlfn.XLOOKUP(
tbl_encuesta[[#This Row],[Mi supervisor o jefe directo nos brinda charlas de 5 minutos y comunica las novedades relevantes a mi puesto de trabajo]],#REF!,#REF!
)</f>
        <v>#REF!</v>
      </c>
      <c r="T575" t="s">
        <v>19</v>
      </c>
      <c r="U575" t="s">
        <v>20</v>
      </c>
      <c r="W575" t="s">
        <v>25</v>
      </c>
      <c r="X575" t="s">
        <v>23</v>
      </c>
      <c r="Y575" t="e">
        <f>+_xlfn.XLOOKUP(tbl_encuesta[[#This Row],[Considero a Limtek como un buen lugar para trabajar]],#REF!,#REF!)</f>
        <v>#REF!</v>
      </c>
      <c r="Z575" t="s">
        <v>1516</v>
      </c>
      <c r="AA575" t="s">
        <v>1517</v>
      </c>
      <c r="AB575" t="s">
        <v>28</v>
      </c>
      <c r="AC575" s="3" t="s">
        <v>3716</v>
      </c>
      <c r="AD575" s="3" t="s">
        <v>3723</v>
      </c>
      <c r="AE575" t="s">
        <v>29</v>
      </c>
    </row>
    <row r="576" spans="1:31" x14ac:dyDescent="0.25">
      <c r="A576">
        <v>119028492220</v>
      </c>
      <c r="B576">
        <v>462598545</v>
      </c>
      <c r="C576" s="1">
        <v>46021.715231481481</v>
      </c>
      <c r="D576" s="1">
        <v>46021.724340277775</v>
      </c>
      <c r="E576" t="s">
        <v>1518</v>
      </c>
      <c r="F576" t="s">
        <v>23</v>
      </c>
      <c r="G576" t="e">
        <f>+_xlfn.XLOOKUP(tbl_encuesta[[#This Row],[Me siento a gusto con el ambiente de trabajo que se genera en mi equipo.]],#REF!,#REF!)</f>
        <v>#REF!</v>
      </c>
      <c r="H576" t="s">
        <v>23</v>
      </c>
      <c r="I576" t="e">
        <f>+_xlfn.XLOOKUP(tbl_encuesta[[#This Row],[Me siento motivado a dar lo mejor de mí y hacer un buen trabajo]],#REF!,#REF!)</f>
        <v>#REF!</v>
      </c>
      <c r="J576" t="s">
        <v>23</v>
      </c>
      <c r="K576" t="e">
        <f>+_xlfn.XLOOKUP(tbl_encuesta[[#This Row],[Mi supervisor o jefe directo me otorga el soporte que necesito para afrontar cualquier problema que afecte mi trabajo]],#REF!,#REF!)</f>
        <v>#REF!</v>
      </c>
      <c r="L576" t="s">
        <v>22</v>
      </c>
      <c r="M576" t="e">
        <f>+_xlfn.XLOOKUP(tbl_encuesta[[#This Row],[Mi supervisor o jefe directo fomenta que nos apoyemos entre todos en el equipo]],#REF!,#REF!)</f>
        <v>#REF!</v>
      </c>
      <c r="N576" t="s">
        <v>23</v>
      </c>
      <c r="O576" t="e">
        <f>+_xlfn.XLOOKUP(tbl_encuesta[[#This Row],[Siento que mi trabajo es reconocido por mi supervisor o jefe directo.]],#REF!,#REF!)</f>
        <v>#REF!</v>
      </c>
      <c r="P576" t="s">
        <v>67</v>
      </c>
      <c r="Q576" t="e">
        <f xml:space="preserve">
_xlfn.XLOOKUP(
tbl_encuesta[[#This Row],[Mi supervisor o jefe directo nos brinda charlas de 5 minutos y comunica las novedades relevantes a mi puesto de trabajo]],#REF!,#REF!
)</f>
        <v>#REF!</v>
      </c>
      <c r="S576" t="s">
        <v>18</v>
      </c>
      <c r="W576" t="s">
        <v>25</v>
      </c>
      <c r="X576" t="s">
        <v>23</v>
      </c>
      <c r="Y576" t="e">
        <f>+_xlfn.XLOOKUP(tbl_encuesta[[#This Row],[Considero a Limtek como un buen lugar para trabajar]],#REF!,#REF!)</f>
        <v>#REF!</v>
      </c>
      <c r="Z576" t="s">
        <v>1519</v>
      </c>
      <c r="AA576" t="s">
        <v>54</v>
      </c>
      <c r="AB576" t="s">
        <v>704</v>
      </c>
      <c r="AC576" s="3" t="s">
        <v>3767</v>
      </c>
      <c r="AD576" s="3" t="s">
        <v>3829</v>
      </c>
      <c r="AE576" t="s">
        <v>55</v>
      </c>
    </row>
    <row r="577" spans="1:31" x14ac:dyDescent="0.25">
      <c r="A577">
        <v>119028488356</v>
      </c>
      <c r="B577">
        <v>462598545</v>
      </c>
      <c r="C577" s="1">
        <v>46021.711134259262</v>
      </c>
      <c r="D577" s="1">
        <v>46021.717037037037</v>
      </c>
      <c r="E577" t="s">
        <v>1520</v>
      </c>
      <c r="F577" t="s">
        <v>23</v>
      </c>
      <c r="G577" t="e">
        <f>+_xlfn.XLOOKUP(tbl_encuesta[[#This Row],[Me siento a gusto con el ambiente de trabajo que se genera en mi equipo.]],#REF!,#REF!)</f>
        <v>#REF!</v>
      </c>
      <c r="H577" t="s">
        <v>23</v>
      </c>
      <c r="I577" t="e">
        <f>+_xlfn.XLOOKUP(tbl_encuesta[[#This Row],[Me siento motivado a dar lo mejor de mí y hacer un buen trabajo]],#REF!,#REF!)</f>
        <v>#REF!</v>
      </c>
      <c r="J577" t="s">
        <v>23</v>
      </c>
      <c r="K577" t="e">
        <f>+_xlfn.XLOOKUP(tbl_encuesta[[#This Row],[Mi supervisor o jefe directo me otorga el soporte que necesito para afrontar cualquier problema que afecte mi trabajo]],#REF!,#REF!)</f>
        <v>#REF!</v>
      </c>
      <c r="L577" t="s">
        <v>23</v>
      </c>
      <c r="M577" t="e">
        <f>+_xlfn.XLOOKUP(tbl_encuesta[[#This Row],[Mi supervisor o jefe directo fomenta que nos apoyemos entre todos en el equipo]],#REF!,#REF!)</f>
        <v>#REF!</v>
      </c>
      <c r="N577" t="s">
        <v>23</v>
      </c>
      <c r="O577" t="e">
        <f>+_xlfn.XLOOKUP(tbl_encuesta[[#This Row],[Siento que mi trabajo es reconocido por mi supervisor o jefe directo.]],#REF!,#REF!)</f>
        <v>#REF!</v>
      </c>
      <c r="P577" t="s">
        <v>31</v>
      </c>
      <c r="Q577" t="e">
        <f xml:space="preserve">
_xlfn.XLOOKUP(
tbl_encuesta[[#This Row],[Mi supervisor o jefe directo nos brinda charlas de 5 minutos y comunica las novedades relevantes a mi puesto de trabajo]],#REF!,#REF!
)</f>
        <v>#REF!</v>
      </c>
      <c r="V577" t="s">
        <v>1521</v>
      </c>
      <c r="W577" t="s">
        <v>25</v>
      </c>
      <c r="X577" t="s">
        <v>23</v>
      </c>
      <c r="Y577" t="e">
        <f>+_xlfn.XLOOKUP(tbl_encuesta[[#This Row],[Considero a Limtek como un buen lugar para trabajar]],#REF!,#REF!)</f>
        <v>#REF!</v>
      </c>
      <c r="Z577" t="s">
        <v>1522</v>
      </c>
      <c r="AA577" t="s">
        <v>1523</v>
      </c>
      <c r="AB577" t="s">
        <v>687</v>
      </c>
      <c r="AC577" s="3" t="s">
        <v>3767</v>
      </c>
      <c r="AD577" s="3" t="s">
        <v>3767</v>
      </c>
      <c r="AE577" t="s">
        <v>55</v>
      </c>
    </row>
    <row r="578" spans="1:31" x14ac:dyDescent="0.25">
      <c r="A578">
        <v>119028487844</v>
      </c>
      <c r="B578">
        <v>462598545</v>
      </c>
      <c r="C578" s="1">
        <v>46021.712581018517</v>
      </c>
      <c r="D578" s="1">
        <v>46021.716099537036</v>
      </c>
      <c r="E578" t="s">
        <v>1524</v>
      </c>
      <c r="F578" t="s">
        <v>23</v>
      </c>
      <c r="G578" t="e">
        <f>+_xlfn.XLOOKUP(tbl_encuesta[[#This Row],[Me siento a gusto con el ambiente de trabajo que se genera en mi equipo.]],#REF!,#REF!)</f>
        <v>#REF!</v>
      </c>
      <c r="H578" t="s">
        <v>23</v>
      </c>
      <c r="I578" t="e">
        <f>+_xlfn.XLOOKUP(tbl_encuesta[[#This Row],[Me siento motivado a dar lo mejor de mí y hacer un buen trabajo]],#REF!,#REF!)</f>
        <v>#REF!</v>
      </c>
      <c r="J578" t="s">
        <v>22</v>
      </c>
      <c r="K578" t="e">
        <f>+_xlfn.XLOOKUP(tbl_encuesta[[#This Row],[Mi supervisor o jefe directo me otorga el soporte que necesito para afrontar cualquier problema que afecte mi trabajo]],#REF!,#REF!)</f>
        <v>#REF!</v>
      </c>
      <c r="L578" t="s">
        <v>23</v>
      </c>
      <c r="M578" t="e">
        <f>+_xlfn.XLOOKUP(tbl_encuesta[[#This Row],[Mi supervisor o jefe directo fomenta que nos apoyemos entre todos en el equipo]],#REF!,#REF!)</f>
        <v>#REF!</v>
      </c>
      <c r="N578" t="s">
        <v>22</v>
      </c>
      <c r="O578" t="e">
        <f>+_xlfn.XLOOKUP(tbl_encuesta[[#This Row],[Siento que mi trabajo es reconocido por mi supervisor o jefe directo.]],#REF!,#REF!)</f>
        <v>#REF!</v>
      </c>
      <c r="P578" t="s">
        <v>31</v>
      </c>
      <c r="Q578" t="e">
        <f xml:space="preserve">
_xlfn.XLOOKUP(
tbl_encuesta[[#This Row],[Mi supervisor o jefe directo nos brinda charlas de 5 minutos y comunica las novedades relevantes a mi puesto de trabajo]],#REF!,#REF!
)</f>
        <v>#REF!</v>
      </c>
      <c r="R578" t="s">
        <v>17</v>
      </c>
      <c r="W578" t="s">
        <v>25</v>
      </c>
      <c r="X578" t="s">
        <v>22</v>
      </c>
      <c r="Y578" t="e">
        <f>+_xlfn.XLOOKUP(tbl_encuesta[[#This Row],[Considero a Limtek como un buen lugar para trabajar]],#REF!,#REF!)</f>
        <v>#REF!</v>
      </c>
      <c r="Z578" t="s">
        <v>3744</v>
      </c>
      <c r="AA578" t="s">
        <v>1525</v>
      </c>
      <c r="AB578" t="s">
        <v>28</v>
      </c>
      <c r="AC578" s="3" t="s">
        <v>3705</v>
      </c>
      <c r="AD578" s="3" t="s">
        <v>3710</v>
      </c>
      <c r="AE578" t="s">
        <v>55</v>
      </c>
    </row>
    <row r="579" spans="1:31" x14ac:dyDescent="0.25">
      <c r="A579">
        <v>119028486483</v>
      </c>
      <c r="B579">
        <v>462598545</v>
      </c>
      <c r="C579" s="1">
        <v>46021.709340277775</v>
      </c>
      <c r="D579" s="1">
        <v>46021.71371527778</v>
      </c>
      <c r="E579" t="s">
        <v>1526</v>
      </c>
      <c r="F579" t="s">
        <v>23</v>
      </c>
      <c r="G579" t="e">
        <f>+_xlfn.XLOOKUP(tbl_encuesta[[#This Row],[Me siento a gusto con el ambiente de trabajo que se genera en mi equipo.]],#REF!,#REF!)</f>
        <v>#REF!</v>
      </c>
      <c r="H579" t="s">
        <v>23</v>
      </c>
      <c r="I579" t="e">
        <f>+_xlfn.XLOOKUP(tbl_encuesta[[#This Row],[Me siento motivado a dar lo mejor de mí y hacer un buen trabajo]],#REF!,#REF!)</f>
        <v>#REF!</v>
      </c>
      <c r="J579" t="s">
        <v>22</v>
      </c>
      <c r="K579" t="e">
        <f>+_xlfn.XLOOKUP(tbl_encuesta[[#This Row],[Mi supervisor o jefe directo me otorga el soporte que necesito para afrontar cualquier problema que afecte mi trabajo]],#REF!,#REF!)</f>
        <v>#REF!</v>
      </c>
      <c r="L579" t="s">
        <v>23</v>
      </c>
      <c r="M579" t="e">
        <f>+_xlfn.XLOOKUP(tbl_encuesta[[#This Row],[Mi supervisor o jefe directo fomenta que nos apoyemos entre todos en el equipo]],#REF!,#REF!)</f>
        <v>#REF!</v>
      </c>
      <c r="N579" t="s">
        <v>22</v>
      </c>
      <c r="O579" t="e">
        <f>+_xlfn.XLOOKUP(tbl_encuesta[[#This Row],[Siento que mi trabajo es reconocido por mi supervisor o jefe directo.]],#REF!,#REF!)</f>
        <v>#REF!</v>
      </c>
      <c r="P579" t="s">
        <v>31</v>
      </c>
      <c r="Q579" t="e">
        <f xml:space="preserve">
_xlfn.XLOOKUP(
tbl_encuesta[[#This Row],[Mi supervisor o jefe directo nos brinda charlas de 5 minutos y comunica las novedades relevantes a mi puesto de trabajo]],#REF!,#REF!
)</f>
        <v>#REF!</v>
      </c>
      <c r="R579" t="s">
        <v>17</v>
      </c>
      <c r="T579" t="s">
        <v>19</v>
      </c>
      <c r="W579" t="s">
        <v>25</v>
      </c>
      <c r="X579" t="s">
        <v>23</v>
      </c>
      <c r="Y579" t="e">
        <f>+_xlfn.XLOOKUP(tbl_encuesta[[#This Row],[Considero a Limtek como un buen lugar para trabajar]],#REF!,#REF!)</f>
        <v>#REF!</v>
      </c>
      <c r="Z579" t="s">
        <v>1527</v>
      </c>
      <c r="AA579" t="s">
        <v>1528</v>
      </c>
      <c r="AB579" t="s">
        <v>567</v>
      </c>
      <c r="AC579" s="3" t="s">
        <v>3758</v>
      </c>
      <c r="AD579" s="3" t="s">
        <v>3787</v>
      </c>
      <c r="AE579" t="s">
        <v>34</v>
      </c>
    </row>
    <row r="580" spans="1:31" x14ac:dyDescent="0.25">
      <c r="A580">
        <v>119028484993</v>
      </c>
      <c r="B580">
        <v>462598545</v>
      </c>
      <c r="C580" s="1">
        <v>46021.710277777776</v>
      </c>
      <c r="D580" s="1">
        <v>46021.711087962962</v>
      </c>
      <c r="E580" t="s">
        <v>1529</v>
      </c>
      <c r="F580" t="s">
        <v>23</v>
      </c>
      <c r="G580" t="e">
        <f>+_xlfn.XLOOKUP(tbl_encuesta[[#This Row],[Me siento a gusto con el ambiente de trabajo que se genera en mi equipo.]],#REF!,#REF!)</f>
        <v>#REF!</v>
      </c>
      <c r="H580" t="s">
        <v>23</v>
      </c>
      <c r="I580" t="e">
        <f>+_xlfn.XLOOKUP(tbl_encuesta[[#This Row],[Me siento motivado a dar lo mejor de mí y hacer un buen trabajo]],#REF!,#REF!)</f>
        <v>#REF!</v>
      </c>
      <c r="J580" t="s">
        <v>23</v>
      </c>
      <c r="K580" t="e">
        <f>+_xlfn.XLOOKUP(tbl_encuesta[[#This Row],[Mi supervisor o jefe directo me otorga el soporte que necesito para afrontar cualquier problema que afecte mi trabajo]],#REF!,#REF!)</f>
        <v>#REF!</v>
      </c>
      <c r="L580" t="s">
        <v>23</v>
      </c>
      <c r="M580" t="e">
        <f>+_xlfn.XLOOKUP(tbl_encuesta[[#This Row],[Mi supervisor o jefe directo fomenta que nos apoyemos entre todos en el equipo]],#REF!,#REF!)</f>
        <v>#REF!</v>
      </c>
      <c r="N580" t="s">
        <v>23</v>
      </c>
      <c r="O580" t="e">
        <f>+_xlfn.XLOOKUP(tbl_encuesta[[#This Row],[Siento que mi trabajo es reconocido por mi supervisor o jefe directo.]],#REF!,#REF!)</f>
        <v>#REF!</v>
      </c>
      <c r="P580" t="s">
        <v>31</v>
      </c>
      <c r="Q580" t="e">
        <f xml:space="preserve">
_xlfn.XLOOKUP(
tbl_encuesta[[#This Row],[Mi supervisor o jefe directo nos brinda charlas de 5 minutos y comunica las novedades relevantes a mi puesto de trabajo]],#REF!,#REF!
)</f>
        <v>#REF!</v>
      </c>
      <c r="V580" t="s">
        <v>1530</v>
      </c>
      <c r="W580" t="s">
        <v>25</v>
      </c>
      <c r="X580" t="s">
        <v>23</v>
      </c>
      <c r="Y580" t="e">
        <f>+_xlfn.XLOOKUP(tbl_encuesta[[#This Row],[Considero a Limtek como un buen lugar para trabajar]],#REF!,#REF!)</f>
        <v>#REF!</v>
      </c>
      <c r="Z580" t="s">
        <v>1531</v>
      </c>
      <c r="AA580" t="s">
        <v>1532</v>
      </c>
      <c r="AB580" t="s">
        <v>687</v>
      </c>
      <c r="AC580" s="3" t="s">
        <v>3610</v>
      </c>
      <c r="AD580" s="3" t="s">
        <v>3678</v>
      </c>
      <c r="AE580" t="s">
        <v>61</v>
      </c>
    </row>
    <row r="581" spans="1:31" x14ac:dyDescent="0.25">
      <c r="A581">
        <v>119028484486</v>
      </c>
      <c r="B581">
        <v>462598545</v>
      </c>
      <c r="C581" s="1">
        <v>46021.700659722221</v>
      </c>
      <c r="D581" s="1">
        <v>46021.710138888891</v>
      </c>
      <c r="E581" t="s">
        <v>1533</v>
      </c>
      <c r="F581" t="s">
        <v>23</v>
      </c>
      <c r="G581" t="e">
        <f>+_xlfn.XLOOKUP(tbl_encuesta[[#This Row],[Me siento a gusto con el ambiente de trabajo que se genera en mi equipo.]],#REF!,#REF!)</f>
        <v>#REF!</v>
      </c>
      <c r="H581" t="s">
        <v>23</v>
      </c>
      <c r="I581" t="e">
        <f>+_xlfn.XLOOKUP(tbl_encuesta[[#This Row],[Me siento motivado a dar lo mejor de mí y hacer un buen trabajo]],#REF!,#REF!)</f>
        <v>#REF!</v>
      </c>
      <c r="J581" t="s">
        <v>23</v>
      </c>
      <c r="K581" t="e">
        <f>+_xlfn.XLOOKUP(tbl_encuesta[[#This Row],[Mi supervisor o jefe directo me otorga el soporte que necesito para afrontar cualquier problema que afecte mi trabajo]],#REF!,#REF!)</f>
        <v>#REF!</v>
      </c>
      <c r="L581" t="s">
        <v>23</v>
      </c>
      <c r="M581" t="e">
        <f>+_xlfn.XLOOKUP(tbl_encuesta[[#This Row],[Mi supervisor o jefe directo fomenta que nos apoyemos entre todos en el equipo]],#REF!,#REF!)</f>
        <v>#REF!</v>
      </c>
      <c r="N581" t="s">
        <v>22</v>
      </c>
      <c r="O581" t="e">
        <f>+_xlfn.XLOOKUP(tbl_encuesta[[#This Row],[Siento que mi trabajo es reconocido por mi supervisor o jefe directo.]],#REF!,#REF!)</f>
        <v>#REF!</v>
      </c>
      <c r="P581" t="s">
        <v>31</v>
      </c>
      <c r="Q581" t="e">
        <f xml:space="preserve">
_xlfn.XLOOKUP(
tbl_encuesta[[#This Row],[Mi supervisor o jefe directo nos brinda charlas de 5 minutos y comunica las novedades relevantes a mi puesto de trabajo]],#REF!,#REF!
)</f>
        <v>#REF!</v>
      </c>
      <c r="R581" t="s">
        <v>17</v>
      </c>
      <c r="T581" t="s">
        <v>19</v>
      </c>
      <c r="W581" t="s">
        <v>25</v>
      </c>
      <c r="X581" t="s">
        <v>23</v>
      </c>
      <c r="Y581" t="e">
        <f>+_xlfn.XLOOKUP(tbl_encuesta[[#This Row],[Considero a Limtek como un buen lugar para trabajar]],#REF!,#REF!)</f>
        <v>#REF!</v>
      </c>
      <c r="Z581" t="s">
        <v>1534</v>
      </c>
      <c r="AA581" t="s">
        <v>1535</v>
      </c>
      <c r="AB581" t="s">
        <v>28</v>
      </c>
      <c r="AC581" s="3" t="s">
        <v>1867</v>
      </c>
      <c r="AD581" s="3" t="s">
        <v>3757</v>
      </c>
      <c r="AE581" t="s">
        <v>34</v>
      </c>
    </row>
    <row r="582" spans="1:31" x14ac:dyDescent="0.25">
      <c r="A582">
        <v>119028484410</v>
      </c>
      <c r="B582">
        <v>462598545</v>
      </c>
      <c r="C582" s="1">
        <v>46021.708067129628</v>
      </c>
      <c r="D582" s="1">
        <v>46021.710011574076</v>
      </c>
      <c r="E582" t="s">
        <v>1529</v>
      </c>
      <c r="F582" t="s">
        <v>23</v>
      </c>
      <c r="G582" t="e">
        <f>+_xlfn.XLOOKUP(tbl_encuesta[[#This Row],[Me siento a gusto con el ambiente de trabajo que se genera en mi equipo.]],#REF!,#REF!)</f>
        <v>#REF!</v>
      </c>
      <c r="H582" t="s">
        <v>23</v>
      </c>
      <c r="I582" t="e">
        <f>+_xlfn.XLOOKUP(tbl_encuesta[[#This Row],[Me siento motivado a dar lo mejor de mí y hacer un buen trabajo]],#REF!,#REF!)</f>
        <v>#REF!</v>
      </c>
      <c r="J582" t="s">
        <v>23</v>
      </c>
      <c r="K582" t="e">
        <f>+_xlfn.XLOOKUP(tbl_encuesta[[#This Row],[Mi supervisor o jefe directo me otorga el soporte que necesito para afrontar cualquier problema que afecte mi trabajo]],#REF!,#REF!)</f>
        <v>#REF!</v>
      </c>
      <c r="L582" t="s">
        <v>23</v>
      </c>
      <c r="M582" t="e">
        <f>+_xlfn.XLOOKUP(tbl_encuesta[[#This Row],[Mi supervisor o jefe directo fomenta que nos apoyemos entre todos en el equipo]],#REF!,#REF!)</f>
        <v>#REF!</v>
      </c>
      <c r="N582" t="s">
        <v>23</v>
      </c>
      <c r="O582" t="e">
        <f>+_xlfn.XLOOKUP(tbl_encuesta[[#This Row],[Siento que mi trabajo es reconocido por mi supervisor o jefe directo.]],#REF!,#REF!)</f>
        <v>#REF!</v>
      </c>
      <c r="P582" t="s">
        <v>31</v>
      </c>
      <c r="Q582" t="e">
        <f xml:space="preserve">
_xlfn.XLOOKUP(
tbl_encuesta[[#This Row],[Mi supervisor o jefe directo nos brinda charlas de 5 minutos y comunica las novedades relevantes a mi puesto de trabajo]],#REF!,#REF!
)</f>
        <v>#REF!</v>
      </c>
      <c r="R582" t="s">
        <v>17</v>
      </c>
      <c r="U582" t="s">
        <v>20</v>
      </c>
      <c r="W582" t="s">
        <v>25</v>
      </c>
      <c r="X582" t="s">
        <v>23</v>
      </c>
      <c r="Y582" t="e">
        <f>+_xlfn.XLOOKUP(tbl_encuesta[[#This Row],[Considero a Limtek como un buen lugar para trabajar]],#REF!,#REF!)</f>
        <v>#REF!</v>
      </c>
      <c r="Z582" t="s">
        <v>1536</v>
      </c>
      <c r="AA582" t="s">
        <v>1537</v>
      </c>
      <c r="AB582" t="s">
        <v>697</v>
      </c>
      <c r="AC582" s="3" t="s">
        <v>3755</v>
      </c>
      <c r="AD582" s="3" t="s">
        <v>3800</v>
      </c>
      <c r="AE582" t="s">
        <v>55</v>
      </c>
    </row>
    <row r="583" spans="1:31" x14ac:dyDescent="0.25">
      <c r="A583">
        <v>119028484235</v>
      </c>
      <c r="B583">
        <v>462598545</v>
      </c>
      <c r="C583" s="1">
        <v>46021.705821759257</v>
      </c>
      <c r="D583" s="1">
        <v>46021.709699074076</v>
      </c>
      <c r="E583" t="s">
        <v>1538</v>
      </c>
      <c r="F583" t="s">
        <v>23</v>
      </c>
      <c r="G583" t="e">
        <f>+_xlfn.XLOOKUP(tbl_encuesta[[#This Row],[Me siento a gusto con el ambiente de trabajo que se genera en mi equipo.]],#REF!,#REF!)</f>
        <v>#REF!</v>
      </c>
      <c r="H583" t="s">
        <v>23</v>
      </c>
      <c r="I583" t="e">
        <f>+_xlfn.XLOOKUP(tbl_encuesta[[#This Row],[Me siento motivado a dar lo mejor de mí y hacer un buen trabajo]],#REF!,#REF!)</f>
        <v>#REF!</v>
      </c>
      <c r="J583" t="s">
        <v>22</v>
      </c>
      <c r="K583" t="e">
        <f>+_xlfn.XLOOKUP(tbl_encuesta[[#This Row],[Mi supervisor o jefe directo me otorga el soporte que necesito para afrontar cualquier problema que afecte mi trabajo]],#REF!,#REF!)</f>
        <v>#REF!</v>
      </c>
      <c r="L583" t="s">
        <v>23</v>
      </c>
      <c r="M583" t="e">
        <f>+_xlfn.XLOOKUP(tbl_encuesta[[#This Row],[Mi supervisor o jefe directo fomenta que nos apoyemos entre todos en el equipo]],#REF!,#REF!)</f>
        <v>#REF!</v>
      </c>
      <c r="N583" t="s">
        <v>43</v>
      </c>
      <c r="O583" t="e">
        <f>+_xlfn.XLOOKUP(tbl_encuesta[[#This Row],[Siento que mi trabajo es reconocido por mi supervisor o jefe directo.]],#REF!,#REF!)</f>
        <v>#REF!</v>
      </c>
      <c r="P583" t="s">
        <v>31</v>
      </c>
      <c r="Q583" t="e">
        <f xml:space="preserve">
_xlfn.XLOOKUP(
tbl_encuesta[[#This Row],[Mi supervisor o jefe directo nos brinda charlas de 5 minutos y comunica las novedades relevantes a mi puesto de trabajo]],#REF!,#REF!
)</f>
        <v>#REF!</v>
      </c>
      <c r="T583" t="s">
        <v>19</v>
      </c>
      <c r="W583" t="s">
        <v>25</v>
      </c>
      <c r="X583" t="s">
        <v>23</v>
      </c>
      <c r="Y583" t="e">
        <f>+_xlfn.XLOOKUP(tbl_encuesta[[#This Row],[Considero a Limtek como un buen lugar para trabajar]],#REF!,#REF!)</f>
        <v>#REF!</v>
      </c>
      <c r="Z583" t="s">
        <v>338</v>
      </c>
      <c r="AA583" t="s">
        <v>339</v>
      </c>
      <c r="AB583" t="s">
        <v>28</v>
      </c>
      <c r="AC583" s="3" t="s">
        <v>3705</v>
      </c>
      <c r="AD583" s="3" t="s">
        <v>3707</v>
      </c>
      <c r="AE583" t="s">
        <v>34</v>
      </c>
    </row>
    <row r="584" spans="1:31" x14ac:dyDescent="0.25">
      <c r="A584">
        <v>119028483580</v>
      </c>
      <c r="B584">
        <v>462598545</v>
      </c>
      <c r="C584" s="1">
        <v>46021.699537037035</v>
      </c>
      <c r="D584" s="1">
        <v>46021.708611111113</v>
      </c>
      <c r="E584" t="s">
        <v>1539</v>
      </c>
      <c r="F584" t="s">
        <v>23</v>
      </c>
      <c r="G584" t="e">
        <f>+_xlfn.XLOOKUP(tbl_encuesta[[#This Row],[Me siento a gusto con el ambiente de trabajo que se genera en mi equipo.]],#REF!,#REF!)</f>
        <v>#REF!</v>
      </c>
      <c r="H584" t="s">
        <v>23</v>
      </c>
      <c r="I584" t="e">
        <f>+_xlfn.XLOOKUP(tbl_encuesta[[#This Row],[Me siento motivado a dar lo mejor de mí y hacer un buen trabajo]],#REF!,#REF!)</f>
        <v>#REF!</v>
      </c>
      <c r="J584" t="s">
        <v>23</v>
      </c>
      <c r="K584" t="e">
        <f>+_xlfn.XLOOKUP(tbl_encuesta[[#This Row],[Mi supervisor o jefe directo me otorga el soporte que necesito para afrontar cualquier problema que afecte mi trabajo]],#REF!,#REF!)</f>
        <v>#REF!</v>
      </c>
      <c r="L584" t="s">
        <v>23</v>
      </c>
      <c r="M584" t="e">
        <f>+_xlfn.XLOOKUP(tbl_encuesta[[#This Row],[Mi supervisor o jefe directo fomenta que nos apoyemos entre todos en el equipo]],#REF!,#REF!)</f>
        <v>#REF!</v>
      </c>
      <c r="N584" t="s">
        <v>23</v>
      </c>
      <c r="O584" t="e">
        <f>+_xlfn.XLOOKUP(tbl_encuesta[[#This Row],[Siento que mi trabajo es reconocido por mi supervisor o jefe directo.]],#REF!,#REF!)</f>
        <v>#REF!</v>
      </c>
      <c r="P584" t="s">
        <v>31</v>
      </c>
      <c r="Q584" t="e">
        <f xml:space="preserve">
_xlfn.XLOOKUP(
tbl_encuesta[[#This Row],[Mi supervisor o jefe directo nos brinda charlas de 5 minutos y comunica las novedades relevantes a mi puesto de trabajo]],#REF!,#REF!
)</f>
        <v>#REF!</v>
      </c>
      <c r="R584" t="s">
        <v>17</v>
      </c>
      <c r="S584" t="s">
        <v>18</v>
      </c>
      <c r="W584" t="s">
        <v>25</v>
      </c>
      <c r="X584" t="s">
        <v>23</v>
      </c>
      <c r="Y584" t="e">
        <f>+_xlfn.XLOOKUP(tbl_encuesta[[#This Row],[Considero a Limtek como un buen lugar para trabajar]],#REF!,#REF!)</f>
        <v>#REF!</v>
      </c>
      <c r="Z584" t="s">
        <v>1540</v>
      </c>
      <c r="AA584" t="s">
        <v>1541</v>
      </c>
      <c r="AB584" t="s">
        <v>563</v>
      </c>
      <c r="AC584" s="3" t="s">
        <v>3716</v>
      </c>
      <c r="AD584" s="3" t="s">
        <v>1595</v>
      </c>
      <c r="AE584" t="s">
        <v>29</v>
      </c>
    </row>
    <row r="585" spans="1:31" x14ac:dyDescent="0.25">
      <c r="A585">
        <v>119028482729</v>
      </c>
      <c r="B585">
        <v>462598545</v>
      </c>
      <c r="C585" s="1">
        <v>46021.702893518515</v>
      </c>
      <c r="D585" s="1">
        <v>46021.707129629627</v>
      </c>
      <c r="E585" t="s">
        <v>1542</v>
      </c>
      <c r="F585" t="s">
        <v>23</v>
      </c>
      <c r="G585" t="e">
        <f>+_xlfn.XLOOKUP(tbl_encuesta[[#This Row],[Me siento a gusto con el ambiente de trabajo que se genera en mi equipo.]],#REF!,#REF!)</f>
        <v>#REF!</v>
      </c>
      <c r="H585" t="s">
        <v>23</v>
      </c>
      <c r="I585" t="e">
        <f>+_xlfn.XLOOKUP(tbl_encuesta[[#This Row],[Me siento motivado a dar lo mejor de mí y hacer un buen trabajo]],#REF!,#REF!)</f>
        <v>#REF!</v>
      </c>
      <c r="J585" t="s">
        <v>23</v>
      </c>
      <c r="K585" t="e">
        <f>+_xlfn.XLOOKUP(tbl_encuesta[[#This Row],[Mi supervisor o jefe directo me otorga el soporte que necesito para afrontar cualquier problema que afecte mi trabajo]],#REF!,#REF!)</f>
        <v>#REF!</v>
      </c>
      <c r="L585" t="s">
        <v>23</v>
      </c>
      <c r="M585" t="e">
        <f>+_xlfn.XLOOKUP(tbl_encuesta[[#This Row],[Mi supervisor o jefe directo fomenta que nos apoyemos entre todos en el equipo]],#REF!,#REF!)</f>
        <v>#REF!</v>
      </c>
      <c r="N585" t="s">
        <v>23</v>
      </c>
      <c r="O585" t="e">
        <f>+_xlfn.XLOOKUP(tbl_encuesta[[#This Row],[Siento que mi trabajo es reconocido por mi supervisor o jefe directo.]],#REF!,#REF!)</f>
        <v>#REF!</v>
      </c>
      <c r="P585" t="s">
        <v>31</v>
      </c>
      <c r="Q585" t="e">
        <f xml:space="preserve">
_xlfn.XLOOKUP(
tbl_encuesta[[#This Row],[Mi supervisor o jefe directo nos brinda charlas de 5 minutos y comunica las novedades relevantes a mi puesto de trabajo]],#REF!,#REF!
)</f>
        <v>#REF!</v>
      </c>
      <c r="R585" t="s">
        <v>17</v>
      </c>
      <c r="T585" t="s">
        <v>19</v>
      </c>
      <c r="W585" t="s">
        <v>25</v>
      </c>
      <c r="X585" t="s">
        <v>23</v>
      </c>
      <c r="Y585" t="e">
        <f>+_xlfn.XLOOKUP(tbl_encuesta[[#This Row],[Considero a Limtek como un buen lugar para trabajar]],#REF!,#REF!)</f>
        <v>#REF!</v>
      </c>
      <c r="Z585" t="s">
        <v>1543</v>
      </c>
      <c r="AA585" t="s">
        <v>1544</v>
      </c>
      <c r="AB585" t="s">
        <v>697</v>
      </c>
      <c r="AC585" s="3" t="s">
        <v>3755</v>
      </c>
      <c r="AD585" s="3" t="s">
        <v>3800</v>
      </c>
      <c r="AE585" t="s">
        <v>29</v>
      </c>
    </row>
    <row r="586" spans="1:31" x14ac:dyDescent="0.25">
      <c r="A586">
        <v>119028481710</v>
      </c>
      <c r="B586">
        <v>462598545</v>
      </c>
      <c r="C586" s="1">
        <v>46021.701180555552</v>
      </c>
      <c r="D586" s="1">
        <v>46021.705405092594</v>
      </c>
      <c r="E586" t="s">
        <v>1458</v>
      </c>
      <c r="F586" t="s">
        <v>23</v>
      </c>
      <c r="G586" t="e">
        <f>+_xlfn.XLOOKUP(tbl_encuesta[[#This Row],[Me siento a gusto con el ambiente de trabajo que se genera en mi equipo.]],#REF!,#REF!)</f>
        <v>#REF!</v>
      </c>
      <c r="H586" t="s">
        <v>23</v>
      </c>
      <c r="I586" t="e">
        <f>+_xlfn.XLOOKUP(tbl_encuesta[[#This Row],[Me siento motivado a dar lo mejor de mí y hacer un buen trabajo]],#REF!,#REF!)</f>
        <v>#REF!</v>
      </c>
      <c r="J586" t="s">
        <v>23</v>
      </c>
      <c r="K586" t="e">
        <f>+_xlfn.XLOOKUP(tbl_encuesta[[#This Row],[Mi supervisor o jefe directo me otorga el soporte que necesito para afrontar cualquier problema que afecte mi trabajo]],#REF!,#REF!)</f>
        <v>#REF!</v>
      </c>
      <c r="L586" t="s">
        <v>23</v>
      </c>
      <c r="M586" t="e">
        <f>+_xlfn.XLOOKUP(tbl_encuesta[[#This Row],[Mi supervisor o jefe directo fomenta que nos apoyemos entre todos en el equipo]],#REF!,#REF!)</f>
        <v>#REF!</v>
      </c>
      <c r="N586" t="s">
        <v>23</v>
      </c>
      <c r="O586" t="e">
        <f>+_xlfn.XLOOKUP(tbl_encuesta[[#This Row],[Siento que mi trabajo es reconocido por mi supervisor o jefe directo.]],#REF!,#REF!)</f>
        <v>#REF!</v>
      </c>
      <c r="P586" t="s">
        <v>31</v>
      </c>
      <c r="Q586" t="e">
        <f xml:space="preserve">
_xlfn.XLOOKUP(
tbl_encuesta[[#This Row],[Mi supervisor o jefe directo nos brinda charlas de 5 minutos y comunica las novedades relevantes a mi puesto de trabajo]],#REF!,#REF!
)</f>
        <v>#REF!</v>
      </c>
      <c r="R586" t="s">
        <v>17</v>
      </c>
      <c r="W586" t="s">
        <v>25</v>
      </c>
      <c r="X586" t="s">
        <v>23</v>
      </c>
      <c r="Y586" t="e">
        <f>+_xlfn.XLOOKUP(tbl_encuesta[[#This Row],[Considero a Limtek como un buen lugar para trabajar]],#REF!,#REF!)</f>
        <v>#REF!</v>
      </c>
      <c r="Z586" t="s">
        <v>1545</v>
      </c>
      <c r="AA586" t="s">
        <v>1546</v>
      </c>
      <c r="AB586" t="s">
        <v>28</v>
      </c>
      <c r="AC586" s="3" t="s">
        <v>3749</v>
      </c>
      <c r="AD586" s="3" t="s">
        <v>3750</v>
      </c>
      <c r="AE586" t="s">
        <v>69</v>
      </c>
    </row>
    <row r="587" spans="1:31" x14ac:dyDescent="0.25">
      <c r="A587">
        <v>119028481099</v>
      </c>
      <c r="B587">
        <v>462598545</v>
      </c>
      <c r="C587" s="1">
        <v>46021.702569444446</v>
      </c>
      <c r="D587" s="1">
        <v>46021.704375000001</v>
      </c>
      <c r="E587" t="s">
        <v>1547</v>
      </c>
      <c r="F587" t="s">
        <v>23</v>
      </c>
      <c r="G587" t="e">
        <f>+_xlfn.XLOOKUP(tbl_encuesta[[#This Row],[Me siento a gusto con el ambiente de trabajo que se genera en mi equipo.]],#REF!,#REF!)</f>
        <v>#REF!</v>
      </c>
      <c r="H587" t="s">
        <v>23</v>
      </c>
      <c r="I587" t="e">
        <f>+_xlfn.XLOOKUP(tbl_encuesta[[#This Row],[Me siento motivado a dar lo mejor de mí y hacer un buen trabajo]],#REF!,#REF!)</f>
        <v>#REF!</v>
      </c>
      <c r="J587" t="s">
        <v>23</v>
      </c>
      <c r="K587" t="e">
        <f>+_xlfn.XLOOKUP(tbl_encuesta[[#This Row],[Mi supervisor o jefe directo me otorga el soporte que necesito para afrontar cualquier problema que afecte mi trabajo]],#REF!,#REF!)</f>
        <v>#REF!</v>
      </c>
      <c r="L587" t="s">
        <v>23</v>
      </c>
      <c r="M587" t="e">
        <f>+_xlfn.XLOOKUP(tbl_encuesta[[#This Row],[Mi supervisor o jefe directo fomenta que nos apoyemos entre todos en el equipo]],#REF!,#REF!)</f>
        <v>#REF!</v>
      </c>
      <c r="N587" t="s">
        <v>23</v>
      </c>
      <c r="O587" t="e">
        <f>+_xlfn.XLOOKUP(tbl_encuesta[[#This Row],[Siento que mi trabajo es reconocido por mi supervisor o jefe directo.]],#REF!,#REF!)</f>
        <v>#REF!</v>
      </c>
      <c r="P587" t="s">
        <v>31</v>
      </c>
      <c r="Q587" t="e">
        <f xml:space="preserve">
_xlfn.XLOOKUP(
tbl_encuesta[[#This Row],[Mi supervisor o jefe directo nos brinda charlas de 5 minutos y comunica las novedades relevantes a mi puesto de trabajo]],#REF!,#REF!
)</f>
        <v>#REF!</v>
      </c>
      <c r="R587" t="s">
        <v>17</v>
      </c>
      <c r="W587" t="s">
        <v>25</v>
      </c>
      <c r="X587" t="s">
        <v>23</v>
      </c>
      <c r="Y587" t="e">
        <f>+_xlfn.XLOOKUP(tbl_encuesta[[#This Row],[Considero a Limtek como un buen lugar para trabajar]],#REF!,#REF!)</f>
        <v>#REF!</v>
      </c>
      <c r="Z587" t="s">
        <v>193</v>
      </c>
      <c r="AA587" t="s">
        <v>1548</v>
      </c>
      <c r="AB587" t="s">
        <v>697</v>
      </c>
      <c r="AC587" s="3" t="s">
        <v>3610</v>
      </c>
      <c r="AD587" s="3" t="s">
        <v>3745</v>
      </c>
      <c r="AE587" t="s">
        <v>34</v>
      </c>
    </row>
    <row r="588" spans="1:31" x14ac:dyDescent="0.25">
      <c r="A588">
        <v>119028480321</v>
      </c>
      <c r="B588">
        <v>462598545</v>
      </c>
      <c r="C588" s="1">
        <v>46021.701666666668</v>
      </c>
      <c r="D588" s="1">
        <v>46021.703043981484</v>
      </c>
      <c r="E588" t="s">
        <v>1549</v>
      </c>
      <c r="F588" t="s">
        <v>23</v>
      </c>
      <c r="G588" t="e">
        <f>+_xlfn.XLOOKUP(tbl_encuesta[[#This Row],[Me siento a gusto con el ambiente de trabajo que se genera en mi equipo.]],#REF!,#REF!)</f>
        <v>#REF!</v>
      </c>
      <c r="H588" t="s">
        <v>23</v>
      </c>
      <c r="I588" t="e">
        <f>+_xlfn.XLOOKUP(tbl_encuesta[[#This Row],[Me siento motivado a dar lo mejor de mí y hacer un buen trabajo]],#REF!,#REF!)</f>
        <v>#REF!</v>
      </c>
      <c r="J588" t="s">
        <v>22</v>
      </c>
      <c r="K588" t="e">
        <f>+_xlfn.XLOOKUP(tbl_encuesta[[#This Row],[Mi supervisor o jefe directo me otorga el soporte que necesito para afrontar cualquier problema que afecte mi trabajo]],#REF!,#REF!)</f>
        <v>#REF!</v>
      </c>
      <c r="L588" t="s">
        <v>22</v>
      </c>
      <c r="M588" t="e">
        <f>+_xlfn.XLOOKUP(tbl_encuesta[[#This Row],[Mi supervisor o jefe directo fomenta que nos apoyemos entre todos en el equipo]],#REF!,#REF!)</f>
        <v>#REF!</v>
      </c>
      <c r="N588" t="s">
        <v>23</v>
      </c>
      <c r="O588" t="e">
        <f>+_xlfn.XLOOKUP(tbl_encuesta[[#This Row],[Siento que mi trabajo es reconocido por mi supervisor o jefe directo.]],#REF!,#REF!)</f>
        <v>#REF!</v>
      </c>
      <c r="P588" t="s">
        <v>31</v>
      </c>
      <c r="Q588" t="e">
        <f xml:space="preserve">
_xlfn.XLOOKUP(
tbl_encuesta[[#This Row],[Mi supervisor o jefe directo nos brinda charlas de 5 minutos y comunica las novedades relevantes a mi puesto de trabajo]],#REF!,#REF!
)</f>
        <v>#REF!</v>
      </c>
      <c r="R588" t="s">
        <v>17</v>
      </c>
      <c r="S588" t="s">
        <v>18</v>
      </c>
      <c r="W588" t="s">
        <v>46</v>
      </c>
      <c r="X588" t="s">
        <v>22</v>
      </c>
      <c r="Y588" t="e">
        <f>+_xlfn.XLOOKUP(tbl_encuesta[[#This Row],[Considero a Limtek como un buen lugar para trabajar]],#REF!,#REF!)</f>
        <v>#REF!</v>
      </c>
      <c r="Z588" t="s">
        <v>527</v>
      </c>
      <c r="AA588" t="s">
        <v>122</v>
      </c>
      <c r="AB588" t="s">
        <v>1491</v>
      </c>
      <c r="AC588" t="s">
        <v>3744</v>
      </c>
      <c r="AD588" t="s">
        <v>3744</v>
      </c>
      <c r="AE588" t="s">
        <v>34</v>
      </c>
    </row>
    <row r="589" spans="1:31" x14ac:dyDescent="0.25">
      <c r="A589">
        <v>119028479497</v>
      </c>
      <c r="B589">
        <v>462598545</v>
      </c>
      <c r="C589" s="1">
        <v>46021.697743055556</v>
      </c>
      <c r="D589" s="1">
        <v>46021.701597222222</v>
      </c>
      <c r="E589" t="s">
        <v>1550</v>
      </c>
      <c r="F589" t="s">
        <v>22</v>
      </c>
      <c r="G589" t="e">
        <f>+_xlfn.XLOOKUP(tbl_encuesta[[#This Row],[Me siento a gusto con el ambiente de trabajo que se genera en mi equipo.]],#REF!,#REF!)</f>
        <v>#REF!</v>
      </c>
      <c r="H589" t="s">
        <v>22</v>
      </c>
      <c r="I589" t="e">
        <f>+_xlfn.XLOOKUP(tbl_encuesta[[#This Row],[Me siento motivado a dar lo mejor de mí y hacer un buen trabajo]],#REF!,#REF!)</f>
        <v>#REF!</v>
      </c>
      <c r="J589" t="s">
        <v>23</v>
      </c>
      <c r="K589" t="e">
        <f>+_xlfn.XLOOKUP(tbl_encuesta[[#This Row],[Mi supervisor o jefe directo me otorga el soporte que necesito para afrontar cualquier problema que afecte mi trabajo]],#REF!,#REF!)</f>
        <v>#REF!</v>
      </c>
      <c r="L589" t="s">
        <v>22</v>
      </c>
      <c r="M589" t="e">
        <f>+_xlfn.XLOOKUP(tbl_encuesta[[#This Row],[Mi supervisor o jefe directo fomenta que nos apoyemos entre todos en el equipo]],#REF!,#REF!)</f>
        <v>#REF!</v>
      </c>
      <c r="N589" t="s">
        <v>22</v>
      </c>
      <c r="O589" t="e">
        <f>+_xlfn.XLOOKUP(tbl_encuesta[[#This Row],[Siento que mi trabajo es reconocido por mi supervisor o jefe directo.]],#REF!,#REF!)</f>
        <v>#REF!</v>
      </c>
      <c r="P589" t="s">
        <v>67</v>
      </c>
      <c r="Q589" t="e">
        <f xml:space="preserve">
_xlfn.XLOOKUP(
tbl_encuesta[[#This Row],[Mi supervisor o jefe directo nos brinda charlas de 5 minutos y comunica las novedades relevantes a mi puesto de trabajo]],#REF!,#REF!
)</f>
        <v>#REF!</v>
      </c>
      <c r="R589" t="s">
        <v>17</v>
      </c>
      <c r="S589" t="s">
        <v>18</v>
      </c>
      <c r="W589" t="s">
        <v>25</v>
      </c>
      <c r="X589" t="s">
        <v>22</v>
      </c>
      <c r="Y589" t="e">
        <f>+_xlfn.XLOOKUP(tbl_encuesta[[#This Row],[Considero a Limtek como un buen lugar para trabajar]],#REF!,#REF!)</f>
        <v>#REF!</v>
      </c>
      <c r="Z589" t="s">
        <v>1551</v>
      </c>
      <c r="AA589" t="s">
        <v>122</v>
      </c>
      <c r="AB589" t="s">
        <v>28</v>
      </c>
      <c r="AC589" s="3" t="s">
        <v>3749</v>
      </c>
      <c r="AD589" s="3" t="s">
        <v>3750</v>
      </c>
      <c r="AE589" t="s">
        <v>29</v>
      </c>
    </row>
    <row r="590" spans="1:31" x14ac:dyDescent="0.25">
      <c r="A590">
        <v>119028479023</v>
      </c>
      <c r="B590">
        <v>462598545</v>
      </c>
      <c r="C590" s="1">
        <v>46021.696423611109</v>
      </c>
      <c r="D590" s="1">
        <v>46021.700844907406</v>
      </c>
      <c r="E590" t="s">
        <v>1549</v>
      </c>
      <c r="F590" t="s">
        <v>23</v>
      </c>
      <c r="G590" t="e">
        <f>+_xlfn.XLOOKUP(tbl_encuesta[[#This Row],[Me siento a gusto con el ambiente de trabajo que se genera en mi equipo.]],#REF!,#REF!)</f>
        <v>#REF!</v>
      </c>
      <c r="H590" t="s">
        <v>23</v>
      </c>
      <c r="I590" t="e">
        <f>+_xlfn.XLOOKUP(tbl_encuesta[[#This Row],[Me siento motivado a dar lo mejor de mí y hacer un buen trabajo]],#REF!,#REF!)</f>
        <v>#REF!</v>
      </c>
      <c r="J590" t="s">
        <v>22</v>
      </c>
      <c r="K590" t="e">
        <f>+_xlfn.XLOOKUP(tbl_encuesta[[#This Row],[Mi supervisor o jefe directo me otorga el soporte que necesito para afrontar cualquier problema que afecte mi trabajo]],#REF!,#REF!)</f>
        <v>#REF!</v>
      </c>
      <c r="L590" t="s">
        <v>22</v>
      </c>
      <c r="M590" t="e">
        <f>+_xlfn.XLOOKUP(tbl_encuesta[[#This Row],[Mi supervisor o jefe directo fomenta que nos apoyemos entre todos en el equipo]],#REF!,#REF!)</f>
        <v>#REF!</v>
      </c>
      <c r="N590" t="s">
        <v>23</v>
      </c>
      <c r="O590" t="e">
        <f>+_xlfn.XLOOKUP(tbl_encuesta[[#This Row],[Siento que mi trabajo es reconocido por mi supervisor o jefe directo.]],#REF!,#REF!)</f>
        <v>#REF!</v>
      </c>
      <c r="P590" t="s">
        <v>31</v>
      </c>
      <c r="Q590" t="e">
        <f xml:space="preserve">
_xlfn.XLOOKUP(
tbl_encuesta[[#This Row],[Mi supervisor o jefe directo nos brinda charlas de 5 minutos y comunica las novedades relevantes a mi puesto de trabajo]],#REF!,#REF!
)</f>
        <v>#REF!</v>
      </c>
      <c r="R590" t="s">
        <v>17</v>
      </c>
      <c r="S590" t="s">
        <v>18</v>
      </c>
      <c r="W590" t="s">
        <v>46</v>
      </c>
      <c r="X590" t="s">
        <v>23</v>
      </c>
      <c r="Y590" t="e">
        <f>+_xlfn.XLOOKUP(tbl_encuesta[[#This Row],[Considero a Limtek como un buen lugar para trabajar]],#REF!,#REF!)</f>
        <v>#REF!</v>
      </c>
      <c r="Z590" t="s">
        <v>527</v>
      </c>
      <c r="AA590" t="s">
        <v>122</v>
      </c>
      <c r="AB590" t="s">
        <v>1491</v>
      </c>
      <c r="AC590" t="s">
        <v>3744</v>
      </c>
      <c r="AD590" t="s">
        <v>3744</v>
      </c>
      <c r="AE590" t="s">
        <v>34</v>
      </c>
    </row>
    <row r="591" spans="1:31" x14ac:dyDescent="0.25">
      <c r="A591">
        <v>119028475484</v>
      </c>
      <c r="B591">
        <v>462598545</v>
      </c>
      <c r="C591" s="1">
        <v>46021.689664351848</v>
      </c>
      <c r="D591" s="1">
        <v>46021.695081018515</v>
      </c>
      <c r="E591" t="s">
        <v>1552</v>
      </c>
      <c r="F591" t="s">
        <v>23</v>
      </c>
      <c r="G591" t="e">
        <f>+_xlfn.XLOOKUP(tbl_encuesta[[#This Row],[Me siento a gusto con el ambiente de trabajo que se genera en mi equipo.]],#REF!,#REF!)</f>
        <v>#REF!</v>
      </c>
      <c r="H591" t="s">
        <v>23</v>
      </c>
      <c r="I591" t="e">
        <f>+_xlfn.XLOOKUP(tbl_encuesta[[#This Row],[Me siento motivado a dar lo mejor de mí y hacer un buen trabajo]],#REF!,#REF!)</f>
        <v>#REF!</v>
      </c>
      <c r="J591" t="s">
        <v>23</v>
      </c>
      <c r="K591" t="e">
        <f>+_xlfn.XLOOKUP(tbl_encuesta[[#This Row],[Mi supervisor o jefe directo me otorga el soporte que necesito para afrontar cualquier problema que afecte mi trabajo]],#REF!,#REF!)</f>
        <v>#REF!</v>
      </c>
      <c r="L591" t="s">
        <v>23</v>
      </c>
      <c r="M591" t="e">
        <f>+_xlfn.XLOOKUP(tbl_encuesta[[#This Row],[Mi supervisor o jefe directo fomenta que nos apoyemos entre todos en el equipo]],#REF!,#REF!)</f>
        <v>#REF!</v>
      </c>
      <c r="N591" t="s">
        <v>23</v>
      </c>
      <c r="O591" t="e">
        <f>+_xlfn.XLOOKUP(tbl_encuesta[[#This Row],[Siento que mi trabajo es reconocido por mi supervisor o jefe directo.]],#REF!,#REF!)</f>
        <v>#REF!</v>
      </c>
      <c r="P591" t="s">
        <v>31</v>
      </c>
      <c r="Q591" t="e">
        <f xml:space="preserve">
_xlfn.XLOOKUP(
tbl_encuesta[[#This Row],[Mi supervisor o jefe directo nos brinda charlas de 5 minutos y comunica las novedades relevantes a mi puesto de trabajo]],#REF!,#REF!
)</f>
        <v>#REF!</v>
      </c>
      <c r="R591" t="s">
        <v>17</v>
      </c>
      <c r="T591" t="s">
        <v>19</v>
      </c>
      <c r="W591" t="s">
        <v>25</v>
      </c>
      <c r="X591" t="s">
        <v>23</v>
      </c>
      <c r="Y591" t="e">
        <f>+_xlfn.XLOOKUP(tbl_encuesta[[#This Row],[Considero a Limtek como un buen lugar para trabajar]],#REF!,#REF!)</f>
        <v>#REF!</v>
      </c>
      <c r="Z591" t="s">
        <v>1553</v>
      </c>
      <c r="AA591" t="s">
        <v>1554</v>
      </c>
      <c r="AB591" t="s">
        <v>767</v>
      </c>
      <c r="AC591" s="3" t="s">
        <v>3610</v>
      </c>
      <c r="AD591" s="3" t="s">
        <v>3679</v>
      </c>
      <c r="AE591" t="s">
        <v>29</v>
      </c>
    </row>
    <row r="592" spans="1:31" x14ac:dyDescent="0.25">
      <c r="A592">
        <v>119028472915</v>
      </c>
      <c r="B592">
        <v>462598545</v>
      </c>
      <c r="C592" s="1">
        <v>46021.686655092592</v>
      </c>
      <c r="D592" s="1">
        <v>46021.690937500003</v>
      </c>
      <c r="E592" t="s">
        <v>1555</v>
      </c>
      <c r="F592" t="s">
        <v>97</v>
      </c>
      <c r="G592" t="e">
        <f>+_xlfn.XLOOKUP(tbl_encuesta[[#This Row],[Me siento a gusto con el ambiente de trabajo que se genera en mi equipo.]],#REF!,#REF!)</f>
        <v>#REF!</v>
      </c>
      <c r="H592" t="s">
        <v>23</v>
      </c>
      <c r="I592" t="e">
        <f>+_xlfn.XLOOKUP(tbl_encuesta[[#This Row],[Me siento motivado a dar lo mejor de mí y hacer un buen trabajo]],#REF!,#REF!)</f>
        <v>#REF!</v>
      </c>
      <c r="J592" t="s">
        <v>23</v>
      </c>
      <c r="K592" t="e">
        <f>+_xlfn.XLOOKUP(tbl_encuesta[[#This Row],[Mi supervisor o jefe directo me otorga el soporte que necesito para afrontar cualquier problema que afecte mi trabajo]],#REF!,#REF!)</f>
        <v>#REF!</v>
      </c>
      <c r="L592" t="s">
        <v>23</v>
      </c>
      <c r="M592" t="e">
        <f>+_xlfn.XLOOKUP(tbl_encuesta[[#This Row],[Mi supervisor o jefe directo fomenta que nos apoyemos entre todos en el equipo]],#REF!,#REF!)</f>
        <v>#REF!</v>
      </c>
      <c r="N592" t="s">
        <v>23</v>
      </c>
      <c r="O592" t="e">
        <f>+_xlfn.XLOOKUP(tbl_encuesta[[#This Row],[Siento que mi trabajo es reconocido por mi supervisor o jefe directo.]],#REF!,#REF!)</f>
        <v>#REF!</v>
      </c>
      <c r="P592" t="s">
        <v>31</v>
      </c>
      <c r="Q592" t="e">
        <f xml:space="preserve">
_xlfn.XLOOKUP(
tbl_encuesta[[#This Row],[Mi supervisor o jefe directo nos brinda charlas de 5 minutos y comunica las novedades relevantes a mi puesto de trabajo]],#REF!,#REF!
)</f>
        <v>#REF!</v>
      </c>
      <c r="R592" t="s">
        <v>17</v>
      </c>
      <c r="U592" t="s">
        <v>20</v>
      </c>
      <c r="W592" t="s">
        <v>25</v>
      </c>
      <c r="X592" t="s">
        <v>23</v>
      </c>
      <c r="Y592" t="e">
        <f>+_xlfn.XLOOKUP(tbl_encuesta[[#This Row],[Considero a Limtek como un buen lugar para trabajar]],#REF!,#REF!)</f>
        <v>#REF!</v>
      </c>
      <c r="Z592" t="s">
        <v>1556</v>
      </c>
      <c r="AA592" t="s">
        <v>1557</v>
      </c>
      <c r="AB592" t="s">
        <v>559</v>
      </c>
      <c r="AC592" t="s">
        <v>3744</v>
      </c>
      <c r="AD592" t="s">
        <v>3744</v>
      </c>
      <c r="AE592" t="s">
        <v>69</v>
      </c>
    </row>
    <row r="593" spans="1:31" x14ac:dyDescent="0.25">
      <c r="A593">
        <v>119028471402</v>
      </c>
      <c r="B593">
        <v>462598545</v>
      </c>
      <c r="C593" s="1">
        <v>46021.682962962965</v>
      </c>
      <c r="D593" s="1">
        <v>46021.688321759262</v>
      </c>
      <c r="E593" t="s">
        <v>1558</v>
      </c>
      <c r="F593" t="s">
        <v>23</v>
      </c>
      <c r="G593" t="e">
        <f>+_xlfn.XLOOKUP(tbl_encuesta[[#This Row],[Me siento a gusto con el ambiente de trabajo que se genera en mi equipo.]],#REF!,#REF!)</f>
        <v>#REF!</v>
      </c>
      <c r="H593" t="s">
        <v>23</v>
      </c>
      <c r="I593" t="e">
        <f>+_xlfn.XLOOKUP(tbl_encuesta[[#This Row],[Me siento motivado a dar lo mejor de mí y hacer un buen trabajo]],#REF!,#REF!)</f>
        <v>#REF!</v>
      </c>
      <c r="J593" t="s">
        <v>23</v>
      </c>
      <c r="K593" t="e">
        <f>+_xlfn.XLOOKUP(tbl_encuesta[[#This Row],[Mi supervisor o jefe directo me otorga el soporte que necesito para afrontar cualquier problema que afecte mi trabajo]],#REF!,#REF!)</f>
        <v>#REF!</v>
      </c>
      <c r="L593" t="s">
        <v>23</v>
      </c>
      <c r="M593" t="e">
        <f>+_xlfn.XLOOKUP(tbl_encuesta[[#This Row],[Mi supervisor o jefe directo fomenta que nos apoyemos entre todos en el equipo]],#REF!,#REF!)</f>
        <v>#REF!</v>
      </c>
      <c r="N593" t="s">
        <v>22</v>
      </c>
      <c r="O593" t="e">
        <f>+_xlfn.XLOOKUP(tbl_encuesta[[#This Row],[Siento que mi trabajo es reconocido por mi supervisor o jefe directo.]],#REF!,#REF!)</f>
        <v>#REF!</v>
      </c>
      <c r="P593" t="s">
        <v>31</v>
      </c>
      <c r="Q593" t="e">
        <f xml:space="preserve">
_xlfn.XLOOKUP(
tbl_encuesta[[#This Row],[Mi supervisor o jefe directo nos brinda charlas de 5 minutos y comunica las novedades relevantes a mi puesto de trabajo]],#REF!,#REF!
)</f>
        <v>#REF!</v>
      </c>
      <c r="R593" t="s">
        <v>17</v>
      </c>
      <c r="U593" t="s">
        <v>20</v>
      </c>
      <c r="W593" t="s">
        <v>25</v>
      </c>
      <c r="X593" t="s">
        <v>23</v>
      </c>
      <c r="Y593" t="e">
        <f>+_xlfn.XLOOKUP(tbl_encuesta[[#This Row],[Considero a Limtek como un buen lugar para trabajar]],#REF!,#REF!)</f>
        <v>#REF!</v>
      </c>
      <c r="Z593" t="s">
        <v>1559</v>
      </c>
      <c r="AA593" t="s">
        <v>1560</v>
      </c>
      <c r="AB593" t="s">
        <v>619</v>
      </c>
      <c r="AC593" t="s">
        <v>3744</v>
      </c>
      <c r="AD593" t="s">
        <v>3744</v>
      </c>
      <c r="AE593" t="s">
        <v>34</v>
      </c>
    </row>
    <row r="594" spans="1:31" x14ac:dyDescent="0.25">
      <c r="A594">
        <v>119028470907</v>
      </c>
      <c r="B594">
        <v>462598545</v>
      </c>
      <c r="C594" s="1">
        <v>46021.685740740744</v>
      </c>
      <c r="D594" s="1">
        <v>46021.687407407408</v>
      </c>
      <c r="E594" t="s">
        <v>1561</v>
      </c>
      <c r="F594" t="s">
        <v>23</v>
      </c>
      <c r="G594" t="e">
        <f>+_xlfn.XLOOKUP(tbl_encuesta[[#This Row],[Me siento a gusto con el ambiente de trabajo que se genera en mi equipo.]],#REF!,#REF!)</f>
        <v>#REF!</v>
      </c>
      <c r="H594" t="s">
        <v>23</v>
      </c>
      <c r="I594" t="e">
        <f>+_xlfn.XLOOKUP(tbl_encuesta[[#This Row],[Me siento motivado a dar lo mejor de mí y hacer un buen trabajo]],#REF!,#REF!)</f>
        <v>#REF!</v>
      </c>
      <c r="J594" t="s">
        <v>22</v>
      </c>
      <c r="K594" t="e">
        <f>+_xlfn.XLOOKUP(tbl_encuesta[[#This Row],[Mi supervisor o jefe directo me otorga el soporte que necesito para afrontar cualquier problema que afecte mi trabajo]],#REF!,#REF!)</f>
        <v>#REF!</v>
      </c>
      <c r="L594" t="s">
        <v>22</v>
      </c>
      <c r="M594" t="e">
        <f>+_xlfn.XLOOKUP(tbl_encuesta[[#This Row],[Mi supervisor o jefe directo fomenta que nos apoyemos entre todos en el equipo]],#REF!,#REF!)</f>
        <v>#REF!</v>
      </c>
      <c r="N594" t="s">
        <v>23</v>
      </c>
      <c r="O594" t="e">
        <f>+_xlfn.XLOOKUP(tbl_encuesta[[#This Row],[Siento que mi trabajo es reconocido por mi supervisor o jefe directo.]],#REF!,#REF!)</f>
        <v>#REF!</v>
      </c>
      <c r="P594" t="s">
        <v>31</v>
      </c>
      <c r="Q594" t="e">
        <f xml:space="preserve">
_xlfn.XLOOKUP(
tbl_encuesta[[#This Row],[Mi supervisor o jefe directo nos brinda charlas de 5 minutos y comunica las novedades relevantes a mi puesto de trabajo]],#REF!,#REF!
)</f>
        <v>#REF!</v>
      </c>
      <c r="R594" t="s">
        <v>17</v>
      </c>
      <c r="T594" t="s">
        <v>19</v>
      </c>
      <c r="W594" t="s">
        <v>25</v>
      </c>
      <c r="X594" t="s">
        <v>23</v>
      </c>
      <c r="Y594" t="e">
        <f>+_xlfn.XLOOKUP(tbl_encuesta[[#This Row],[Considero a Limtek como un buen lugar para trabajar]],#REF!,#REF!)</f>
        <v>#REF!</v>
      </c>
      <c r="Z594" t="s">
        <v>576</v>
      </c>
      <c r="AA594" t="s">
        <v>122</v>
      </c>
      <c r="AB594" t="s">
        <v>726</v>
      </c>
      <c r="AC594" s="3" t="s">
        <v>3610</v>
      </c>
      <c r="AD594" s="3" t="s">
        <v>3680</v>
      </c>
      <c r="AE594" t="s">
        <v>55</v>
      </c>
    </row>
    <row r="595" spans="1:31" x14ac:dyDescent="0.25">
      <c r="A595">
        <v>119028470851</v>
      </c>
      <c r="B595">
        <v>462598545</v>
      </c>
      <c r="C595" s="1">
        <v>46021.661504629628</v>
      </c>
      <c r="D595" s="1">
        <v>46021.687303240738</v>
      </c>
      <c r="E595" t="s">
        <v>942</v>
      </c>
      <c r="F595" t="s">
        <v>22</v>
      </c>
      <c r="G595" t="e">
        <f>+_xlfn.XLOOKUP(tbl_encuesta[[#This Row],[Me siento a gusto con el ambiente de trabajo que se genera en mi equipo.]],#REF!,#REF!)</f>
        <v>#REF!</v>
      </c>
      <c r="H595" t="s">
        <v>23</v>
      </c>
      <c r="I595" t="e">
        <f>+_xlfn.XLOOKUP(tbl_encuesta[[#This Row],[Me siento motivado a dar lo mejor de mí y hacer un buen trabajo]],#REF!,#REF!)</f>
        <v>#REF!</v>
      </c>
      <c r="J595" t="s">
        <v>22</v>
      </c>
      <c r="K595" t="e">
        <f>+_xlfn.XLOOKUP(tbl_encuesta[[#This Row],[Mi supervisor o jefe directo me otorga el soporte que necesito para afrontar cualquier problema que afecte mi trabajo]],#REF!,#REF!)</f>
        <v>#REF!</v>
      </c>
      <c r="L595" t="s">
        <v>23</v>
      </c>
      <c r="M595" t="e">
        <f>+_xlfn.XLOOKUP(tbl_encuesta[[#This Row],[Mi supervisor o jefe directo fomenta que nos apoyemos entre todos en el equipo]],#REF!,#REF!)</f>
        <v>#REF!</v>
      </c>
      <c r="N595" t="s">
        <v>23</v>
      </c>
      <c r="O595" t="e">
        <f>+_xlfn.XLOOKUP(tbl_encuesta[[#This Row],[Siento que mi trabajo es reconocido por mi supervisor o jefe directo.]],#REF!,#REF!)</f>
        <v>#REF!</v>
      </c>
      <c r="P595" t="s">
        <v>31</v>
      </c>
      <c r="Q595" t="e">
        <f xml:space="preserve">
_xlfn.XLOOKUP(
tbl_encuesta[[#This Row],[Mi supervisor o jefe directo nos brinda charlas de 5 minutos y comunica las novedades relevantes a mi puesto de trabajo]],#REF!,#REF!
)</f>
        <v>#REF!</v>
      </c>
      <c r="R595" t="s">
        <v>17</v>
      </c>
      <c r="T595" t="s">
        <v>19</v>
      </c>
      <c r="W595" t="s">
        <v>25</v>
      </c>
      <c r="X595" t="s">
        <v>23</v>
      </c>
      <c r="Y595" t="e">
        <f>+_xlfn.XLOOKUP(tbl_encuesta[[#This Row],[Considero a Limtek como un buen lugar para trabajar]],#REF!,#REF!)</f>
        <v>#REF!</v>
      </c>
      <c r="Z595" t="s">
        <v>943</v>
      </c>
      <c r="AA595" t="s">
        <v>944</v>
      </c>
      <c r="AB595" t="s">
        <v>563</v>
      </c>
      <c r="AC595" s="3" t="s">
        <v>3610</v>
      </c>
      <c r="AD595" s="3" t="s">
        <v>3610</v>
      </c>
      <c r="AE595" t="s">
        <v>29</v>
      </c>
    </row>
    <row r="596" spans="1:31" x14ac:dyDescent="0.25">
      <c r="A596">
        <v>119028470197</v>
      </c>
      <c r="B596">
        <v>462598545</v>
      </c>
      <c r="C596" s="1">
        <v>46021.684027777781</v>
      </c>
      <c r="D596" s="1">
        <v>46021.686099537037</v>
      </c>
      <c r="E596" t="s">
        <v>1562</v>
      </c>
      <c r="F596" t="s">
        <v>23</v>
      </c>
      <c r="G596" t="e">
        <f>+_xlfn.XLOOKUP(tbl_encuesta[[#This Row],[Me siento a gusto con el ambiente de trabajo que se genera en mi equipo.]],#REF!,#REF!)</f>
        <v>#REF!</v>
      </c>
      <c r="H596" t="s">
        <v>23</v>
      </c>
      <c r="I596" t="e">
        <f>+_xlfn.XLOOKUP(tbl_encuesta[[#This Row],[Me siento motivado a dar lo mejor de mí y hacer un buen trabajo]],#REF!,#REF!)</f>
        <v>#REF!</v>
      </c>
      <c r="J596" t="s">
        <v>23</v>
      </c>
      <c r="K596" t="e">
        <f>+_xlfn.XLOOKUP(tbl_encuesta[[#This Row],[Mi supervisor o jefe directo me otorga el soporte que necesito para afrontar cualquier problema que afecte mi trabajo]],#REF!,#REF!)</f>
        <v>#REF!</v>
      </c>
      <c r="L596" t="s">
        <v>23</v>
      </c>
      <c r="M596" t="e">
        <f>+_xlfn.XLOOKUP(tbl_encuesta[[#This Row],[Mi supervisor o jefe directo fomenta que nos apoyemos entre todos en el equipo]],#REF!,#REF!)</f>
        <v>#REF!</v>
      </c>
      <c r="N596" t="s">
        <v>23</v>
      </c>
      <c r="O596" t="e">
        <f>+_xlfn.XLOOKUP(tbl_encuesta[[#This Row],[Siento que mi trabajo es reconocido por mi supervisor o jefe directo.]],#REF!,#REF!)</f>
        <v>#REF!</v>
      </c>
      <c r="P596" t="s">
        <v>67</v>
      </c>
      <c r="Q596" t="e">
        <f xml:space="preserve">
_xlfn.XLOOKUP(
tbl_encuesta[[#This Row],[Mi supervisor o jefe directo nos brinda charlas de 5 minutos y comunica las novedades relevantes a mi puesto de trabajo]],#REF!,#REF!
)</f>
        <v>#REF!</v>
      </c>
      <c r="R596" t="s">
        <v>17</v>
      </c>
      <c r="U596" t="s">
        <v>20</v>
      </c>
      <c r="W596" t="s">
        <v>25</v>
      </c>
      <c r="X596" t="s">
        <v>23</v>
      </c>
      <c r="Y596" t="e">
        <f>+_xlfn.XLOOKUP(tbl_encuesta[[#This Row],[Considero a Limtek como un buen lugar para trabajar]],#REF!,#REF!)</f>
        <v>#REF!</v>
      </c>
      <c r="Z596" t="s">
        <v>1563</v>
      </c>
      <c r="AA596" t="s">
        <v>1564</v>
      </c>
      <c r="AB596" t="s">
        <v>867</v>
      </c>
      <c r="AC596" t="s">
        <v>3744</v>
      </c>
      <c r="AD596" t="s">
        <v>3744</v>
      </c>
      <c r="AE596" t="s">
        <v>55</v>
      </c>
    </row>
    <row r="597" spans="1:31" x14ac:dyDescent="0.25">
      <c r="A597">
        <v>119028469070</v>
      </c>
      <c r="B597">
        <v>462598545</v>
      </c>
      <c r="C597" s="1">
        <v>46021.681238425925</v>
      </c>
      <c r="D597" s="1">
        <v>46021.684201388889</v>
      </c>
      <c r="E597" t="s">
        <v>1565</v>
      </c>
      <c r="F597" t="s">
        <v>23</v>
      </c>
      <c r="G597" t="e">
        <f>+_xlfn.XLOOKUP(tbl_encuesta[[#This Row],[Me siento a gusto con el ambiente de trabajo que se genera en mi equipo.]],#REF!,#REF!)</f>
        <v>#REF!</v>
      </c>
      <c r="H597" t="s">
        <v>23</v>
      </c>
      <c r="I597" t="e">
        <f>+_xlfn.XLOOKUP(tbl_encuesta[[#This Row],[Me siento motivado a dar lo mejor de mí y hacer un buen trabajo]],#REF!,#REF!)</f>
        <v>#REF!</v>
      </c>
      <c r="J597" t="s">
        <v>23</v>
      </c>
      <c r="K597" t="e">
        <f>+_xlfn.XLOOKUP(tbl_encuesta[[#This Row],[Mi supervisor o jefe directo me otorga el soporte que necesito para afrontar cualquier problema que afecte mi trabajo]],#REF!,#REF!)</f>
        <v>#REF!</v>
      </c>
      <c r="L597" t="s">
        <v>23</v>
      </c>
      <c r="M597" t="e">
        <f>+_xlfn.XLOOKUP(tbl_encuesta[[#This Row],[Mi supervisor o jefe directo fomenta que nos apoyemos entre todos en el equipo]],#REF!,#REF!)</f>
        <v>#REF!</v>
      </c>
      <c r="N597" t="s">
        <v>23</v>
      </c>
      <c r="O597" t="e">
        <f>+_xlfn.XLOOKUP(tbl_encuesta[[#This Row],[Siento que mi trabajo es reconocido por mi supervisor o jefe directo.]],#REF!,#REF!)</f>
        <v>#REF!</v>
      </c>
      <c r="P597" t="s">
        <v>31</v>
      </c>
      <c r="Q597" t="e">
        <f xml:space="preserve">
_xlfn.XLOOKUP(
tbl_encuesta[[#This Row],[Mi supervisor o jefe directo nos brinda charlas de 5 minutos y comunica las novedades relevantes a mi puesto de trabajo]],#REF!,#REF!
)</f>
        <v>#REF!</v>
      </c>
      <c r="R597" t="s">
        <v>17</v>
      </c>
      <c r="W597" t="s">
        <v>25</v>
      </c>
      <c r="X597" t="s">
        <v>23</v>
      </c>
      <c r="Y597" t="e">
        <f>+_xlfn.XLOOKUP(tbl_encuesta[[#This Row],[Considero a Limtek como un buen lugar para trabajar]],#REF!,#REF!)</f>
        <v>#REF!</v>
      </c>
      <c r="Z597" t="s">
        <v>1566</v>
      </c>
      <c r="AA597" t="s">
        <v>380</v>
      </c>
      <c r="AB597" t="s">
        <v>697</v>
      </c>
      <c r="AC597" t="s">
        <v>3610</v>
      </c>
      <c r="AD597" t="s">
        <v>3610</v>
      </c>
      <c r="AE597" t="s">
        <v>61</v>
      </c>
    </row>
    <row r="598" spans="1:31" x14ac:dyDescent="0.25">
      <c r="A598">
        <v>119028468296</v>
      </c>
      <c r="B598">
        <v>462598545</v>
      </c>
      <c r="C598" s="1">
        <v>46021.678877314815</v>
      </c>
      <c r="D598" s="1">
        <v>46021.682870370372</v>
      </c>
      <c r="E598" t="s">
        <v>1567</v>
      </c>
      <c r="F598" t="s">
        <v>23</v>
      </c>
      <c r="G598" t="e">
        <f>+_xlfn.XLOOKUP(tbl_encuesta[[#This Row],[Me siento a gusto con el ambiente de trabajo que se genera en mi equipo.]],#REF!,#REF!)</f>
        <v>#REF!</v>
      </c>
      <c r="H598" t="s">
        <v>23</v>
      </c>
      <c r="I598" t="e">
        <f>+_xlfn.XLOOKUP(tbl_encuesta[[#This Row],[Me siento motivado a dar lo mejor de mí y hacer un buen trabajo]],#REF!,#REF!)</f>
        <v>#REF!</v>
      </c>
      <c r="J598" t="s">
        <v>97</v>
      </c>
      <c r="K598" t="e">
        <f>+_xlfn.XLOOKUP(tbl_encuesta[[#This Row],[Mi supervisor o jefe directo me otorga el soporte que necesito para afrontar cualquier problema que afecte mi trabajo]],#REF!,#REF!)</f>
        <v>#REF!</v>
      </c>
      <c r="L598" t="s">
        <v>22</v>
      </c>
      <c r="M598" t="e">
        <f>+_xlfn.XLOOKUP(tbl_encuesta[[#This Row],[Mi supervisor o jefe directo fomenta que nos apoyemos entre todos en el equipo]],#REF!,#REF!)</f>
        <v>#REF!</v>
      </c>
      <c r="N598" t="s">
        <v>23</v>
      </c>
      <c r="O598" t="e">
        <f>+_xlfn.XLOOKUP(tbl_encuesta[[#This Row],[Siento que mi trabajo es reconocido por mi supervisor o jefe directo.]],#REF!,#REF!)</f>
        <v>#REF!</v>
      </c>
      <c r="P598" t="s">
        <v>31</v>
      </c>
      <c r="Q598" t="e">
        <f xml:space="preserve">
_xlfn.XLOOKUP(
tbl_encuesta[[#This Row],[Mi supervisor o jefe directo nos brinda charlas de 5 minutos y comunica las novedades relevantes a mi puesto de trabajo]],#REF!,#REF!
)</f>
        <v>#REF!</v>
      </c>
      <c r="R598" t="s">
        <v>17</v>
      </c>
      <c r="T598" t="s">
        <v>19</v>
      </c>
      <c r="W598" t="s">
        <v>25</v>
      </c>
      <c r="X598" t="s">
        <v>22</v>
      </c>
      <c r="Y598" t="e">
        <f>+_xlfn.XLOOKUP(tbl_encuesta[[#This Row],[Considero a Limtek como un buen lugar para trabajar]],#REF!,#REF!)</f>
        <v>#REF!</v>
      </c>
      <c r="Z598" t="s">
        <v>1568</v>
      </c>
      <c r="AA598" t="s">
        <v>1569</v>
      </c>
      <c r="AB598" t="s">
        <v>726</v>
      </c>
      <c r="AC598" s="3" t="s">
        <v>3610</v>
      </c>
      <c r="AD598" s="3" t="s">
        <v>3610</v>
      </c>
      <c r="AE598" t="s">
        <v>34</v>
      </c>
    </row>
    <row r="599" spans="1:31" x14ac:dyDescent="0.25">
      <c r="A599">
        <v>119028466982</v>
      </c>
      <c r="B599">
        <v>462598545</v>
      </c>
      <c r="C599" s="1">
        <v>46021.679270833331</v>
      </c>
      <c r="D599" s="1">
        <v>46021.680486111109</v>
      </c>
      <c r="E599" t="s">
        <v>1570</v>
      </c>
      <c r="F599" t="s">
        <v>23</v>
      </c>
      <c r="G599" t="e">
        <f>+_xlfn.XLOOKUP(tbl_encuesta[[#This Row],[Me siento a gusto con el ambiente de trabajo que se genera en mi equipo.]],#REF!,#REF!)</f>
        <v>#REF!</v>
      </c>
      <c r="H599" t="s">
        <v>23</v>
      </c>
      <c r="I599" t="e">
        <f>+_xlfn.XLOOKUP(tbl_encuesta[[#This Row],[Me siento motivado a dar lo mejor de mí y hacer un buen trabajo]],#REF!,#REF!)</f>
        <v>#REF!</v>
      </c>
      <c r="J599" t="s">
        <v>23</v>
      </c>
      <c r="K599" t="e">
        <f>+_xlfn.XLOOKUP(tbl_encuesta[[#This Row],[Mi supervisor o jefe directo me otorga el soporte que necesito para afrontar cualquier problema que afecte mi trabajo]],#REF!,#REF!)</f>
        <v>#REF!</v>
      </c>
      <c r="L599" t="s">
        <v>23</v>
      </c>
      <c r="M599" t="e">
        <f>+_xlfn.XLOOKUP(tbl_encuesta[[#This Row],[Mi supervisor o jefe directo fomenta que nos apoyemos entre todos en el equipo]],#REF!,#REF!)</f>
        <v>#REF!</v>
      </c>
      <c r="N599" t="s">
        <v>23</v>
      </c>
      <c r="O599" t="e">
        <f>+_xlfn.XLOOKUP(tbl_encuesta[[#This Row],[Siento que mi trabajo es reconocido por mi supervisor o jefe directo.]],#REF!,#REF!)</f>
        <v>#REF!</v>
      </c>
      <c r="P599" t="s">
        <v>67</v>
      </c>
      <c r="Q599" t="e">
        <f xml:space="preserve">
_xlfn.XLOOKUP(
tbl_encuesta[[#This Row],[Mi supervisor o jefe directo nos brinda charlas de 5 minutos y comunica las novedades relevantes a mi puesto de trabajo]],#REF!,#REF!
)</f>
        <v>#REF!</v>
      </c>
      <c r="S599" t="s">
        <v>18</v>
      </c>
      <c r="T599" t="s">
        <v>19</v>
      </c>
      <c r="W599" t="s">
        <v>25</v>
      </c>
      <c r="X599" t="s">
        <v>23</v>
      </c>
      <c r="Y599" t="e">
        <f>+_xlfn.XLOOKUP(tbl_encuesta[[#This Row],[Considero a Limtek como un buen lugar para trabajar]],#REF!,#REF!)</f>
        <v>#REF!</v>
      </c>
      <c r="Z599" t="s">
        <v>1571</v>
      </c>
      <c r="AA599" t="s">
        <v>1572</v>
      </c>
      <c r="AB599" t="s">
        <v>704</v>
      </c>
      <c r="AC599" s="3" t="s">
        <v>3610</v>
      </c>
      <c r="AD599" s="3" t="s">
        <v>3629</v>
      </c>
      <c r="AE599" t="s">
        <v>34</v>
      </c>
    </row>
    <row r="600" spans="1:31" x14ac:dyDescent="0.25">
      <c r="A600">
        <v>119028465976</v>
      </c>
      <c r="B600">
        <v>462598545</v>
      </c>
      <c r="C600" s="1">
        <v>46021.674722222226</v>
      </c>
      <c r="D600" s="1">
        <v>46021.678738425922</v>
      </c>
      <c r="E600" t="s">
        <v>1570</v>
      </c>
      <c r="F600" t="s">
        <v>23</v>
      </c>
      <c r="G600" t="e">
        <f>+_xlfn.XLOOKUP(tbl_encuesta[[#This Row],[Me siento a gusto con el ambiente de trabajo que se genera en mi equipo.]],#REF!,#REF!)</f>
        <v>#REF!</v>
      </c>
      <c r="H600" t="s">
        <v>23</v>
      </c>
      <c r="I600" t="e">
        <f>+_xlfn.XLOOKUP(tbl_encuesta[[#This Row],[Me siento motivado a dar lo mejor de mí y hacer un buen trabajo]],#REF!,#REF!)</f>
        <v>#REF!</v>
      </c>
      <c r="J600" t="s">
        <v>23</v>
      </c>
      <c r="K600" t="e">
        <f>+_xlfn.XLOOKUP(tbl_encuesta[[#This Row],[Mi supervisor o jefe directo me otorga el soporte que necesito para afrontar cualquier problema que afecte mi trabajo]],#REF!,#REF!)</f>
        <v>#REF!</v>
      </c>
      <c r="L600" t="s">
        <v>23</v>
      </c>
      <c r="M600" t="e">
        <f>+_xlfn.XLOOKUP(tbl_encuesta[[#This Row],[Mi supervisor o jefe directo fomenta que nos apoyemos entre todos en el equipo]],#REF!,#REF!)</f>
        <v>#REF!</v>
      </c>
      <c r="N600" t="s">
        <v>23</v>
      </c>
      <c r="O600" t="e">
        <f>+_xlfn.XLOOKUP(tbl_encuesta[[#This Row],[Siento que mi trabajo es reconocido por mi supervisor o jefe directo.]],#REF!,#REF!)</f>
        <v>#REF!</v>
      </c>
      <c r="P600" t="s">
        <v>67</v>
      </c>
      <c r="Q600" t="e">
        <f xml:space="preserve">
_xlfn.XLOOKUP(
tbl_encuesta[[#This Row],[Mi supervisor o jefe directo nos brinda charlas de 5 minutos y comunica las novedades relevantes a mi puesto de trabajo]],#REF!,#REF!
)</f>
        <v>#REF!</v>
      </c>
      <c r="S600" t="s">
        <v>18</v>
      </c>
      <c r="T600" t="s">
        <v>19</v>
      </c>
      <c r="W600" t="s">
        <v>25</v>
      </c>
      <c r="X600" t="s">
        <v>23</v>
      </c>
      <c r="Y600" t="e">
        <f>+_xlfn.XLOOKUP(tbl_encuesta[[#This Row],[Considero a Limtek como un buen lugar para trabajar]],#REF!,#REF!)</f>
        <v>#REF!</v>
      </c>
      <c r="Z600" t="s">
        <v>1571</v>
      </c>
      <c r="AA600" t="s">
        <v>1572</v>
      </c>
      <c r="AB600" t="s">
        <v>704</v>
      </c>
      <c r="AC600" s="3" t="s">
        <v>3610</v>
      </c>
      <c r="AD600" s="3" t="s">
        <v>3629</v>
      </c>
      <c r="AE600" t="s">
        <v>34</v>
      </c>
    </row>
    <row r="601" spans="1:31" x14ac:dyDescent="0.25">
      <c r="A601">
        <v>119028465435</v>
      </c>
      <c r="B601">
        <v>462598545</v>
      </c>
      <c r="C601" s="1">
        <v>46021.676736111112</v>
      </c>
      <c r="D601" s="1">
        <v>46021.677812499998</v>
      </c>
      <c r="E601" t="s">
        <v>1573</v>
      </c>
      <c r="F601" t="s">
        <v>23</v>
      </c>
      <c r="G601" t="e">
        <f>+_xlfn.XLOOKUP(tbl_encuesta[[#This Row],[Me siento a gusto con el ambiente de trabajo que se genera en mi equipo.]],#REF!,#REF!)</f>
        <v>#REF!</v>
      </c>
      <c r="H601" t="s">
        <v>23</v>
      </c>
      <c r="I601" t="e">
        <f>+_xlfn.XLOOKUP(tbl_encuesta[[#This Row],[Me siento motivado a dar lo mejor de mí y hacer un buen trabajo]],#REF!,#REF!)</f>
        <v>#REF!</v>
      </c>
      <c r="J601" t="s">
        <v>23</v>
      </c>
      <c r="K601" t="e">
        <f>+_xlfn.XLOOKUP(tbl_encuesta[[#This Row],[Mi supervisor o jefe directo me otorga el soporte que necesito para afrontar cualquier problema que afecte mi trabajo]],#REF!,#REF!)</f>
        <v>#REF!</v>
      </c>
      <c r="L601" t="s">
        <v>23</v>
      </c>
      <c r="M601" t="e">
        <f>+_xlfn.XLOOKUP(tbl_encuesta[[#This Row],[Mi supervisor o jefe directo fomenta que nos apoyemos entre todos en el equipo]],#REF!,#REF!)</f>
        <v>#REF!</v>
      </c>
      <c r="N601" t="s">
        <v>23</v>
      </c>
      <c r="O601" t="e">
        <f>+_xlfn.XLOOKUP(tbl_encuesta[[#This Row],[Siento que mi trabajo es reconocido por mi supervisor o jefe directo.]],#REF!,#REF!)</f>
        <v>#REF!</v>
      </c>
      <c r="P601" t="s">
        <v>31</v>
      </c>
      <c r="Q601" t="e">
        <f xml:space="preserve">
_xlfn.XLOOKUP(
tbl_encuesta[[#This Row],[Mi supervisor o jefe directo nos brinda charlas de 5 minutos y comunica las novedades relevantes a mi puesto de trabajo]],#REF!,#REF!
)</f>
        <v>#REF!</v>
      </c>
      <c r="T601" t="s">
        <v>19</v>
      </c>
      <c r="W601" t="s">
        <v>25</v>
      </c>
      <c r="X601" t="s">
        <v>23</v>
      </c>
      <c r="Y601" t="e">
        <f>+_xlfn.XLOOKUP(tbl_encuesta[[#This Row],[Considero a Limtek como un buen lugar para trabajar]],#REF!,#REF!)</f>
        <v>#REF!</v>
      </c>
      <c r="Z601" t="s">
        <v>1574</v>
      </c>
      <c r="AA601" t="s">
        <v>122</v>
      </c>
      <c r="AB601" t="s">
        <v>687</v>
      </c>
      <c r="AC601" s="3" t="s">
        <v>3755</v>
      </c>
      <c r="AD601" s="3" t="s">
        <v>3755</v>
      </c>
      <c r="AE601" t="s">
        <v>61</v>
      </c>
    </row>
    <row r="602" spans="1:31" x14ac:dyDescent="0.25">
      <c r="A602">
        <v>119028465188</v>
      </c>
      <c r="B602">
        <v>462598545</v>
      </c>
      <c r="C602" s="1">
        <v>46021.672743055555</v>
      </c>
      <c r="D602" s="1">
        <v>46021.677395833336</v>
      </c>
      <c r="E602" t="s">
        <v>1575</v>
      </c>
      <c r="F602" t="s">
        <v>23</v>
      </c>
      <c r="G602" t="e">
        <f>+_xlfn.XLOOKUP(tbl_encuesta[[#This Row],[Me siento a gusto con el ambiente de trabajo que se genera en mi equipo.]],#REF!,#REF!)</f>
        <v>#REF!</v>
      </c>
      <c r="H602" t="s">
        <v>23</v>
      </c>
      <c r="I602" t="e">
        <f>+_xlfn.XLOOKUP(tbl_encuesta[[#This Row],[Me siento motivado a dar lo mejor de mí y hacer un buen trabajo]],#REF!,#REF!)</f>
        <v>#REF!</v>
      </c>
      <c r="J602" t="s">
        <v>23</v>
      </c>
      <c r="K602" t="e">
        <f>+_xlfn.XLOOKUP(tbl_encuesta[[#This Row],[Mi supervisor o jefe directo me otorga el soporte que necesito para afrontar cualquier problema que afecte mi trabajo]],#REF!,#REF!)</f>
        <v>#REF!</v>
      </c>
      <c r="L602" t="s">
        <v>23</v>
      </c>
      <c r="M602" t="e">
        <f>+_xlfn.XLOOKUP(tbl_encuesta[[#This Row],[Mi supervisor o jefe directo fomenta que nos apoyemos entre todos en el equipo]],#REF!,#REF!)</f>
        <v>#REF!</v>
      </c>
      <c r="N602" t="s">
        <v>23</v>
      </c>
      <c r="O602" t="e">
        <f>+_xlfn.XLOOKUP(tbl_encuesta[[#This Row],[Siento que mi trabajo es reconocido por mi supervisor o jefe directo.]],#REF!,#REF!)</f>
        <v>#REF!</v>
      </c>
      <c r="P602" t="s">
        <v>31</v>
      </c>
      <c r="Q602" t="e">
        <f xml:space="preserve">
_xlfn.XLOOKUP(
tbl_encuesta[[#This Row],[Mi supervisor o jefe directo nos brinda charlas de 5 minutos y comunica las novedades relevantes a mi puesto de trabajo]],#REF!,#REF!
)</f>
        <v>#REF!</v>
      </c>
      <c r="R602" t="s">
        <v>17</v>
      </c>
      <c r="W602" t="s">
        <v>25</v>
      </c>
      <c r="X602" t="s">
        <v>23</v>
      </c>
      <c r="Y602" t="e">
        <f>+_xlfn.XLOOKUP(tbl_encuesta[[#This Row],[Considero a Limtek como un buen lugar para trabajar]],#REF!,#REF!)</f>
        <v>#REF!</v>
      </c>
      <c r="Z602" t="s">
        <v>1576</v>
      </c>
      <c r="AA602" t="s">
        <v>1577</v>
      </c>
      <c r="AB602" t="s">
        <v>563</v>
      </c>
      <c r="AC602" t="s">
        <v>3610</v>
      </c>
      <c r="AD602" t="s">
        <v>3610</v>
      </c>
      <c r="AE602" t="s">
        <v>69</v>
      </c>
    </row>
    <row r="603" spans="1:31" x14ac:dyDescent="0.25">
      <c r="A603">
        <v>119028461454</v>
      </c>
      <c r="B603">
        <v>462598545</v>
      </c>
      <c r="C603" s="1">
        <v>46021.670335648145</v>
      </c>
      <c r="D603" s="1">
        <v>46021.67119212963</v>
      </c>
      <c r="E603" t="s">
        <v>1578</v>
      </c>
      <c r="F603" t="s">
        <v>23</v>
      </c>
      <c r="G603" t="e">
        <f>+_xlfn.XLOOKUP(tbl_encuesta[[#This Row],[Me siento a gusto con el ambiente de trabajo que se genera en mi equipo.]],#REF!,#REF!)</f>
        <v>#REF!</v>
      </c>
      <c r="H603" t="s">
        <v>23</v>
      </c>
      <c r="I603" t="e">
        <f>+_xlfn.XLOOKUP(tbl_encuesta[[#This Row],[Me siento motivado a dar lo mejor de mí y hacer un buen trabajo]],#REF!,#REF!)</f>
        <v>#REF!</v>
      </c>
      <c r="J603" t="s">
        <v>23</v>
      </c>
      <c r="K603" t="e">
        <f>+_xlfn.XLOOKUP(tbl_encuesta[[#This Row],[Mi supervisor o jefe directo me otorga el soporte que necesito para afrontar cualquier problema que afecte mi trabajo]],#REF!,#REF!)</f>
        <v>#REF!</v>
      </c>
      <c r="L603" t="s">
        <v>23</v>
      </c>
      <c r="M603" t="e">
        <f>+_xlfn.XLOOKUP(tbl_encuesta[[#This Row],[Mi supervisor o jefe directo fomenta que nos apoyemos entre todos en el equipo]],#REF!,#REF!)</f>
        <v>#REF!</v>
      </c>
      <c r="N603" t="s">
        <v>22</v>
      </c>
      <c r="O603" t="e">
        <f>+_xlfn.XLOOKUP(tbl_encuesta[[#This Row],[Siento que mi trabajo es reconocido por mi supervisor o jefe directo.]],#REF!,#REF!)</f>
        <v>#REF!</v>
      </c>
      <c r="P603" t="s">
        <v>31</v>
      </c>
      <c r="Q603" t="e">
        <f xml:space="preserve">
_xlfn.XLOOKUP(
tbl_encuesta[[#This Row],[Mi supervisor o jefe directo nos brinda charlas de 5 minutos y comunica las novedades relevantes a mi puesto de trabajo]],#REF!,#REF!
)</f>
        <v>#REF!</v>
      </c>
      <c r="R603" t="s">
        <v>17</v>
      </c>
      <c r="T603" t="s">
        <v>19</v>
      </c>
      <c r="W603" t="s">
        <v>25</v>
      </c>
      <c r="X603" t="s">
        <v>22</v>
      </c>
      <c r="Y603" t="e">
        <f>+_xlfn.XLOOKUP(tbl_encuesta[[#This Row],[Considero a Limtek como un buen lugar para trabajar]],#REF!,#REF!)</f>
        <v>#REF!</v>
      </c>
      <c r="Z603" t="s">
        <v>1579</v>
      </c>
      <c r="AA603" t="s">
        <v>1580</v>
      </c>
      <c r="AB603" t="s">
        <v>687</v>
      </c>
      <c r="AC603" t="s">
        <v>3592</v>
      </c>
      <c r="AD603" t="s">
        <v>3592</v>
      </c>
      <c r="AE603" t="s">
        <v>69</v>
      </c>
    </row>
    <row r="604" spans="1:31" x14ac:dyDescent="0.25">
      <c r="A604">
        <v>119028460878</v>
      </c>
      <c r="B604">
        <v>462598545</v>
      </c>
      <c r="C604" s="1">
        <v>46021.667754629627</v>
      </c>
      <c r="D604" s="1">
        <v>46021.670231481483</v>
      </c>
      <c r="E604" t="s">
        <v>1581</v>
      </c>
      <c r="F604" t="s">
        <v>23</v>
      </c>
      <c r="G604" t="e">
        <f>+_xlfn.XLOOKUP(tbl_encuesta[[#This Row],[Me siento a gusto con el ambiente de trabajo que se genera en mi equipo.]],#REF!,#REF!)</f>
        <v>#REF!</v>
      </c>
      <c r="H604" t="s">
        <v>22</v>
      </c>
      <c r="I604" t="e">
        <f>+_xlfn.XLOOKUP(tbl_encuesta[[#This Row],[Me siento motivado a dar lo mejor de mí y hacer un buen trabajo]],#REF!,#REF!)</f>
        <v>#REF!</v>
      </c>
      <c r="J604" t="s">
        <v>22</v>
      </c>
      <c r="K604" t="e">
        <f>+_xlfn.XLOOKUP(tbl_encuesta[[#This Row],[Mi supervisor o jefe directo me otorga el soporte que necesito para afrontar cualquier problema que afecte mi trabajo]],#REF!,#REF!)</f>
        <v>#REF!</v>
      </c>
      <c r="L604" t="s">
        <v>23</v>
      </c>
      <c r="M604" t="e">
        <f>+_xlfn.XLOOKUP(tbl_encuesta[[#This Row],[Mi supervisor o jefe directo fomenta que nos apoyemos entre todos en el equipo]],#REF!,#REF!)</f>
        <v>#REF!</v>
      </c>
      <c r="N604" t="s">
        <v>23</v>
      </c>
      <c r="O604" t="e">
        <f>+_xlfn.XLOOKUP(tbl_encuesta[[#This Row],[Siento que mi trabajo es reconocido por mi supervisor o jefe directo.]],#REF!,#REF!)</f>
        <v>#REF!</v>
      </c>
      <c r="P604" t="s">
        <v>67</v>
      </c>
      <c r="Q604" t="e">
        <f xml:space="preserve">
_xlfn.XLOOKUP(
tbl_encuesta[[#This Row],[Mi supervisor o jefe directo nos brinda charlas de 5 minutos y comunica las novedades relevantes a mi puesto de trabajo]],#REF!,#REF!
)</f>
        <v>#REF!</v>
      </c>
      <c r="R604" t="s">
        <v>17</v>
      </c>
      <c r="W604" t="s">
        <v>25</v>
      </c>
      <c r="X604" t="s">
        <v>22</v>
      </c>
      <c r="Y604" t="e">
        <f>+_xlfn.XLOOKUP(tbl_encuesta[[#This Row],[Considero a Limtek como un buen lugar para trabajar]],#REF!,#REF!)</f>
        <v>#REF!</v>
      </c>
      <c r="Z604" t="s">
        <v>1582</v>
      </c>
      <c r="AA604" t="s">
        <v>1583</v>
      </c>
      <c r="AB604" t="s">
        <v>28</v>
      </c>
      <c r="AC604" s="3" t="s">
        <v>3705</v>
      </c>
      <c r="AD604" s="3" t="s">
        <v>3709</v>
      </c>
      <c r="AE604" t="s">
        <v>61</v>
      </c>
    </row>
    <row r="605" spans="1:31" x14ac:dyDescent="0.25">
      <c r="A605">
        <v>119028460369</v>
      </c>
      <c r="B605">
        <v>462598545</v>
      </c>
      <c r="C605" s="1">
        <v>46021.666296296295</v>
      </c>
      <c r="D605" s="1">
        <v>46021.669351851851</v>
      </c>
      <c r="E605" t="s">
        <v>1584</v>
      </c>
      <c r="F605" t="s">
        <v>23</v>
      </c>
      <c r="G605" t="e">
        <f>+_xlfn.XLOOKUP(tbl_encuesta[[#This Row],[Me siento a gusto con el ambiente de trabajo que se genera en mi equipo.]],#REF!,#REF!)</f>
        <v>#REF!</v>
      </c>
      <c r="H605" t="s">
        <v>23</v>
      </c>
      <c r="I605" t="e">
        <f>+_xlfn.XLOOKUP(tbl_encuesta[[#This Row],[Me siento motivado a dar lo mejor de mí y hacer un buen trabajo]],#REF!,#REF!)</f>
        <v>#REF!</v>
      </c>
      <c r="J605" t="s">
        <v>22</v>
      </c>
      <c r="K605" t="e">
        <f>+_xlfn.XLOOKUP(tbl_encuesta[[#This Row],[Mi supervisor o jefe directo me otorga el soporte que necesito para afrontar cualquier problema que afecte mi trabajo]],#REF!,#REF!)</f>
        <v>#REF!</v>
      </c>
      <c r="L605" t="s">
        <v>22</v>
      </c>
      <c r="M605" t="e">
        <f>+_xlfn.XLOOKUP(tbl_encuesta[[#This Row],[Mi supervisor o jefe directo fomenta que nos apoyemos entre todos en el equipo]],#REF!,#REF!)</f>
        <v>#REF!</v>
      </c>
      <c r="N605" t="s">
        <v>22</v>
      </c>
      <c r="O605" t="e">
        <f>+_xlfn.XLOOKUP(tbl_encuesta[[#This Row],[Siento que mi trabajo es reconocido por mi supervisor o jefe directo.]],#REF!,#REF!)</f>
        <v>#REF!</v>
      </c>
      <c r="P605" t="s">
        <v>67</v>
      </c>
      <c r="Q605" t="e">
        <f xml:space="preserve">
_xlfn.XLOOKUP(
tbl_encuesta[[#This Row],[Mi supervisor o jefe directo nos brinda charlas de 5 minutos y comunica las novedades relevantes a mi puesto de trabajo]],#REF!,#REF!
)</f>
        <v>#REF!</v>
      </c>
      <c r="R605" t="s">
        <v>17</v>
      </c>
      <c r="W605" t="s">
        <v>25</v>
      </c>
      <c r="X605" t="s">
        <v>23</v>
      </c>
      <c r="Y605" t="e">
        <f>+_xlfn.XLOOKUP(tbl_encuesta[[#This Row],[Considero a Limtek como un buen lugar para trabajar]],#REF!,#REF!)</f>
        <v>#REF!</v>
      </c>
      <c r="Z605" t="s">
        <v>1585</v>
      </c>
      <c r="AA605" t="s">
        <v>1586</v>
      </c>
      <c r="AB605" t="s">
        <v>1431</v>
      </c>
      <c r="AC605" s="3" t="s">
        <v>3767</v>
      </c>
      <c r="AD605" s="3" t="s">
        <v>1431</v>
      </c>
      <c r="AE605" t="s">
        <v>29</v>
      </c>
    </row>
    <row r="606" spans="1:31" x14ac:dyDescent="0.25">
      <c r="A606">
        <v>119028460148</v>
      </c>
      <c r="B606">
        <v>462598545</v>
      </c>
      <c r="C606" s="1">
        <v>46021.667175925926</v>
      </c>
      <c r="D606" s="1">
        <v>46021.668958333335</v>
      </c>
      <c r="E606" t="s">
        <v>1587</v>
      </c>
      <c r="F606" t="s">
        <v>23</v>
      </c>
      <c r="G606" t="e">
        <f>+_xlfn.XLOOKUP(tbl_encuesta[[#This Row],[Me siento a gusto con el ambiente de trabajo que se genera en mi equipo.]],#REF!,#REF!)</f>
        <v>#REF!</v>
      </c>
      <c r="H606" t="s">
        <v>23</v>
      </c>
      <c r="I606" t="e">
        <f>+_xlfn.XLOOKUP(tbl_encuesta[[#This Row],[Me siento motivado a dar lo mejor de mí y hacer un buen trabajo]],#REF!,#REF!)</f>
        <v>#REF!</v>
      </c>
      <c r="J606" t="s">
        <v>23</v>
      </c>
      <c r="K606" t="e">
        <f>+_xlfn.XLOOKUP(tbl_encuesta[[#This Row],[Mi supervisor o jefe directo me otorga el soporte que necesito para afrontar cualquier problema que afecte mi trabajo]],#REF!,#REF!)</f>
        <v>#REF!</v>
      </c>
      <c r="L606" t="s">
        <v>23</v>
      </c>
      <c r="M606" t="e">
        <f>+_xlfn.XLOOKUP(tbl_encuesta[[#This Row],[Mi supervisor o jefe directo fomenta que nos apoyemos entre todos en el equipo]],#REF!,#REF!)</f>
        <v>#REF!</v>
      </c>
      <c r="N606" t="s">
        <v>23</v>
      </c>
      <c r="O606" t="e">
        <f>+_xlfn.XLOOKUP(tbl_encuesta[[#This Row],[Siento que mi trabajo es reconocido por mi supervisor o jefe directo.]],#REF!,#REF!)</f>
        <v>#REF!</v>
      </c>
      <c r="P606" t="s">
        <v>67</v>
      </c>
      <c r="Q606" t="e">
        <f xml:space="preserve">
_xlfn.XLOOKUP(
tbl_encuesta[[#This Row],[Mi supervisor o jefe directo nos brinda charlas de 5 minutos y comunica las novedades relevantes a mi puesto de trabajo]],#REF!,#REF!
)</f>
        <v>#REF!</v>
      </c>
      <c r="R606" t="s">
        <v>17</v>
      </c>
      <c r="S606" t="s">
        <v>18</v>
      </c>
      <c r="W606" t="s">
        <v>25</v>
      </c>
      <c r="X606" t="s">
        <v>23</v>
      </c>
      <c r="Y606" t="e">
        <f>+_xlfn.XLOOKUP(tbl_encuesta[[#This Row],[Considero a Limtek como un buen lugar para trabajar]],#REF!,#REF!)</f>
        <v>#REF!</v>
      </c>
      <c r="Z606" t="s">
        <v>1248</v>
      </c>
      <c r="AA606" t="s">
        <v>1043</v>
      </c>
      <c r="AB606" t="s">
        <v>619</v>
      </c>
      <c r="AC606" s="3" t="s">
        <v>3716</v>
      </c>
      <c r="AD606" s="3" t="s">
        <v>3716</v>
      </c>
      <c r="AE606" t="s">
        <v>29</v>
      </c>
    </row>
    <row r="607" spans="1:31" x14ac:dyDescent="0.25">
      <c r="A607">
        <v>119028460146</v>
      </c>
      <c r="B607">
        <v>462598545</v>
      </c>
      <c r="C607" s="1">
        <v>46021.666631944441</v>
      </c>
      <c r="D607" s="1">
        <v>46021.668958333335</v>
      </c>
      <c r="E607" t="s">
        <v>1588</v>
      </c>
      <c r="F607" t="s">
        <v>23</v>
      </c>
      <c r="G607" t="e">
        <f>+_xlfn.XLOOKUP(tbl_encuesta[[#This Row],[Me siento a gusto con el ambiente de trabajo que se genera en mi equipo.]],#REF!,#REF!)</f>
        <v>#REF!</v>
      </c>
      <c r="H607" t="s">
        <v>23</v>
      </c>
      <c r="I607" t="e">
        <f>+_xlfn.XLOOKUP(tbl_encuesta[[#This Row],[Me siento motivado a dar lo mejor de mí y hacer un buen trabajo]],#REF!,#REF!)</f>
        <v>#REF!</v>
      </c>
      <c r="J607" t="s">
        <v>23</v>
      </c>
      <c r="K607" t="e">
        <f>+_xlfn.XLOOKUP(tbl_encuesta[[#This Row],[Mi supervisor o jefe directo me otorga el soporte que necesito para afrontar cualquier problema que afecte mi trabajo]],#REF!,#REF!)</f>
        <v>#REF!</v>
      </c>
      <c r="L607" t="s">
        <v>23</v>
      </c>
      <c r="M607" t="e">
        <f>+_xlfn.XLOOKUP(tbl_encuesta[[#This Row],[Mi supervisor o jefe directo fomenta que nos apoyemos entre todos en el equipo]],#REF!,#REF!)</f>
        <v>#REF!</v>
      </c>
      <c r="N607" t="s">
        <v>23</v>
      </c>
      <c r="O607" t="e">
        <f>+_xlfn.XLOOKUP(tbl_encuesta[[#This Row],[Siento que mi trabajo es reconocido por mi supervisor o jefe directo.]],#REF!,#REF!)</f>
        <v>#REF!</v>
      </c>
      <c r="P607" t="s">
        <v>67</v>
      </c>
      <c r="Q607" t="e">
        <f xml:space="preserve">
_xlfn.XLOOKUP(
tbl_encuesta[[#This Row],[Mi supervisor o jefe directo nos brinda charlas de 5 minutos y comunica las novedades relevantes a mi puesto de trabajo]],#REF!,#REF!
)</f>
        <v>#REF!</v>
      </c>
      <c r="R607" t="s">
        <v>17</v>
      </c>
      <c r="W607" t="s">
        <v>25</v>
      </c>
      <c r="X607" t="s">
        <v>23</v>
      </c>
      <c r="Y607" t="e">
        <f>+_xlfn.XLOOKUP(tbl_encuesta[[#This Row],[Considero a Limtek como un buen lugar para trabajar]],#REF!,#REF!)</f>
        <v>#REF!</v>
      </c>
      <c r="Z607" t="s">
        <v>1589</v>
      </c>
      <c r="AA607" t="s">
        <v>1590</v>
      </c>
      <c r="AB607" t="s">
        <v>687</v>
      </c>
      <c r="AC607" s="3" t="s">
        <v>3610</v>
      </c>
      <c r="AD607" s="3" t="s">
        <v>3627</v>
      </c>
      <c r="AE607" t="s">
        <v>55</v>
      </c>
    </row>
    <row r="608" spans="1:31" x14ac:dyDescent="0.25">
      <c r="A608">
        <v>119028459304</v>
      </c>
      <c r="B608">
        <v>462598545</v>
      </c>
      <c r="C608" s="1">
        <v>46021.659456018519</v>
      </c>
      <c r="D608" s="1">
        <v>46021.667488425926</v>
      </c>
      <c r="E608" t="s">
        <v>1591</v>
      </c>
      <c r="F608" t="s">
        <v>23</v>
      </c>
      <c r="G608" t="e">
        <f>+_xlfn.XLOOKUP(tbl_encuesta[[#This Row],[Me siento a gusto con el ambiente de trabajo que se genera en mi equipo.]],#REF!,#REF!)</f>
        <v>#REF!</v>
      </c>
      <c r="H608" t="s">
        <v>23</v>
      </c>
      <c r="I608" t="e">
        <f>+_xlfn.XLOOKUP(tbl_encuesta[[#This Row],[Me siento motivado a dar lo mejor de mí y hacer un buen trabajo]],#REF!,#REF!)</f>
        <v>#REF!</v>
      </c>
      <c r="J608" t="s">
        <v>23</v>
      </c>
      <c r="K608" t="e">
        <f>+_xlfn.XLOOKUP(tbl_encuesta[[#This Row],[Mi supervisor o jefe directo me otorga el soporte que necesito para afrontar cualquier problema que afecte mi trabajo]],#REF!,#REF!)</f>
        <v>#REF!</v>
      </c>
      <c r="L608" t="s">
        <v>23</v>
      </c>
      <c r="M608" t="e">
        <f>+_xlfn.XLOOKUP(tbl_encuesta[[#This Row],[Mi supervisor o jefe directo fomenta que nos apoyemos entre todos en el equipo]],#REF!,#REF!)</f>
        <v>#REF!</v>
      </c>
      <c r="N608" t="s">
        <v>43</v>
      </c>
      <c r="O608" t="e">
        <f>+_xlfn.XLOOKUP(tbl_encuesta[[#This Row],[Siento que mi trabajo es reconocido por mi supervisor o jefe directo.]],#REF!,#REF!)</f>
        <v>#REF!</v>
      </c>
      <c r="P608" t="s">
        <v>31</v>
      </c>
      <c r="Q608" t="e">
        <f xml:space="preserve">
_xlfn.XLOOKUP(
tbl_encuesta[[#This Row],[Mi supervisor o jefe directo nos brinda charlas de 5 minutos y comunica las novedades relevantes a mi puesto de trabajo]],#REF!,#REF!
)</f>
        <v>#REF!</v>
      </c>
      <c r="R608" t="s">
        <v>17</v>
      </c>
      <c r="V608" t="s">
        <v>1592</v>
      </c>
      <c r="W608" t="s">
        <v>25</v>
      </c>
      <c r="X608" t="s">
        <v>23</v>
      </c>
      <c r="Y608" t="e">
        <f>+_xlfn.XLOOKUP(tbl_encuesta[[#This Row],[Considero a Limtek como un buen lugar para trabajar]],#REF!,#REF!)</f>
        <v>#REF!</v>
      </c>
      <c r="Z608" t="s">
        <v>1593</v>
      </c>
      <c r="AA608" t="s">
        <v>1594</v>
      </c>
      <c r="AB608" t="s">
        <v>563</v>
      </c>
      <c r="AC608" s="3" t="s">
        <v>3716</v>
      </c>
      <c r="AD608" s="3" t="s">
        <v>1595</v>
      </c>
      <c r="AE608" t="s">
        <v>29</v>
      </c>
    </row>
    <row r="609" spans="1:31" x14ac:dyDescent="0.25">
      <c r="A609">
        <v>119028456011</v>
      </c>
      <c r="B609">
        <v>462598545</v>
      </c>
      <c r="C609" s="1">
        <v>46021.657268518517</v>
      </c>
      <c r="D609" s="1">
        <v>46021.66207175926</v>
      </c>
      <c r="E609" t="s">
        <v>1596</v>
      </c>
      <c r="F609" t="s">
        <v>23</v>
      </c>
      <c r="G609" t="e">
        <f>+_xlfn.XLOOKUP(tbl_encuesta[[#This Row],[Me siento a gusto con el ambiente de trabajo que se genera en mi equipo.]],#REF!,#REF!)</f>
        <v>#REF!</v>
      </c>
      <c r="H609" t="s">
        <v>23</v>
      </c>
      <c r="I609" t="e">
        <f>+_xlfn.XLOOKUP(tbl_encuesta[[#This Row],[Me siento motivado a dar lo mejor de mí y hacer un buen trabajo]],#REF!,#REF!)</f>
        <v>#REF!</v>
      </c>
      <c r="J609" t="s">
        <v>43</v>
      </c>
      <c r="K609" t="e">
        <f>+_xlfn.XLOOKUP(tbl_encuesta[[#This Row],[Mi supervisor o jefe directo me otorga el soporte que necesito para afrontar cualquier problema que afecte mi trabajo]],#REF!,#REF!)</f>
        <v>#REF!</v>
      </c>
      <c r="L609" t="s">
        <v>23</v>
      </c>
      <c r="M609" t="e">
        <f>+_xlfn.XLOOKUP(tbl_encuesta[[#This Row],[Mi supervisor o jefe directo fomenta que nos apoyemos entre todos en el equipo]],#REF!,#REF!)</f>
        <v>#REF!</v>
      </c>
      <c r="N609" t="s">
        <v>22</v>
      </c>
      <c r="O609" t="e">
        <f>+_xlfn.XLOOKUP(tbl_encuesta[[#This Row],[Siento que mi trabajo es reconocido por mi supervisor o jefe directo.]],#REF!,#REF!)</f>
        <v>#REF!</v>
      </c>
      <c r="P609" t="s">
        <v>67</v>
      </c>
      <c r="Q609" t="e">
        <f xml:space="preserve">
_xlfn.XLOOKUP(
tbl_encuesta[[#This Row],[Mi supervisor o jefe directo nos brinda charlas de 5 minutos y comunica las novedades relevantes a mi puesto de trabajo]],#REF!,#REF!
)</f>
        <v>#REF!</v>
      </c>
      <c r="R609" t="s">
        <v>17</v>
      </c>
      <c r="W609" t="s">
        <v>25</v>
      </c>
      <c r="X609" t="s">
        <v>23</v>
      </c>
      <c r="Y609" t="e">
        <f>+_xlfn.XLOOKUP(tbl_encuesta[[#This Row],[Considero a Limtek como un buen lugar para trabajar]],#REF!,#REF!)</f>
        <v>#REF!</v>
      </c>
      <c r="Z609" t="s">
        <v>576</v>
      </c>
      <c r="AA609" t="s">
        <v>1597</v>
      </c>
      <c r="AB609" t="s">
        <v>567</v>
      </c>
      <c r="AC609" s="3" t="s">
        <v>3758</v>
      </c>
      <c r="AD609" s="3" t="s">
        <v>3758</v>
      </c>
      <c r="AE609" t="s">
        <v>61</v>
      </c>
    </row>
    <row r="610" spans="1:31" x14ac:dyDescent="0.25">
      <c r="A610">
        <v>119028455947</v>
      </c>
      <c r="B610">
        <v>462598545</v>
      </c>
      <c r="C610" s="1">
        <v>46021.656736111108</v>
      </c>
      <c r="D610" s="1">
        <v>46021.66196759259</v>
      </c>
      <c r="E610" t="s">
        <v>1598</v>
      </c>
      <c r="F610" t="s">
        <v>23</v>
      </c>
      <c r="G610" t="e">
        <f>+_xlfn.XLOOKUP(tbl_encuesta[[#This Row],[Me siento a gusto con el ambiente de trabajo que se genera en mi equipo.]],#REF!,#REF!)</f>
        <v>#REF!</v>
      </c>
      <c r="H610" t="s">
        <v>23</v>
      </c>
      <c r="I610" t="e">
        <f>+_xlfn.XLOOKUP(tbl_encuesta[[#This Row],[Me siento motivado a dar lo mejor de mí y hacer un buen trabajo]],#REF!,#REF!)</f>
        <v>#REF!</v>
      </c>
      <c r="J610" t="s">
        <v>23</v>
      </c>
      <c r="K610" t="e">
        <f>+_xlfn.XLOOKUP(tbl_encuesta[[#This Row],[Mi supervisor o jefe directo me otorga el soporte que necesito para afrontar cualquier problema que afecte mi trabajo]],#REF!,#REF!)</f>
        <v>#REF!</v>
      </c>
      <c r="L610" t="s">
        <v>23</v>
      </c>
      <c r="M610" t="e">
        <f>+_xlfn.XLOOKUP(tbl_encuesta[[#This Row],[Mi supervisor o jefe directo fomenta que nos apoyemos entre todos en el equipo]],#REF!,#REF!)</f>
        <v>#REF!</v>
      </c>
      <c r="N610" t="s">
        <v>23</v>
      </c>
      <c r="O610" t="e">
        <f>+_xlfn.XLOOKUP(tbl_encuesta[[#This Row],[Siento que mi trabajo es reconocido por mi supervisor o jefe directo.]],#REF!,#REF!)</f>
        <v>#REF!</v>
      </c>
      <c r="P610" t="s">
        <v>31</v>
      </c>
      <c r="Q610" t="e">
        <f xml:space="preserve">
_xlfn.XLOOKUP(
tbl_encuesta[[#This Row],[Mi supervisor o jefe directo nos brinda charlas de 5 minutos y comunica las novedades relevantes a mi puesto de trabajo]],#REF!,#REF!
)</f>
        <v>#REF!</v>
      </c>
      <c r="R610" t="s">
        <v>17</v>
      </c>
      <c r="W610" t="s">
        <v>25</v>
      </c>
      <c r="X610" t="s">
        <v>23</v>
      </c>
      <c r="Y610" t="e">
        <f>+_xlfn.XLOOKUP(tbl_encuesta[[#This Row],[Considero a Limtek como un buen lugar para trabajar]],#REF!,#REF!)</f>
        <v>#REF!</v>
      </c>
      <c r="Z610" t="s">
        <v>1599</v>
      </c>
      <c r="AA610" t="s">
        <v>1600</v>
      </c>
      <c r="AB610" t="s">
        <v>619</v>
      </c>
      <c r="AC610" s="3" t="s">
        <v>3768</v>
      </c>
      <c r="AD610" s="3" t="s">
        <v>3768</v>
      </c>
      <c r="AE610" t="s">
        <v>34</v>
      </c>
    </row>
    <row r="611" spans="1:31" x14ac:dyDescent="0.25">
      <c r="A611">
        <v>119028454148</v>
      </c>
      <c r="B611">
        <v>462598545</v>
      </c>
      <c r="C611" s="1">
        <v>46021.651539351849</v>
      </c>
      <c r="D611" s="1">
        <v>46021.65892361111</v>
      </c>
      <c r="E611" t="s">
        <v>1547</v>
      </c>
      <c r="F611" t="s">
        <v>23</v>
      </c>
      <c r="G611" t="e">
        <f>+_xlfn.XLOOKUP(tbl_encuesta[[#This Row],[Me siento a gusto con el ambiente de trabajo que se genera en mi equipo.]],#REF!,#REF!)</f>
        <v>#REF!</v>
      </c>
      <c r="H611" t="s">
        <v>23</v>
      </c>
      <c r="I611" t="e">
        <f>+_xlfn.XLOOKUP(tbl_encuesta[[#This Row],[Me siento motivado a dar lo mejor de mí y hacer un buen trabajo]],#REF!,#REF!)</f>
        <v>#REF!</v>
      </c>
      <c r="J611" t="s">
        <v>22</v>
      </c>
      <c r="K611" t="e">
        <f>+_xlfn.XLOOKUP(tbl_encuesta[[#This Row],[Mi supervisor o jefe directo me otorga el soporte que necesito para afrontar cualquier problema que afecte mi trabajo]],#REF!,#REF!)</f>
        <v>#REF!</v>
      </c>
      <c r="L611" t="s">
        <v>23</v>
      </c>
      <c r="M611" t="e">
        <f>+_xlfn.XLOOKUP(tbl_encuesta[[#This Row],[Mi supervisor o jefe directo fomenta que nos apoyemos entre todos en el equipo]],#REF!,#REF!)</f>
        <v>#REF!</v>
      </c>
      <c r="N611" t="s">
        <v>23</v>
      </c>
      <c r="O611" t="e">
        <f>+_xlfn.XLOOKUP(tbl_encuesta[[#This Row],[Siento que mi trabajo es reconocido por mi supervisor o jefe directo.]],#REF!,#REF!)</f>
        <v>#REF!</v>
      </c>
      <c r="P611" t="s">
        <v>31</v>
      </c>
      <c r="Q611" t="e">
        <f xml:space="preserve">
_xlfn.XLOOKUP(
tbl_encuesta[[#This Row],[Mi supervisor o jefe directo nos brinda charlas de 5 minutos y comunica las novedades relevantes a mi puesto de trabajo]],#REF!,#REF!
)</f>
        <v>#REF!</v>
      </c>
      <c r="R611" t="s">
        <v>17</v>
      </c>
      <c r="W611" t="s">
        <v>46</v>
      </c>
      <c r="X611" t="s">
        <v>23</v>
      </c>
      <c r="Y611" t="e">
        <f>+_xlfn.XLOOKUP(tbl_encuesta[[#This Row],[Considero a Limtek como un buen lugar para trabajar]],#REF!,#REF!)</f>
        <v>#REF!</v>
      </c>
      <c r="Z611" t="s">
        <v>193</v>
      </c>
      <c r="AA611" t="s">
        <v>525</v>
      </c>
      <c r="AB611" t="s">
        <v>697</v>
      </c>
      <c r="AC611" s="3" t="s">
        <v>3610</v>
      </c>
      <c r="AD611" s="3" t="s">
        <v>3745</v>
      </c>
      <c r="AE611" t="s">
        <v>34</v>
      </c>
    </row>
    <row r="612" spans="1:31" x14ac:dyDescent="0.25">
      <c r="A612">
        <v>119028453512</v>
      </c>
      <c r="B612">
        <v>462598545</v>
      </c>
      <c r="C612" s="1">
        <v>46021.641562500001</v>
      </c>
      <c r="D612" s="1">
        <v>46021.657858796294</v>
      </c>
      <c r="E612" t="s">
        <v>1601</v>
      </c>
      <c r="F612" t="s">
        <v>23</v>
      </c>
      <c r="G612" t="e">
        <f>+_xlfn.XLOOKUP(tbl_encuesta[[#This Row],[Me siento a gusto con el ambiente de trabajo que se genera en mi equipo.]],#REF!,#REF!)</f>
        <v>#REF!</v>
      </c>
      <c r="H612" t="s">
        <v>23</v>
      </c>
      <c r="I612" t="e">
        <f>+_xlfn.XLOOKUP(tbl_encuesta[[#This Row],[Me siento motivado a dar lo mejor de mí y hacer un buen trabajo]],#REF!,#REF!)</f>
        <v>#REF!</v>
      </c>
      <c r="J612" t="s">
        <v>23</v>
      </c>
      <c r="K612" t="e">
        <f>+_xlfn.XLOOKUP(tbl_encuesta[[#This Row],[Mi supervisor o jefe directo me otorga el soporte que necesito para afrontar cualquier problema que afecte mi trabajo]],#REF!,#REF!)</f>
        <v>#REF!</v>
      </c>
      <c r="L612" t="s">
        <v>23</v>
      </c>
      <c r="M612" t="e">
        <f>+_xlfn.XLOOKUP(tbl_encuesta[[#This Row],[Mi supervisor o jefe directo fomenta que nos apoyemos entre todos en el equipo]],#REF!,#REF!)</f>
        <v>#REF!</v>
      </c>
      <c r="N612" t="s">
        <v>23</v>
      </c>
      <c r="O612" t="e">
        <f>+_xlfn.XLOOKUP(tbl_encuesta[[#This Row],[Siento que mi trabajo es reconocido por mi supervisor o jefe directo.]],#REF!,#REF!)</f>
        <v>#REF!</v>
      </c>
      <c r="P612" t="s">
        <v>31</v>
      </c>
      <c r="Q612" t="e">
        <f xml:space="preserve">
_xlfn.XLOOKUP(
tbl_encuesta[[#This Row],[Mi supervisor o jefe directo nos brinda charlas de 5 minutos y comunica las novedades relevantes a mi puesto de trabajo]],#REF!,#REF!
)</f>
        <v>#REF!</v>
      </c>
      <c r="V612" t="s">
        <v>1602</v>
      </c>
      <c r="W612" t="s">
        <v>25</v>
      </c>
      <c r="X612" t="s">
        <v>23</v>
      </c>
      <c r="Y612" t="e">
        <f>+_xlfn.XLOOKUP(tbl_encuesta[[#This Row],[Considero a Limtek como un buen lugar para trabajar]],#REF!,#REF!)</f>
        <v>#REF!</v>
      </c>
      <c r="Z612" t="s">
        <v>1603</v>
      </c>
      <c r="AA612" t="s">
        <v>1604</v>
      </c>
      <c r="AB612" t="s">
        <v>697</v>
      </c>
      <c r="AC612" s="3" t="s">
        <v>3610</v>
      </c>
      <c r="AD612" s="3" t="s">
        <v>3610</v>
      </c>
      <c r="AE612" t="s">
        <v>34</v>
      </c>
    </row>
    <row r="613" spans="1:31" x14ac:dyDescent="0.25">
      <c r="A613">
        <v>119028452839</v>
      </c>
      <c r="B613">
        <v>462598545</v>
      </c>
      <c r="C613" s="1">
        <v>46021.653078703705</v>
      </c>
      <c r="D613" s="1">
        <v>46021.656747685185</v>
      </c>
      <c r="E613" t="s">
        <v>1605</v>
      </c>
      <c r="F613" t="s">
        <v>23</v>
      </c>
      <c r="G613" t="e">
        <f>+_xlfn.XLOOKUP(tbl_encuesta[[#This Row],[Me siento a gusto con el ambiente de trabajo que se genera en mi equipo.]],#REF!,#REF!)</f>
        <v>#REF!</v>
      </c>
      <c r="H613" t="s">
        <v>23</v>
      </c>
      <c r="I613" t="e">
        <f>+_xlfn.XLOOKUP(tbl_encuesta[[#This Row],[Me siento motivado a dar lo mejor de mí y hacer un buen trabajo]],#REF!,#REF!)</f>
        <v>#REF!</v>
      </c>
      <c r="J613" t="s">
        <v>23</v>
      </c>
      <c r="K613" t="e">
        <f>+_xlfn.XLOOKUP(tbl_encuesta[[#This Row],[Mi supervisor o jefe directo me otorga el soporte que necesito para afrontar cualquier problema que afecte mi trabajo]],#REF!,#REF!)</f>
        <v>#REF!</v>
      </c>
      <c r="L613" t="s">
        <v>22</v>
      </c>
      <c r="M613" t="e">
        <f>+_xlfn.XLOOKUP(tbl_encuesta[[#This Row],[Mi supervisor o jefe directo fomenta que nos apoyemos entre todos en el equipo]],#REF!,#REF!)</f>
        <v>#REF!</v>
      </c>
      <c r="N613" t="s">
        <v>23</v>
      </c>
      <c r="O613" t="e">
        <f>+_xlfn.XLOOKUP(tbl_encuesta[[#This Row],[Siento que mi trabajo es reconocido por mi supervisor o jefe directo.]],#REF!,#REF!)</f>
        <v>#REF!</v>
      </c>
      <c r="P613" t="s">
        <v>31</v>
      </c>
      <c r="Q613" t="e">
        <f xml:space="preserve">
_xlfn.XLOOKUP(
tbl_encuesta[[#This Row],[Mi supervisor o jefe directo nos brinda charlas de 5 minutos y comunica las novedades relevantes a mi puesto de trabajo]],#REF!,#REF!
)</f>
        <v>#REF!</v>
      </c>
      <c r="R613" t="s">
        <v>17</v>
      </c>
      <c r="S613" t="s">
        <v>18</v>
      </c>
      <c r="W613" t="s">
        <v>25</v>
      </c>
      <c r="X613" t="s">
        <v>23</v>
      </c>
      <c r="Y613" t="e">
        <f>+_xlfn.XLOOKUP(tbl_encuesta[[#This Row],[Considero a Limtek como un buen lugar para trabajar]],#REF!,#REF!)</f>
        <v>#REF!</v>
      </c>
      <c r="Z613" t="s">
        <v>1606</v>
      </c>
      <c r="AA613" t="s">
        <v>1607</v>
      </c>
      <c r="AB613" t="s">
        <v>559</v>
      </c>
      <c r="AC613" s="3" t="s">
        <v>3764</v>
      </c>
      <c r="AD613" s="3" t="s">
        <v>3765</v>
      </c>
      <c r="AE613" t="s">
        <v>29</v>
      </c>
    </row>
    <row r="614" spans="1:31" x14ac:dyDescent="0.25">
      <c r="A614">
        <v>119028448837</v>
      </c>
      <c r="B614">
        <v>462598545</v>
      </c>
      <c r="C614" s="1">
        <v>46021.644270833334</v>
      </c>
      <c r="D614" s="1">
        <v>46021.650127314817</v>
      </c>
      <c r="E614" t="s">
        <v>1608</v>
      </c>
      <c r="F614" t="s">
        <v>22</v>
      </c>
      <c r="G614" t="e">
        <f>+_xlfn.XLOOKUP(tbl_encuesta[[#This Row],[Me siento a gusto con el ambiente de trabajo que se genera en mi equipo.]],#REF!,#REF!)</f>
        <v>#REF!</v>
      </c>
      <c r="H614" t="s">
        <v>23</v>
      </c>
      <c r="I614" t="e">
        <f>+_xlfn.XLOOKUP(tbl_encuesta[[#This Row],[Me siento motivado a dar lo mejor de mí y hacer un buen trabajo]],#REF!,#REF!)</f>
        <v>#REF!</v>
      </c>
      <c r="J614" t="s">
        <v>22</v>
      </c>
      <c r="K614" t="e">
        <f>+_xlfn.XLOOKUP(tbl_encuesta[[#This Row],[Mi supervisor o jefe directo me otorga el soporte que necesito para afrontar cualquier problema que afecte mi trabajo]],#REF!,#REF!)</f>
        <v>#REF!</v>
      </c>
      <c r="L614" t="s">
        <v>22</v>
      </c>
      <c r="M614" t="e">
        <f>+_xlfn.XLOOKUP(tbl_encuesta[[#This Row],[Mi supervisor o jefe directo fomenta que nos apoyemos entre todos en el equipo]],#REF!,#REF!)</f>
        <v>#REF!</v>
      </c>
      <c r="N614" t="s">
        <v>22</v>
      </c>
      <c r="O614" t="e">
        <f>+_xlfn.XLOOKUP(tbl_encuesta[[#This Row],[Siento que mi trabajo es reconocido por mi supervisor o jefe directo.]],#REF!,#REF!)</f>
        <v>#REF!</v>
      </c>
      <c r="P614" t="s">
        <v>67</v>
      </c>
      <c r="Q614" t="e">
        <f xml:space="preserve">
_xlfn.XLOOKUP(
tbl_encuesta[[#This Row],[Mi supervisor o jefe directo nos brinda charlas de 5 minutos y comunica las novedades relevantes a mi puesto de trabajo]],#REF!,#REF!
)</f>
        <v>#REF!</v>
      </c>
      <c r="S614" t="s">
        <v>18</v>
      </c>
      <c r="W614" t="s">
        <v>25</v>
      </c>
      <c r="X614" t="s">
        <v>22</v>
      </c>
      <c r="Y614" t="e">
        <f>+_xlfn.XLOOKUP(tbl_encuesta[[#This Row],[Considero a Limtek como un buen lugar para trabajar]],#REF!,#REF!)</f>
        <v>#REF!</v>
      </c>
      <c r="Z614" t="s">
        <v>1609</v>
      </c>
      <c r="AA614" t="s">
        <v>1610</v>
      </c>
      <c r="AB614" t="s">
        <v>704</v>
      </c>
      <c r="AC614" t="s">
        <v>1611</v>
      </c>
      <c r="AD614" t="s">
        <v>1612</v>
      </c>
      <c r="AE614" t="s">
        <v>34</v>
      </c>
    </row>
    <row r="615" spans="1:31" x14ac:dyDescent="0.25">
      <c r="A615">
        <v>119028448148</v>
      </c>
      <c r="B615">
        <v>462598545</v>
      </c>
      <c r="C615" s="1">
        <v>46021.646249999998</v>
      </c>
      <c r="D615" s="1">
        <v>46021.649062500001</v>
      </c>
      <c r="E615" t="s">
        <v>1613</v>
      </c>
      <c r="F615" t="s">
        <v>23</v>
      </c>
      <c r="G615" t="e">
        <f>+_xlfn.XLOOKUP(tbl_encuesta[[#This Row],[Me siento a gusto con el ambiente de trabajo que se genera en mi equipo.]],#REF!,#REF!)</f>
        <v>#REF!</v>
      </c>
      <c r="H615" t="s">
        <v>23</v>
      </c>
      <c r="I615" t="e">
        <f>+_xlfn.XLOOKUP(tbl_encuesta[[#This Row],[Me siento motivado a dar lo mejor de mí y hacer un buen trabajo]],#REF!,#REF!)</f>
        <v>#REF!</v>
      </c>
      <c r="J615" t="s">
        <v>22</v>
      </c>
      <c r="K615" t="e">
        <f>+_xlfn.XLOOKUP(tbl_encuesta[[#This Row],[Mi supervisor o jefe directo me otorga el soporte que necesito para afrontar cualquier problema que afecte mi trabajo]],#REF!,#REF!)</f>
        <v>#REF!</v>
      </c>
      <c r="L615" t="s">
        <v>23</v>
      </c>
      <c r="M615" t="e">
        <f>+_xlfn.XLOOKUP(tbl_encuesta[[#This Row],[Mi supervisor o jefe directo fomenta que nos apoyemos entre todos en el equipo]],#REF!,#REF!)</f>
        <v>#REF!</v>
      </c>
      <c r="N615" t="s">
        <v>22</v>
      </c>
      <c r="O615" t="e">
        <f>+_xlfn.XLOOKUP(tbl_encuesta[[#This Row],[Siento que mi trabajo es reconocido por mi supervisor o jefe directo.]],#REF!,#REF!)</f>
        <v>#REF!</v>
      </c>
      <c r="P615" t="s">
        <v>67</v>
      </c>
      <c r="Q615" t="e">
        <f xml:space="preserve">
_xlfn.XLOOKUP(
tbl_encuesta[[#This Row],[Mi supervisor o jefe directo nos brinda charlas de 5 minutos y comunica las novedades relevantes a mi puesto de trabajo]],#REF!,#REF!
)</f>
        <v>#REF!</v>
      </c>
      <c r="R615" t="s">
        <v>17</v>
      </c>
      <c r="W615" t="s">
        <v>25</v>
      </c>
      <c r="X615" t="s">
        <v>23</v>
      </c>
      <c r="Y615" t="e">
        <f>+_xlfn.XLOOKUP(tbl_encuesta[[#This Row],[Considero a Limtek como un buen lugar para trabajar]],#REF!,#REF!)</f>
        <v>#REF!</v>
      </c>
      <c r="Z615" t="s">
        <v>1614</v>
      </c>
      <c r="AA615" t="s">
        <v>527</v>
      </c>
      <c r="AB615" t="s">
        <v>704</v>
      </c>
      <c r="AC615" s="3" t="s">
        <v>3610</v>
      </c>
      <c r="AD615" s="3" t="s">
        <v>3610</v>
      </c>
      <c r="AE615" t="s">
        <v>34</v>
      </c>
    </row>
    <row r="616" spans="1:31" x14ac:dyDescent="0.25">
      <c r="A616">
        <v>119028445337</v>
      </c>
      <c r="B616">
        <v>462598545</v>
      </c>
      <c r="C616" s="1">
        <v>46021.641041666669</v>
      </c>
      <c r="D616" s="1">
        <v>46021.644444444442</v>
      </c>
      <c r="E616" t="s">
        <v>1615</v>
      </c>
      <c r="F616" t="s">
        <v>22</v>
      </c>
      <c r="G616" t="e">
        <f>+_xlfn.XLOOKUP(tbl_encuesta[[#This Row],[Me siento a gusto con el ambiente de trabajo que se genera en mi equipo.]],#REF!,#REF!)</f>
        <v>#REF!</v>
      </c>
      <c r="H616" t="s">
        <v>22</v>
      </c>
      <c r="I616" t="e">
        <f>+_xlfn.XLOOKUP(tbl_encuesta[[#This Row],[Me siento motivado a dar lo mejor de mí y hacer un buen trabajo]],#REF!,#REF!)</f>
        <v>#REF!</v>
      </c>
      <c r="J616" t="s">
        <v>22</v>
      </c>
      <c r="K616" t="e">
        <f>+_xlfn.XLOOKUP(tbl_encuesta[[#This Row],[Mi supervisor o jefe directo me otorga el soporte que necesito para afrontar cualquier problema que afecte mi trabajo]],#REF!,#REF!)</f>
        <v>#REF!</v>
      </c>
      <c r="L616" t="s">
        <v>23</v>
      </c>
      <c r="M616" t="e">
        <f>+_xlfn.XLOOKUP(tbl_encuesta[[#This Row],[Mi supervisor o jefe directo fomenta que nos apoyemos entre todos en el equipo]],#REF!,#REF!)</f>
        <v>#REF!</v>
      </c>
      <c r="N616" t="s">
        <v>22</v>
      </c>
      <c r="O616" t="e">
        <f>+_xlfn.XLOOKUP(tbl_encuesta[[#This Row],[Siento que mi trabajo es reconocido por mi supervisor o jefe directo.]],#REF!,#REF!)</f>
        <v>#REF!</v>
      </c>
      <c r="P616" t="s">
        <v>31</v>
      </c>
      <c r="Q616" t="e">
        <f xml:space="preserve">
_xlfn.XLOOKUP(
tbl_encuesta[[#This Row],[Mi supervisor o jefe directo nos brinda charlas de 5 minutos y comunica las novedades relevantes a mi puesto de trabajo]],#REF!,#REF!
)</f>
        <v>#REF!</v>
      </c>
      <c r="S616" t="s">
        <v>18</v>
      </c>
      <c r="W616" t="s">
        <v>25</v>
      </c>
      <c r="X616" t="s">
        <v>22</v>
      </c>
      <c r="Y616" t="e">
        <f>+_xlfn.XLOOKUP(tbl_encuesta[[#This Row],[Considero a Limtek como un buen lugar para trabajar]],#REF!,#REF!)</f>
        <v>#REF!</v>
      </c>
      <c r="Z616" t="s">
        <v>1616</v>
      </c>
      <c r="AA616" t="s">
        <v>1617</v>
      </c>
      <c r="AB616" t="s">
        <v>28</v>
      </c>
      <c r="AC616" s="3" t="s">
        <v>3811</v>
      </c>
      <c r="AD616" s="3" t="s">
        <v>3812</v>
      </c>
      <c r="AE616" t="s">
        <v>69</v>
      </c>
    </row>
    <row r="617" spans="1:31" x14ac:dyDescent="0.25">
      <c r="A617">
        <v>119028444174</v>
      </c>
      <c r="B617">
        <v>462598545</v>
      </c>
      <c r="C617" s="1">
        <v>46021.64025462963</v>
      </c>
      <c r="D617" s="1">
        <v>46021.642523148148</v>
      </c>
      <c r="E617" t="s">
        <v>1618</v>
      </c>
      <c r="F617" t="s">
        <v>23</v>
      </c>
      <c r="G617" t="e">
        <f>+_xlfn.XLOOKUP(tbl_encuesta[[#This Row],[Me siento a gusto con el ambiente de trabajo que se genera en mi equipo.]],#REF!,#REF!)</f>
        <v>#REF!</v>
      </c>
      <c r="H617" t="s">
        <v>23</v>
      </c>
      <c r="I617" t="e">
        <f>+_xlfn.XLOOKUP(tbl_encuesta[[#This Row],[Me siento motivado a dar lo mejor de mí y hacer un buen trabajo]],#REF!,#REF!)</f>
        <v>#REF!</v>
      </c>
      <c r="J617" t="s">
        <v>23</v>
      </c>
      <c r="K617" t="e">
        <f>+_xlfn.XLOOKUP(tbl_encuesta[[#This Row],[Mi supervisor o jefe directo me otorga el soporte que necesito para afrontar cualquier problema que afecte mi trabajo]],#REF!,#REF!)</f>
        <v>#REF!</v>
      </c>
      <c r="L617" t="s">
        <v>23</v>
      </c>
      <c r="M617" t="e">
        <f>+_xlfn.XLOOKUP(tbl_encuesta[[#This Row],[Mi supervisor o jefe directo fomenta que nos apoyemos entre todos en el equipo]],#REF!,#REF!)</f>
        <v>#REF!</v>
      </c>
      <c r="N617" t="s">
        <v>23</v>
      </c>
      <c r="O617" t="e">
        <f>+_xlfn.XLOOKUP(tbl_encuesta[[#This Row],[Siento que mi trabajo es reconocido por mi supervisor o jefe directo.]],#REF!,#REF!)</f>
        <v>#REF!</v>
      </c>
      <c r="P617" t="s">
        <v>67</v>
      </c>
      <c r="Q617" t="e">
        <f xml:space="preserve">
_xlfn.XLOOKUP(
tbl_encuesta[[#This Row],[Mi supervisor o jefe directo nos brinda charlas de 5 minutos y comunica las novedades relevantes a mi puesto de trabajo]],#REF!,#REF!
)</f>
        <v>#REF!</v>
      </c>
      <c r="S617" t="s">
        <v>18</v>
      </c>
      <c r="W617" t="s">
        <v>25</v>
      </c>
      <c r="X617" t="s">
        <v>23</v>
      </c>
      <c r="Y617" t="e">
        <f>+_xlfn.XLOOKUP(tbl_encuesta[[#This Row],[Considero a Limtek como un buen lugar para trabajar]],#REF!,#REF!)</f>
        <v>#REF!</v>
      </c>
      <c r="Z617" t="s">
        <v>1619</v>
      </c>
      <c r="AA617" t="s">
        <v>527</v>
      </c>
      <c r="AB617" t="s">
        <v>704</v>
      </c>
      <c r="AC617" s="3" t="s">
        <v>3755</v>
      </c>
      <c r="AD617" s="3" t="s">
        <v>3755</v>
      </c>
      <c r="AE617" t="s">
        <v>29</v>
      </c>
    </row>
    <row r="618" spans="1:31" x14ac:dyDescent="0.25">
      <c r="A618">
        <v>119028435663</v>
      </c>
      <c r="B618">
        <v>462598545</v>
      </c>
      <c r="C618" s="1">
        <v>46021.628171296295</v>
      </c>
      <c r="D618" s="1">
        <v>46021.628993055558</v>
      </c>
      <c r="E618" t="s">
        <v>1620</v>
      </c>
      <c r="F618" t="s">
        <v>23</v>
      </c>
      <c r="G618" t="e">
        <f>+_xlfn.XLOOKUP(tbl_encuesta[[#This Row],[Me siento a gusto con el ambiente de trabajo que se genera en mi equipo.]],#REF!,#REF!)</f>
        <v>#REF!</v>
      </c>
      <c r="H618" t="s">
        <v>22</v>
      </c>
      <c r="I618" t="e">
        <f>+_xlfn.XLOOKUP(tbl_encuesta[[#This Row],[Me siento motivado a dar lo mejor de mí y hacer un buen trabajo]],#REF!,#REF!)</f>
        <v>#REF!</v>
      </c>
      <c r="J618" t="s">
        <v>22</v>
      </c>
      <c r="K618" t="e">
        <f>+_xlfn.XLOOKUP(tbl_encuesta[[#This Row],[Mi supervisor o jefe directo me otorga el soporte que necesito para afrontar cualquier problema que afecte mi trabajo]],#REF!,#REF!)</f>
        <v>#REF!</v>
      </c>
      <c r="L618" t="s">
        <v>23</v>
      </c>
      <c r="M618" t="e">
        <f>+_xlfn.XLOOKUP(tbl_encuesta[[#This Row],[Mi supervisor o jefe directo fomenta que nos apoyemos entre todos en el equipo]],#REF!,#REF!)</f>
        <v>#REF!</v>
      </c>
      <c r="N618" t="s">
        <v>22</v>
      </c>
      <c r="O618" t="e">
        <f>+_xlfn.XLOOKUP(tbl_encuesta[[#This Row],[Siento que mi trabajo es reconocido por mi supervisor o jefe directo.]],#REF!,#REF!)</f>
        <v>#REF!</v>
      </c>
      <c r="P618" t="s">
        <v>67</v>
      </c>
      <c r="Q618" t="e">
        <f xml:space="preserve">
_xlfn.XLOOKUP(
tbl_encuesta[[#This Row],[Mi supervisor o jefe directo nos brinda charlas de 5 minutos y comunica las novedades relevantes a mi puesto de trabajo]],#REF!,#REF!
)</f>
        <v>#REF!</v>
      </c>
      <c r="R618" t="s">
        <v>17</v>
      </c>
      <c r="W618" t="s">
        <v>25</v>
      </c>
      <c r="X618" t="s">
        <v>22</v>
      </c>
      <c r="Y618" t="e">
        <f>+_xlfn.XLOOKUP(tbl_encuesta[[#This Row],[Considero a Limtek como un buen lugar para trabajar]],#REF!,#REF!)</f>
        <v>#REF!</v>
      </c>
      <c r="Z618" t="s">
        <v>1621</v>
      </c>
      <c r="AA618" t="s">
        <v>1622</v>
      </c>
      <c r="AB618" t="s">
        <v>28</v>
      </c>
      <c r="AC618" s="3" t="s">
        <v>3716</v>
      </c>
      <c r="AD618" s="3" t="s">
        <v>3716</v>
      </c>
      <c r="AE618" t="s">
        <v>69</v>
      </c>
    </row>
    <row r="619" spans="1:31" x14ac:dyDescent="0.25">
      <c r="A619">
        <v>119028435169</v>
      </c>
      <c r="B619">
        <v>462598545</v>
      </c>
      <c r="C619" s="1">
        <v>46021.605763888889</v>
      </c>
      <c r="D619" s="1">
        <v>46021.628194444442</v>
      </c>
      <c r="E619" t="s">
        <v>1623</v>
      </c>
      <c r="F619" t="s">
        <v>23</v>
      </c>
      <c r="G619" t="e">
        <f>+_xlfn.XLOOKUP(tbl_encuesta[[#This Row],[Me siento a gusto con el ambiente de trabajo que se genera en mi equipo.]],#REF!,#REF!)</f>
        <v>#REF!</v>
      </c>
      <c r="H619" t="s">
        <v>23</v>
      </c>
      <c r="I619" t="e">
        <f>+_xlfn.XLOOKUP(tbl_encuesta[[#This Row],[Me siento motivado a dar lo mejor de mí y hacer un buen trabajo]],#REF!,#REF!)</f>
        <v>#REF!</v>
      </c>
      <c r="J619" t="s">
        <v>23</v>
      </c>
      <c r="K619" t="e">
        <f>+_xlfn.XLOOKUP(tbl_encuesta[[#This Row],[Mi supervisor o jefe directo me otorga el soporte que necesito para afrontar cualquier problema que afecte mi trabajo]],#REF!,#REF!)</f>
        <v>#REF!</v>
      </c>
      <c r="L619" t="s">
        <v>23</v>
      </c>
      <c r="M619" t="e">
        <f>+_xlfn.XLOOKUP(tbl_encuesta[[#This Row],[Mi supervisor o jefe directo fomenta que nos apoyemos entre todos en el equipo]],#REF!,#REF!)</f>
        <v>#REF!</v>
      </c>
      <c r="N619" t="s">
        <v>23</v>
      </c>
      <c r="O619" t="e">
        <f>+_xlfn.XLOOKUP(tbl_encuesta[[#This Row],[Siento que mi trabajo es reconocido por mi supervisor o jefe directo.]],#REF!,#REF!)</f>
        <v>#REF!</v>
      </c>
      <c r="P619" t="s">
        <v>31</v>
      </c>
      <c r="Q619" t="e">
        <f xml:space="preserve">
_xlfn.XLOOKUP(
tbl_encuesta[[#This Row],[Mi supervisor o jefe directo nos brinda charlas de 5 minutos y comunica las novedades relevantes a mi puesto de trabajo]],#REF!,#REF!
)</f>
        <v>#REF!</v>
      </c>
      <c r="R619" t="s">
        <v>17</v>
      </c>
      <c r="T619" t="s">
        <v>19</v>
      </c>
      <c r="W619" t="s">
        <v>25</v>
      </c>
      <c r="X619" t="s">
        <v>23</v>
      </c>
      <c r="Y619" t="e">
        <f>+_xlfn.XLOOKUP(tbl_encuesta[[#This Row],[Considero a Limtek como un buen lugar para trabajar]],#REF!,#REF!)</f>
        <v>#REF!</v>
      </c>
      <c r="Z619" t="s">
        <v>1624</v>
      </c>
      <c r="AA619" t="s">
        <v>1625</v>
      </c>
      <c r="AB619" t="s">
        <v>559</v>
      </c>
      <c r="AC619" s="3" t="s">
        <v>3769</v>
      </c>
      <c r="AD619" s="3" t="s">
        <v>3797</v>
      </c>
      <c r="AE619" t="s">
        <v>29</v>
      </c>
    </row>
    <row r="620" spans="1:31" x14ac:dyDescent="0.25">
      <c r="A620">
        <v>119028433493</v>
      </c>
      <c r="B620">
        <v>462598545</v>
      </c>
      <c r="C620" s="1">
        <v>46021.618009259262</v>
      </c>
      <c r="D620" s="1">
        <v>46021.625625000001</v>
      </c>
      <c r="E620" t="s">
        <v>1626</v>
      </c>
      <c r="F620" t="s">
        <v>23</v>
      </c>
      <c r="G620" t="e">
        <f>+_xlfn.XLOOKUP(tbl_encuesta[[#This Row],[Me siento a gusto con el ambiente de trabajo que se genera en mi equipo.]],#REF!,#REF!)</f>
        <v>#REF!</v>
      </c>
      <c r="H620" t="s">
        <v>23</v>
      </c>
      <c r="I620" t="e">
        <f>+_xlfn.XLOOKUP(tbl_encuesta[[#This Row],[Me siento motivado a dar lo mejor de mí y hacer un buen trabajo]],#REF!,#REF!)</f>
        <v>#REF!</v>
      </c>
      <c r="J620" t="s">
        <v>23</v>
      </c>
      <c r="K620" t="e">
        <f>+_xlfn.XLOOKUP(tbl_encuesta[[#This Row],[Mi supervisor o jefe directo me otorga el soporte que necesito para afrontar cualquier problema que afecte mi trabajo]],#REF!,#REF!)</f>
        <v>#REF!</v>
      </c>
      <c r="L620" t="s">
        <v>23</v>
      </c>
      <c r="M620" t="e">
        <f>+_xlfn.XLOOKUP(tbl_encuesta[[#This Row],[Mi supervisor o jefe directo fomenta que nos apoyemos entre todos en el equipo]],#REF!,#REF!)</f>
        <v>#REF!</v>
      </c>
      <c r="N620" t="s">
        <v>23</v>
      </c>
      <c r="O620" t="e">
        <f>+_xlfn.XLOOKUP(tbl_encuesta[[#This Row],[Siento que mi trabajo es reconocido por mi supervisor o jefe directo.]],#REF!,#REF!)</f>
        <v>#REF!</v>
      </c>
      <c r="P620" t="s">
        <v>31</v>
      </c>
      <c r="Q620" t="e">
        <f xml:space="preserve">
_xlfn.XLOOKUP(
tbl_encuesta[[#This Row],[Mi supervisor o jefe directo nos brinda charlas de 5 minutos y comunica las novedades relevantes a mi puesto de trabajo]],#REF!,#REF!
)</f>
        <v>#REF!</v>
      </c>
      <c r="R620" t="s">
        <v>17</v>
      </c>
      <c r="T620" t="s">
        <v>19</v>
      </c>
      <c r="W620" t="s">
        <v>25</v>
      </c>
      <c r="X620" t="s">
        <v>23</v>
      </c>
      <c r="Y620" t="e">
        <f>+_xlfn.XLOOKUP(tbl_encuesta[[#This Row],[Considero a Limtek como un buen lugar para trabajar]],#REF!,#REF!)</f>
        <v>#REF!</v>
      </c>
      <c r="Z620" t="s">
        <v>1627</v>
      </c>
      <c r="AA620" t="s">
        <v>1628</v>
      </c>
      <c r="AB620" t="s">
        <v>563</v>
      </c>
      <c r="AC620" s="3" t="s">
        <v>3831</v>
      </c>
      <c r="AD620" s="3" t="s">
        <v>3831</v>
      </c>
      <c r="AE620" t="s">
        <v>29</v>
      </c>
    </row>
    <row r="621" spans="1:31" x14ac:dyDescent="0.25">
      <c r="A621">
        <v>119028432703</v>
      </c>
      <c r="B621">
        <v>462598545</v>
      </c>
      <c r="C621" s="1">
        <v>46021.621817129628</v>
      </c>
      <c r="D621" s="1">
        <v>46021.62431712963</v>
      </c>
      <c r="E621" t="s">
        <v>1629</v>
      </c>
      <c r="F621" t="s">
        <v>23</v>
      </c>
      <c r="G621" t="e">
        <f>+_xlfn.XLOOKUP(tbl_encuesta[[#This Row],[Me siento a gusto con el ambiente de trabajo que se genera en mi equipo.]],#REF!,#REF!)</f>
        <v>#REF!</v>
      </c>
      <c r="H621" t="s">
        <v>23</v>
      </c>
      <c r="I621" t="e">
        <f>+_xlfn.XLOOKUP(tbl_encuesta[[#This Row],[Me siento motivado a dar lo mejor de mí y hacer un buen trabajo]],#REF!,#REF!)</f>
        <v>#REF!</v>
      </c>
      <c r="J621" t="s">
        <v>23</v>
      </c>
      <c r="K621" t="e">
        <f>+_xlfn.XLOOKUP(tbl_encuesta[[#This Row],[Mi supervisor o jefe directo me otorga el soporte que necesito para afrontar cualquier problema que afecte mi trabajo]],#REF!,#REF!)</f>
        <v>#REF!</v>
      </c>
      <c r="L621" t="s">
        <v>23</v>
      </c>
      <c r="M621" t="e">
        <f>+_xlfn.XLOOKUP(tbl_encuesta[[#This Row],[Mi supervisor o jefe directo fomenta que nos apoyemos entre todos en el equipo]],#REF!,#REF!)</f>
        <v>#REF!</v>
      </c>
      <c r="N621" t="s">
        <v>23</v>
      </c>
      <c r="O621" t="e">
        <f>+_xlfn.XLOOKUP(tbl_encuesta[[#This Row],[Siento que mi trabajo es reconocido por mi supervisor o jefe directo.]],#REF!,#REF!)</f>
        <v>#REF!</v>
      </c>
      <c r="P621" t="s">
        <v>31</v>
      </c>
      <c r="Q621" t="e">
        <f xml:space="preserve">
_xlfn.XLOOKUP(
tbl_encuesta[[#This Row],[Mi supervisor o jefe directo nos brinda charlas de 5 minutos y comunica las novedades relevantes a mi puesto de trabajo]],#REF!,#REF!
)</f>
        <v>#REF!</v>
      </c>
      <c r="R621" t="s">
        <v>17</v>
      </c>
      <c r="T621" t="s">
        <v>19</v>
      </c>
      <c r="W621" t="s">
        <v>25</v>
      </c>
      <c r="X621" t="s">
        <v>23</v>
      </c>
      <c r="Y621" t="e">
        <f>+_xlfn.XLOOKUP(tbl_encuesta[[#This Row],[Considero a Limtek como un buen lugar para trabajar]],#REF!,#REF!)</f>
        <v>#REF!</v>
      </c>
      <c r="Z621" t="s">
        <v>1630</v>
      </c>
      <c r="AA621" t="s">
        <v>1631</v>
      </c>
      <c r="AB621" t="s">
        <v>1491</v>
      </c>
      <c r="AC621" t="s">
        <v>3744</v>
      </c>
      <c r="AD621" t="s">
        <v>3744</v>
      </c>
      <c r="AE621" t="s">
        <v>55</v>
      </c>
    </row>
    <row r="622" spans="1:31" x14ac:dyDescent="0.25">
      <c r="A622">
        <v>119028429493</v>
      </c>
      <c r="B622">
        <v>462598545</v>
      </c>
      <c r="C622" s="1">
        <v>46021.614560185182</v>
      </c>
      <c r="D622" s="1">
        <v>46021.619317129633</v>
      </c>
      <c r="E622" t="s">
        <v>1629</v>
      </c>
      <c r="F622" t="s">
        <v>23</v>
      </c>
      <c r="G622" t="e">
        <f>+_xlfn.XLOOKUP(tbl_encuesta[[#This Row],[Me siento a gusto con el ambiente de trabajo que se genera en mi equipo.]],#REF!,#REF!)</f>
        <v>#REF!</v>
      </c>
      <c r="H622" t="s">
        <v>23</v>
      </c>
      <c r="I622" t="e">
        <f>+_xlfn.XLOOKUP(tbl_encuesta[[#This Row],[Me siento motivado a dar lo mejor de mí y hacer un buen trabajo]],#REF!,#REF!)</f>
        <v>#REF!</v>
      </c>
      <c r="J622" t="s">
        <v>23</v>
      </c>
      <c r="K622" t="e">
        <f>+_xlfn.XLOOKUP(tbl_encuesta[[#This Row],[Mi supervisor o jefe directo me otorga el soporte que necesito para afrontar cualquier problema que afecte mi trabajo]],#REF!,#REF!)</f>
        <v>#REF!</v>
      </c>
      <c r="L622" t="s">
        <v>23</v>
      </c>
      <c r="M622" t="e">
        <f>+_xlfn.XLOOKUP(tbl_encuesta[[#This Row],[Mi supervisor o jefe directo fomenta que nos apoyemos entre todos en el equipo]],#REF!,#REF!)</f>
        <v>#REF!</v>
      </c>
      <c r="N622" t="s">
        <v>23</v>
      </c>
      <c r="O622" t="e">
        <f>+_xlfn.XLOOKUP(tbl_encuesta[[#This Row],[Siento que mi trabajo es reconocido por mi supervisor o jefe directo.]],#REF!,#REF!)</f>
        <v>#REF!</v>
      </c>
      <c r="P622" t="s">
        <v>31</v>
      </c>
      <c r="Q622" t="e">
        <f xml:space="preserve">
_xlfn.XLOOKUP(
tbl_encuesta[[#This Row],[Mi supervisor o jefe directo nos brinda charlas de 5 minutos y comunica las novedades relevantes a mi puesto de trabajo]],#REF!,#REF!
)</f>
        <v>#REF!</v>
      </c>
      <c r="R622" t="s">
        <v>17</v>
      </c>
      <c r="T622" t="s">
        <v>19</v>
      </c>
      <c r="W622" t="s">
        <v>25</v>
      </c>
      <c r="X622" t="s">
        <v>23</v>
      </c>
      <c r="Y622" t="e">
        <f>+_xlfn.XLOOKUP(tbl_encuesta[[#This Row],[Considero a Limtek como un buen lugar para trabajar]],#REF!,#REF!)</f>
        <v>#REF!</v>
      </c>
      <c r="Z622" t="s">
        <v>1632</v>
      </c>
      <c r="AA622" t="s">
        <v>1631</v>
      </c>
      <c r="AB622" t="s">
        <v>1491</v>
      </c>
      <c r="AC622" t="s">
        <v>3744</v>
      </c>
      <c r="AD622" t="s">
        <v>3744</v>
      </c>
      <c r="AE622" t="s">
        <v>55</v>
      </c>
    </row>
    <row r="623" spans="1:31" x14ac:dyDescent="0.25">
      <c r="A623">
        <v>119028428846</v>
      </c>
      <c r="B623">
        <v>462598545</v>
      </c>
      <c r="C623" s="1">
        <v>46021.610196759262</v>
      </c>
      <c r="D623" s="1">
        <v>46021.618287037039</v>
      </c>
      <c r="E623" t="s">
        <v>1633</v>
      </c>
      <c r="F623" t="s">
        <v>23</v>
      </c>
      <c r="G623" t="e">
        <f>+_xlfn.XLOOKUP(tbl_encuesta[[#This Row],[Me siento a gusto con el ambiente de trabajo que se genera en mi equipo.]],#REF!,#REF!)</f>
        <v>#REF!</v>
      </c>
      <c r="H623" t="s">
        <v>23</v>
      </c>
      <c r="I623" t="e">
        <f>+_xlfn.XLOOKUP(tbl_encuesta[[#This Row],[Me siento motivado a dar lo mejor de mí y hacer un buen trabajo]],#REF!,#REF!)</f>
        <v>#REF!</v>
      </c>
      <c r="J623" t="s">
        <v>23</v>
      </c>
      <c r="K623" t="e">
        <f>+_xlfn.XLOOKUP(tbl_encuesta[[#This Row],[Mi supervisor o jefe directo me otorga el soporte que necesito para afrontar cualquier problema que afecte mi trabajo]],#REF!,#REF!)</f>
        <v>#REF!</v>
      </c>
      <c r="L623" t="s">
        <v>23</v>
      </c>
      <c r="M623" t="e">
        <f>+_xlfn.XLOOKUP(tbl_encuesta[[#This Row],[Mi supervisor o jefe directo fomenta que nos apoyemos entre todos en el equipo]],#REF!,#REF!)</f>
        <v>#REF!</v>
      </c>
      <c r="N623" t="s">
        <v>23</v>
      </c>
      <c r="O623" t="e">
        <f>+_xlfn.XLOOKUP(tbl_encuesta[[#This Row],[Siento que mi trabajo es reconocido por mi supervisor o jefe directo.]],#REF!,#REF!)</f>
        <v>#REF!</v>
      </c>
      <c r="P623" t="s">
        <v>67</v>
      </c>
      <c r="Q623" t="e">
        <f xml:space="preserve">
_xlfn.XLOOKUP(
tbl_encuesta[[#This Row],[Mi supervisor o jefe directo nos brinda charlas de 5 minutos y comunica las novedades relevantes a mi puesto de trabajo]],#REF!,#REF!
)</f>
        <v>#REF!</v>
      </c>
      <c r="R623" t="s">
        <v>17</v>
      </c>
      <c r="W623" t="s">
        <v>25</v>
      </c>
      <c r="X623" t="s">
        <v>23</v>
      </c>
      <c r="Y623" t="e">
        <f>+_xlfn.XLOOKUP(tbl_encuesta[[#This Row],[Considero a Limtek como un buen lugar para trabajar]],#REF!,#REF!)</f>
        <v>#REF!</v>
      </c>
      <c r="Z623" t="s">
        <v>1634</v>
      </c>
      <c r="AA623" t="s">
        <v>1635</v>
      </c>
      <c r="AB623" t="s">
        <v>1491</v>
      </c>
      <c r="AC623" s="3" t="s">
        <v>3610</v>
      </c>
      <c r="AD623" s="3" t="s">
        <v>3610</v>
      </c>
      <c r="AE623" t="s">
        <v>29</v>
      </c>
    </row>
    <row r="624" spans="1:31" x14ac:dyDescent="0.25">
      <c r="A624">
        <v>119028426109</v>
      </c>
      <c r="B624">
        <v>462598545</v>
      </c>
      <c r="C624" s="1">
        <v>46021.610972222225</v>
      </c>
      <c r="D624" s="1">
        <v>46021.614108796297</v>
      </c>
      <c r="E624" t="s">
        <v>1636</v>
      </c>
      <c r="F624" t="s">
        <v>23</v>
      </c>
      <c r="G624" t="e">
        <f>+_xlfn.XLOOKUP(tbl_encuesta[[#This Row],[Me siento a gusto con el ambiente de trabajo que se genera en mi equipo.]],#REF!,#REF!)</f>
        <v>#REF!</v>
      </c>
      <c r="H624" t="s">
        <v>23</v>
      </c>
      <c r="I624" t="e">
        <f>+_xlfn.XLOOKUP(tbl_encuesta[[#This Row],[Me siento motivado a dar lo mejor de mí y hacer un buen trabajo]],#REF!,#REF!)</f>
        <v>#REF!</v>
      </c>
      <c r="J624" t="s">
        <v>23</v>
      </c>
      <c r="K624" t="e">
        <f>+_xlfn.XLOOKUP(tbl_encuesta[[#This Row],[Mi supervisor o jefe directo me otorga el soporte que necesito para afrontar cualquier problema que afecte mi trabajo]],#REF!,#REF!)</f>
        <v>#REF!</v>
      </c>
      <c r="L624" t="s">
        <v>23</v>
      </c>
      <c r="M624" t="e">
        <f>+_xlfn.XLOOKUP(tbl_encuesta[[#This Row],[Mi supervisor o jefe directo fomenta que nos apoyemos entre todos en el equipo]],#REF!,#REF!)</f>
        <v>#REF!</v>
      </c>
      <c r="N624" t="s">
        <v>23</v>
      </c>
      <c r="O624" t="e">
        <f>+_xlfn.XLOOKUP(tbl_encuesta[[#This Row],[Siento que mi trabajo es reconocido por mi supervisor o jefe directo.]],#REF!,#REF!)</f>
        <v>#REF!</v>
      </c>
      <c r="P624" t="s">
        <v>67</v>
      </c>
      <c r="Q624" t="e">
        <f xml:space="preserve">
_xlfn.XLOOKUP(
tbl_encuesta[[#This Row],[Mi supervisor o jefe directo nos brinda charlas de 5 minutos y comunica las novedades relevantes a mi puesto de trabajo]],#REF!,#REF!
)</f>
        <v>#REF!</v>
      </c>
      <c r="S624" t="s">
        <v>18</v>
      </c>
      <c r="U624" t="s">
        <v>20</v>
      </c>
      <c r="W624" t="s">
        <v>25</v>
      </c>
      <c r="X624" t="s">
        <v>23</v>
      </c>
      <c r="Y624" t="e">
        <f>+_xlfn.XLOOKUP(tbl_encuesta[[#This Row],[Considero a Limtek como un buen lugar para trabajar]],#REF!,#REF!)</f>
        <v>#REF!</v>
      </c>
      <c r="Z624" t="s">
        <v>1637</v>
      </c>
      <c r="AA624" t="s">
        <v>1638</v>
      </c>
      <c r="AB624" t="s">
        <v>883</v>
      </c>
      <c r="AC624" s="3" t="s">
        <v>3716</v>
      </c>
      <c r="AD624" s="3" t="s">
        <v>3719</v>
      </c>
      <c r="AE624" t="s">
        <v>69</v>
      </c>
    </row>
    <row r="625" spans="1:31" x14ac:dyDescent="0.25">
      <c r="A625">
        <v>119028422399</v>
      </c>
      <c r="B625">
        <v>462598545</v>
      </c>
      <c r="C625" s="1">
        <v>46021.604062500002</v>
      </c>
      <c r="D625" s="1">
        <v>46021.60837962963</v>
      </c>
      <c r="E625" t="s">
        <v>1639</v>
      </c>
      <c r="F625" t="s">
        <v>23</v>
      </c>
      <c r="G625" t="e">
        <f>+_xlfn.XLOOKUP(tbl_encuesta[[#This Row],[Me siento a gusto con el ambiente de trabajo que se genera en mi equipo.]],#REF!,#REF!)</f>
        <v>#REF!</v>
      </c>
      <c r="H625" t="s">
        <v>23</v>
      </c>
      <c r="I625" t="e">
        <f>+_xlfn.XLOOKUP(tbl_encuesta[[#This Row],[Me siento motivado a dar lo mejor de mí y hacer un buen trabajo]],#REF!,#REF!)</f>
        <v>#REF!</v>
      </c>
      <c r="J625" t="s">
        <v>23</v>
      </c>
      <c r="K625" t="e">
        <f>+_xlfn.XLOOKUP(tbl_encuesta[[#This Row],[Mi supervisor o jefe directo me otorga el soporte que necesito para afrontar cualquier problema que afecte mi trabajo]],#REF!,#REF!)</f>
        <v>#REF!</v>
      </c>
      <c r="L625" t="s">
        <v>23</v>
      </c>
      <c r="M625" t="e">
        <f>+_xlfn.XLOOKUP(tbl_encuesta[[#This Row],[Mi supervisor o jefe directo fomenta que nos apoyemos entre todos en el equipo]],#REF!,#REF!)</f>
        <v>#REF!</v>
      </c>
      <c r="N625" t="s">
        <v>23</v>
      </c>
      <c r="O625" t="e">
        <f>+_xlfn.XLOOKUP(tbl_encuesta[[#This Row],[Siento que mi trabajo es reconocido por mi supervisor o jefe directo.]],#REF!,#REF!)</f>
        <v>#REF!</v>
      </c>
      <c r="P625" t="s">
        <v>31</v>
      </c>
      <c r="Q625" t="e">
        <f xml:space="preserve">
_xlfn.XLOOKUP(
tbl_encuesta[[#This Row],[Mi supervisor o jefe directo nos brinda charlas de 5 minutos y comunica las novedades relevantes a mi puesto de trabajo]],#REF!,#REF!
)</f>
        <v>#REF!</v>
      </c>
      <c r="R625" t="s">
        <v>17</v>
      </c>
      <c r="S625" t="s">
        <v>18</v>
      </c>
      <c r="W625" t="s">
        <v>25</v>
      </c>
      <c r="X625" t="s">
        <v>23</v>
      </c>
      <c r="Y625" t="e">
        <f>+_xlfn.XLOOKUP(tbl_encuesta[[#This Row],[Considero a Limtek como un buen lugar para trabajar]],#REF!,#REF!)</f>
        <v>#REF!</v>
      </c>
      <c r="Z625" t="s">
        <v>1640</v>
      </c>
      <c r="AA625" t="s">
        <v>1641</v>
      </c>
      <c r="AB625" t="s">
        <v>28</v>
      </c>
      <c r="AC625" s="3" t="s">
        <v>3733</v>
      </c>
      <c r="AD625" s="3" t="s">
        <v>3734</v>
      </c>
      <c r="AE625" t="s">
        <v>34</v>
      </c>
    </row>
    <row r="626" spans="1:31" x14ac:dyDescent="0.25">
      <c r="A626">
        <v>119028421942</v>
      </c>
      <c r="B626">
        <v>462598545</v>
      </c>
      <c r="C626" s="1">
        <v>46021.604490740741</v>
      </c>
      <c r="D626" s="1">
        <v>46021.607615740744</v>
      </c>
      <c r="E626" t="s">
        <v>1642</v>
      </c>
      <c r="F626" t="s">
        <v>23</v>
      </c>
      <c r="G626" t="e">
        <f>+_xlfn.XLOOKUP(tbl_encuesta[[#This Row],[Me siento a gusto con el ambiente de trabajo que se genera en mi equipo.]],#REF!,#REF!)</f>
        <v>#REF!</v>
      </c>
      <c r="H626" t="s">
        <v>23</v>
      </c>
      <c r="I626" t="e">
        <f>+_xlfn.XLOOKUP(tbl_encuesta[[#This Row],[Me siento motivado a dar lo mejor de mí y hacer un buen trabajo]],#REF!,#REF!)</f>
        <v>#REF!</v>
      </c>
      <c r="J626" t="s">
        <v>23</v>
      </c>
      <c r="K626" t="e">
        <f>+_xlfn.XLOOKUP(tbl_encuesta[[#This Row],[Mi supervisor o jefe directo me otorga el soporte que necesito para afrontar cualquier problema que afecte mi trabajo]],#REF!,#REF!)</f>
        <v>#REF!</v>
      </c>
      <c r="L626" t="s">
        <v>23</v>
      </c>
      <c r="M626" t="e">
        <f>+_xlfn.XLOOKUP(tbl_encuesta[[#This Row],[Mi supervisor o jefe directo fomenta que nos apoyemos entre todos en el equipo]],#REF!,#REF!)</f>
        <v>#REF!</v>
      </c>
      <c r="N626" t="s">
        <v>23</v>
      </c>
      <c r="O626" t="e">
        <f>+_xlfn.XLOOKUP(tbl_encuesta[[#This Row],[Siento que mi trabajo es reconocido por mi supervisor o jefe directo.]],#REF!,#REF!)</f>
        <v>#REF!</v>
      </c>
      <c r="P626" t="s">
        <v>31</v>
      </c>
      <c r="Q626" t="e">
        <f xml:space="preserve">
_xlfn.XLOOKUP(
tbl_encuesta[[#This Row],[Mi supervisor o jefe directo nos brinda charlas de 5 minutos y comunica las novedades relevantes a mi puesto de trabajo]],#REF!,#REF!
)</f>
        <v>#REF!</v>
      </c>
      <c r="S626" t="s">
        <v>18</v>
      </c>
      <c r="W626" t="s">
        <v>25</v>
      </c>
      <c r="X626" t="s">
        <v>23</v>
      </c>
      <c r="Y626" t="e">
        <f>+_xlfn.XLOOKUP(tbl_encuesta[[#This Row],[Considero a Limtek como un buen lugar para trabajar]],#REF!,#REF!)</f>
        <v>#REF!</v>
      </c>
      <c r="Z626" t="s">
        <v>1643</v>
      </c>
      <c r="AA626" t="s">
        <v>305</v>
      </c>
      <c r="AB626" t="s">
        <v>883</v>
      </c>
      <c r="AC626" s="3" t="s">
        <v>3716</v>
      </c>
      <c r="AD626" s="3" t="s">
        <v>3719</v>
      </c>
      <c r="AE626" t="s">
        <v>69</v>
      </c>
    </row>
    <row r="627" spans="1:31" x14ac:dyDescent="0.25">
      <c r="A627">
        <v>119028418828</v>
      </c>
      <c r="B627">
        <v>462598545</v>
      </c>
      <c r="C627" s="1">
        <v>46021.59542824074</v>
      </c>
      <c r="D627" s="1">
        <v>46021.602905092594</v>
      </c>
      <c r="E627" t="s">
        <v>1644</v>
      </c>
      <c r="F627" t="s">
        <v>23</v>
      </c>
      <c r="G627" t="e">
        <f>+_xlfn.XLOOKUP(tbl_encuesta[[#This Row],[Me siento a gusto con el ambiente de trabajo que se genera en mi equipo.]],#REF!,#REF!)</f>
        <v>#REF!</v>
      </c>
      <c r="H627" t="s">
        <v>23</v>
      </c>
      <c r="I627" t="e">
        <f>+_xlfn.XLOOKUP(tbl_encuesta[[#This Row],[Me siento motivado a dar lo mejor de mí y hacer un buen trabajo]],#REF!,#REF!)</f>
        <v>#REF!</v>
      </c>
      <c r="J627" t="s">
        <v>23</v>
      </c>
      <c r="K627" t="e">
        <f>+_xlfn.XLOOKUP(tbl_encuesta[[#This Row],[Mi supervisor o jefe directo me otorga el soporte que necesito para afrontar cualquier problema que afecte mi trabajo]],#REF!,#REF!)</f>
        <v>#REF!</v>
      </c>
      <c r="L627" t="s">
        <v>23</v>
      </c>
      <c r="M627" t="e">
        <f>+_xlfn.XLOOKUP(tbl_encuesta[[#This Row],[Mi supervisor o jefe directo fomenta que nos apoyemos entre todos en el equipo]],#REF!,#REF!)</f>
        <v>#REF!</v>
      </c>
      <c r="N627" t="s">
        <v>23</v>
      </c>
      <c r="O627" t="e">
        <f>+_xlfn.XLOOKUP(tbl_encuesta[[#This Row],[Siento que mi trabajo es reconocido por mi supervisor o jefe directo.]],#REF!,#REF!)</f>
        <v>#REF!</v>
      </c>
      <c r="P627" t="s">
        <v>31</v>
      </c>
      <c r="Q627" t="e">
        <f xml:space="preserve">
_xlfn.XLOOKUP(
tbl_encuesta[[#This Row],[Mi supervisor o jefe directo nos brinda charlas de 5 minutos y comunica las novedades relevantes a mi puesto de trabajo]],#REF!,#REF!
)</f>
        <v>#REF!</v>
      </c>
      <c r="S627" t="s">
        <v>18</v>
      </c>
      <c r="W627" t="s">
        <v>25</v>
      </c>
      <c r="X627" t="s">
        <v>23</v>
      </c>
      <c r="Y627" t="e">
        <f>+_xlfn.XLOOKUP(tbl_encuesta[[#This Row],[Considero a Limtek como un buen lugar para trabajar]],#REF!,#REF!)</f>
        <v>#REF!</v>
      </c>
      <c r="Z627" t="s">
        <v>1645</v>
      </c>
      <c r="AA627" t="s">
        <v>1311</v>
      </c>
      <c r="AB627" t="s">
        <v>883</v>
      </c>
      <c r="AC627" s="3" t="s">
        <v>3716</v>
      </c>
      <c r="AD627" s="3" t="s">
        <v>3719</v>
      </c>
      <c r="AE627" t="s">
        <v>69</v>
      </c>
    </row>
    <row r="628" spans="1:31" x14ac:dyDescent="0.25">
      <c r="A628">
        <v>119028418076</v>
      </c>
      <c r="B628">
        <v>462598545</v>
      </c>
      <c r="C628" s="1">
        <v>46021.594108796293</v>
      </c>
      <c r="D628" s="1">
        <v>46021.601712962962</v>
      </c>
      <c r="E628" t="s">
        <v>1646</v>
      </c>
      <c r="F628" t="s">
        <v>23</v>
      </c>
      <c r="G628" t="e">
        <f>+_xlfn.XLOOKUP(tbl_encuesta[[#This Row],[Me siento a gusto con el ambiente de trabajo que se genera en mi equipo.]],#REF!,#REF!)</f>
        <v>#REF!</v>
      </c>
      <c r="H628" t="s">
        <v>23</v>
      </c>
      <c r="I628" t="e">
        <f>+_xlfn.XLOOKUP(tbl_encuesta[[#This Row],[Me siento motivado a dar lo mejor de mí y hacer un buen trabajo]],#REF!,#REF!)</f>
        <v>#REF!</v>
      </c>
      <c r="J628" t="s">
        <v>23</v>
      </c>
      <c r="K628" t="e">
        <f>+_xlfn.XLOOKUP(tbl_encuesta[[#This Row],[Mi supervisor o jefe directo me otorga el soporte que necesito para afrontar cualquier problema que afecte mi trabajo]],#REF!,#REF!)</f>
        <v>#REF!</v>
      </c>
      <c r="L628" t="s">
        <v>23</v>
      </c>
      <c r="M628" t="e">
        <f>+_xlfn.XLOOKUP(tbl_encuesta[[#This Row],[Mi supervisor o jefe directo fomenta que nos apoyemos entre todos en el equipo]],#REF!,#REF!)</f>
        <v>#REF!</v>
      </c>
      <c r="N628" t="s">
        <v>23</v>
      </c>
      <c r="O628" t="e">
        <f>+_xlfn.XLOOKUP(tbl_encuesta[[#This Row],[Siento que mi trabajo es reconocido por mi supervisor o jefe directo.]],#REF!,#REF!)</f>
        <v>#REF!</v>
      </c>
      <c r="P628" t="s">
        <v>31</v>
      </c>
      <c r="Q628" t="e">
        <f xml:space="preserve">
_xlfn.XLOOKUP(
tbl_encuesta[[#This Row],[Mi supervisor o jefe directo nos brinda charlas de 5 minutos y comunica las novedades relevantes a mi puesto de trabajo]],#REF!,#REF!
)</f>
        <v>#REF!</v>
      </c>
      <c r="R628" t="s">
        <v>17</v>
      </c>
      <c r="W628" t="s">
        <v>25</v>
      </c>
      <c r="X628" t="s">
        <v>23</v>
      </c>
      <c r="Y628" t="e">
        <f>+_xlfn.XLOOKUP(tbl_encuesta[[#This Row],[Considero a Limtek como un buen lugar para trabajar]],#REF!,#REF!)</f>
        <v>#REF!</v>
      </c>
      <c r="Z628" t="s">
        <v>1647</v>
      </c>
      <c r="AA628" t="s">
        <v>1648</v>
      </c>
      <c r="AB628" t="s">
        <v>726</v>
      </c>
      <c r="AC628" s="3" t="s">
        <v>3610</v>
      </c>
      <c r="AD628" s="3" t="s">
        <v>3610</v>
      </c>
      <c r="AE628" t="s">
        <v>61</v>
      </c>
    </row>
    <row r="629" spans="1:31" x14ac:dyDescent="0.25">
      <c r="A629">
        <v>119028413813</v>
      </c>
      <c r="B629">
        <v>462598545</v>
      </c>
      <c r="C629" s="1">
        <v>46021.587395833332</v>
      </c>
      <c r="D629" s="1">
        <v>46021.595231481479</v>
      </c>
      <c r="E629" t="s">
        <v>1649</v>
      </c>
      <c r="F629" t="s">
        <v>23</v>
      </c>
      <c r="G629" t="e">
        <f>+_xlfn.XLOOKUP(tbl_encuesta[[#This Row],[Me siento a gusto con el ambiente de trabajo que se genera en mi equipo.]],#REF!,#REF!)</f>
        <v>#REF!</v>
      </c>
      <c r="H629" t="s">
        <v>23</v>
      </c>
      <c r="I629" t="e">
        <f>+_xlfn.XLOOKUP(tbl_encuesta[[#This Row],[Me siento motivado a dar lo mejor de mí y hacer un buen trabajo]],#REF!,#REF!)</f>
        <v>#REF!</v>
      </c>
      <c r="J629" t="s">
        <v>23</v>
      </c>
      <c r="K629" t="e">
        <f>+_xlfn.XLOOKUP(tbl_encuesta[[#This Row],[Mi supervisor o jefe directo me otorga el soporte que necesito para afrontar cualquier problema que afecte mi trabajo]],#REF!,#REF!)</f>
        <v>#REF!</v>
      </c>
      <c r="L629" t="s">
        <v>23</v>
      </c>
      <c r="M629" t="e">
        <f>+_xlfn.XLOOKUP(tbl_encuesta[[#This Row],[Mi supervisor o jefe directo fomenta que nos apoyemos entre todos en el equipo]],#REF!,#REF!)</f>
        <v>#REF!</v>
      </c>
      <c r="N629" t="s">
        <v>23</v>
      </c>
      <c r="O629" t="e">
        <f>+_xlfn.XLOOKUP(tbl_encuesta[[#This Row],[Siento que mi trabajo es reconocido por mi supervisor o jefe directo.]],#REF!,#REF!)</f>
        <v>#REF!</v>
      </c>
      <c r="P629" t="s">
        <v>67</v>
      </c>
      <c r="Q629" t="e">
        <f xml:space="preserve">
_xlfn.XLOOKUP(
tbl_encuesta[[#This Row],[Mi supervisor o jefe directo nos brinda charlas de 5 minutos y comunica las novedades relevantes a mi puesto de trabajo]],#REF!,#REF!
)</f>
        <v>#REF!</v>
      </c>
      <c r="R629" t="s">
        <v>17</v>
      </c>
      <c r="S629" t="s">
        <v>18</v>
      </c>
      <c r="W629" t="s">
        <v>25</v>
      </c>
      <c r="X629" t="s">
        <v>23</v>
      </c>
      <c r="Y629" t="e">
        <f>+_xlfn.XLOOKUP(tbl_encuesta[[#This Row],[Considero a Limtek como un buen lugar para trabajar]],#REF!,#REF!)</f>
        <v>#REF!</v>
      </c>
      <c r="Z629" t="s">
        <v>975</v>
      </c>
      <c r="AA629" t="s">
        <v>976</v>
      </c>
      <c r="AB629" t="s">
        <v>567</v>
      </c>
      <c r="AC629" s="3" t="s">
        <v>3758</v>
      </c>
      <c r="AD629" s="3" t="s">
        <v>3788</v>
      </c>
      <c r="AE629" t="s">
        <v>69</v>
      </c>
    </row>
    <row r="630" spans="1:31" x14ac:dyDescent="0.25">
      <c r="A630">
        <v>119028413405</v>
      </c>
      <c r="B630">
        <v>462598545</v>
      </c>
      <c r="C630" s="1">
        <v>46021.590185185189</v>
      </c>
      <c r="D630" s="1">
        <v>46021.594641203701</v>
      </c>
      <c r="E630" t="s">
        <v>1650</v>
      </c>
      <c r="F630" t="s">
        <v>22</v>
      </c>
      <c r="G630" t="e">
        <f>+_xlfn.XLOOKUP(tbl_encuesta[[#This Row],[Me siento a gusto con el ambiente de trabajo que se genera en mi equipo.]],#REF!,#REF!)</f>
        <v>#REF!</v>
      </c>
      <c r="H630" t="s">
        <v>23</v>
      </c>
      <c r="I630" t="e">
        <f>+_xlfn.XLOOKUP(tbl_encuesta[[#This Row],[Me siento motivado a dar lo mejor de mí y hacer un buen trabajo]],#REF!,#REF!)</f>
        <v>#REF!</v>
      </c>
      <c r="J630" t="s">
        <v>23</v>
      </c>
      <c r="K630" t="e">
        <f>+_xlfn.XLOOKUP(tbl_encuesta[[#This Row],[Mi supervisor o jefe directo me otorga el soporte que necesito para afrontar cualquier problema que afecte mi trabajo]],#REF!,#REF!)</f>
        <v>#REF!</v>
      </c>
      <c r="L630" t="s">
        <v>23</v>
      </c>
      <c r="M630" t="e">
        <f>+_xlfn.XLOOKUP(tbl_encuesta[[#This Row],[Mi supervisor o jefe directo fomenta que nos apoyemos entre todos en el equipo]],#REF!,#REF!)</f>
        <v>#REF!</v>
      </c>
      <c r="N630" t="s">
        <v>22</v>
      </c>
      <c r="O630" t="e">
        <f>+_xlfn.XLOOKUP(tbl_encuesta[[#This Row],[Siento que mi trabajo es reconocido por mi supervisor o jefe directo.]],#REF!,#REF!)</f>
        <v>#REF!</v>
      </c>
      <c r="P630" t="s">
        <v>67</v>
      </c>
      <c r="Q630" t="e">
        <f xml:space="preserve">
_xlfn.XLOOKUP(
tbl_encuesta[[#This Row],[Mi supervisor o jefe directo nos brinda charlas de 5 minutos y comunica las novedades relevantes a mi puesto de trabajo]],#REF!,#REF!
)</f>
        <v>#REF!</v>
      </c>
      <c r="R630" t="s">
        <v>17</v>
      </c>
      <c r="U630" t="s">
        <v>20</v>
      </c>
      <c r="W630" t="s">
        <v>25</v>
      </c>
      <c r="X630" t="s">
        <v>23</v>
      </c>
      <c r="Y630" t="e">
        <f>+_xlfn.XLOOKUP(tbl_encuesta[[#This Row],[Considero a Limtek como un buen lugar para trabajar]],#REF!,#REF!)</f>
        <v>#REF!</v>
      </c>
      <c r="Z630" t="s">
        <v>1651</v>
      </c>
      <c r="AA630" t="s">
        <v>1652</v>
      </c>
      <c r="AB630" t="s">
        <v>619</v>
      </c>
      <c r="AC630" t="s">
        <v>3744</v>
      </c>
      <c r="AD630" t="s">
        <v>3744</v>
      </c>
      <c r="AE630" t="s">
        <v>29</v>
      </c>
    </row>
    <row r="631" spans="1:31" x14ac:dyDescent="0.25">
      <c r="A631">
        <v>119028413376</v>
      </c>
      <c r="B631">
        <v>462598545</v>
      </c>
      <c r="C631" s="1">
        <v>46021.590231481481</v>
      </c>
      <c r="D631" s="1">
        <v>46021.594583333332</v>
      </c>
      <c r="E631" t="s">
        <v>1653</v>
      </c>
      <c r="F631" t="s">
        <v>23</v>
      </c>
      <c r="G631" t="e">
        <f>+_xlfn.XLOOKUP(tbl_encuesta[[#This Row],[Me siento a gusto con el ambiente de trabajo que se genera en mi equipo.]],#REF!,#REF!)</f>
        <v>#REF!</v>
      </c>
      <c r="H631" t="s">
        <v>23</v>
      </c>
      <c r="I631" t="e">
        <f>+_xlfn.XLOOKUP(tbl_encuesta[[#This Row],[Me siento motivado a dar lo mejor de mí y hacer un buen trabajo]],#REF!,#REF!)</f>
        <v>#REF!</v>
      </c>
      <c r="J631" t="s">
        <v>23</v>
      </c>
      <c r="K631" t="e">
        <f>+_xlfn.XLOOKUP(tbl_encuesta[[#This Row],[Mi supervisor o jefe directo me otorga el soporte que necesito para afrontar cualquier problema que afecte mi trabajo]],#REF!,#REF!)</f>
        <v>#REF!</v>
      </c>
      <c r="L631" t="s">
        <v>23</v>
      </c>
      <c r="M631" t="e">
        <f>+_xlfn.XLOOKUP(tbl_encuesta[[#This Row],[Mi supervisor o jefe directo fomenta que nos apoyemos entre todos en el equipo]],#REF!,#REF!)</f>
        <v>#REF!</v>
      </c>
      <c r="N631" t="s">
        <v>23</v>
      </c>
      <c r="O631" t="e">
        <f>+_xlfn.XLOOKUP(tbl_encuesta[[#This Row],[Siento que mi trabajo es reconocido por mi supervisor o jefe directo.]],#REF!,#REF!)</f>
        <v>#REF!</v>
      </c>
      <c r="P631" t="s">
        <v>31</v>
      </c>
      <c r="Q631" t="e">
        <f xml:space="preserve">
_xlfn.XLOOKUP(
tbl_encuesta[[#This Row],[Mi supervisor o jefe directo nos brinda charlas de 5 minutos y comunica las novedades relevantes a mi puesto de trabajo]],#REF!,#REF!
)</f>
        <v>#REF!</v>
      </c>
      <c r="R631" t="s">
        <v>17</v>
      </c>
      <c r="U631" t="s">
        <v>20</v>
      </c>
      <c r="W631" t="s">
        <v>25</v>
      </c>
      <c r="X631" t="s">
        <v>23</v>
      </c>
      <c r="Y631" t="e">
        <f>+_xlfn.XLOOKUP(tbl_encuesta[[#This Row],[Considero a Limtek como un buen lugar para trabajar]],#REF!,#REF!)</f>
        <v>#REF!</v>
      </c>
      <c r="Z631" t="s">
        <v>1654</v>
      </c>
      <c r="AA631" t="s">
        <v>1655</v>
      </c>
      <c r="AB631" t="s">
        <v>28</v>
      </c>
      <c r="AC631" s="3" t="s">
        <v>3610</v>
      </c>
      <c r="AD631" s="3" t="s">
        <v>3639</v>
      </c>
      <c r="AE631" t="s">
        <v>29</v>
      </c>
    </row>
    <row r="632" spans="1:31" x14ac:dyDescent="0.25">
      <c r="A632">
        <v>119028413350</v>
      </c>
      <c r="B632">
        <v>462598545</v>
      </c>
      <c r="C632" s="1">
        <v>46021.587743055556</v>
      </c>
      <c r="D632" s="1">
        <v>46021.594548611109</v>
      </c>
      <c r="E632" t="s">
        <v>1656</v>
      </c>
      <c r="F632" t="s">
        <v>23</v>
      </c>
      <c r="G632" t="e">
        <f>+_xlfn.XLOOKUP(tbl_encuesta[[#This Row],[Me siento a gusto con el ambiente de trabajo que se genera en mi equipo.]],#REF!,#REF!)</f>
        <v>#REF!</v>
      </c>
      <c r="H632" t="s">
        <v>23</v>
      </c>
      <c r="I632" t="e">
        <f>+_xlfn.XLOOKUP(tbl_encuesta[[#This Row],[Me siento motivado a dar lo mejor de mí y hacer un buen trabajo]],#REF!,#REF!)</f>
        <v>#REF!</v>
      </c>
      <c r="J632" t="s">
        <v>22</v>
      </c>
      <c r="K632" t="e">
        <f>+_xlfn.XLOOKUP(tbl_encuesta[[#This Row],[Mi supervisor o jefe directo me otorga el soporte que necesito para afrontar cualquier problema que afecte mi trabajo]],#REF!,#REF!)</f>
        <v>#REF!</v>
      </c>
      <c r="L632" t="s">
        <v>23</v>
      </c>
      <c r="M632" t="e">
        <f>+_xlfn.XLOOKUP(tbl_encuesta[[#This Row],[Mi supervisor o jefe directo fomenta que nos apoyemos entre todos en el equipo]],#REF!,#REF!)</f>
        <v>#REF!</v>
      </c>
      <c r="N632" t="s">
        <v>23</v>
      </c>
      <c r="O632" t="e">
        <f>+_xlfn.XLOOKUP(tbl_encuesta[[#This Row],[Siento que mi trabajo es reconocido por mi supervisor o jefe directo.]],#REF!,#REF!)</f>
        <v>#REF!</v>
      </c>
      <c r="P632" t="s">
        <v>31</v>
      </c>
      <c r="Q632" t="e">
        <f xml:space="preserve">
_xlfn.XLOOKUP(
tbl_encuesta[[#This Row],[Mi supervisor o jefe directo nos brinda charlas de 5 minutos y comunica las novedades relevantes a mi puesto de trabajo]],#REF!,#REF!
)</f>
        <v>#REF!</v>
      </c>
      <c r="R632" t="s">
        <v>17</v>
      </c>
      <c r="S632" t="s">
        <v>18</v>
      </c>
      <c r="W632" t="s">
        <v>25</v>
      </c>
      <c r="X632" t="s">
        <v>22</v>
      </c>
      <c r="Y632" t="e">
        <f>+_xlfn.XLOOKUP(tbl_encuesta[[#This Row],[Considero a Limtek como un buen lugar para trabajar]],#REF!,#REF!)</f>
        <v>#REF!</v>
      </c>
      <c r="Z632" t="s">
        <v>1657</v>
      </c>
      <c r="AA632" t="s">
        <v>1658</v>
      </c>
      <c r="AB632" t="s">
        <v>567</v>
      </c>
      <c r="AC632" s="3" t="s">
        <v>3758</v>
      </c>
      <c r="AD632" s="3" t="s">
        <v>3788</v>
      </c>
      <c r="AE632" t="s">
        <v>34</v>
      </c>
    </row>
    <row r="633" spans="1:31" x14ac:dyDescent="0.25">
      <c r="A633">
        <v>119028413124</v>
      </c>
      <c r="B633">
        <v>462598545</v>
      </c>
      <c r="C633" s="1">
        <v>46021.581747685188</v>
      </c>
      <c r="D633" s="1">
        <v>46021.594212962962</v>
      </c>
      <c r="E633" t="s">
        <v>880</v>
      </c>
      <c r="F633" t="s">
        <v>97</v>
      </c>
      <c r="G633" t="e">
        <f>+_xlfn.XLOOKUP(tbl_encuesta[[#This Row],[Me siento a gusto con el ambiente de trabajo que se genera en mi equipo.]],#REF!,#REF!)</f>
        <v>#REF!</v>
      </c>
      <c r="H633" t="s">
        <v>23</v>
      </c>
      <c r="I633" t="e">
        <f>+_xlfn.XLOOKUP(tbl_encuesta[[#This Row],[Me siento motivado a dar lo mejor de mí y hacer un buen trabajo]],#REF!,#REF!)</f>
        <v>#REF!</v>
      </c>
      <c r="J633" t="s">
        <v>23</v>
      </c>
      <c r="K633" t="e">
        <f>+_xlfn.XLOOKUP(tbl_encuesta[[#This Row],[Mi supervisor o jefe directo me otorga el soporte que necesito para afrontar cualquier problema que afecte mi trabajo]],#REF!,#REF!)</f>
        <v>#REF!</v>
      </c>
      <c r="L633" t="s">
        <v>23</v>
      </c>
      <c r="M633" t="e">
        <f>+_xlfn.XLOOKUP(tbl_encuesta[[#This Row],[Mi supervisor o jefe directo fomenta que nos apoyemos entre todos en el equipo]],#REF!,#REF!)</f>
        <v>#REF!</v>
      </c>
      <c r="N633" t="s">
        <v>97</v>
      </c>
      <c r="O633" t="e">
        <f>+_xlfn.XLOOKUP(tbl_encuesta[[#This Row],[Siento que mi trabajo es reconocido por mi supervisor o jefe directo.]],#REF!,#REF!)</f>
        <v>#REF!</v>
      </c>
      <c r="P633" t="s">
        <v>31</v>
      </c>
      <c r="Q633" t="e">
        <f xml:space="preserve">
_xlfn.XLOOKUP(
tbl_encuesta[[#This Row],[Mi supervisor o jefe directo nos brinda charlas de 5 minutos y comunica las novedades relevantes a mi puesto de trabajo]],#REF!,#REF!
)</f>
        <v>#REF!</v>
      </c>
      <c r="R633" t="s">
        <v>17</v>
      </c>
      <c r="S633" t="s">
        <v>18</v>
      </c>
      <c r="W633" t="s">
        <v>25</v>
      </c>
      <c r="X633" t="s">
        <v>23</v>
      </c>
      <c r="Y633" t="e">
        <f>+_xlfn.XLOOKUP(tbl_encuesta[[#This Row],[Considero a Limtek como un buen lugar para trabajar]],#REF!,#REF!)</f>
        <v>#REF!</v>
      </c>
      <c r="Z633" t="s">
        <v>1167</v>
      </c>
      <c r="AA633" t="s">
        <v>1659</v>
      </c>
      <c r="AB633" t="s">
        <v>883</v>
      </c>
      <c r="AC633" s="3" t="s">
        <v>3716</v>
      </c>
      <c r="AD633" s="3" t="s">
        <v>3719</v>
      </c>
      <c r="AE633" t="s">
        <v>29</v>
      </c>
    </row>
    <row r="634" spans="1:31" x14ac:dyDescent="0.25">
      <c r="A634">
        <v>119028412905</v>
      </c>
      <c r="B634">
        <v>462598545</v>
      </c>
      <c r="C634" s="1">
        <v>46021.593113425923</v>
      </c>
      <c r="D634" s="1">
        <v>46021.593877314815</v>
      </c>
      <c r="E634" t="s">
        <v>1660</v>
      </c>
      <c r="F634" t="s">
        <v>23</v>
      </c>
      <c r="G634" t="e">
        <f>+_xlfn.XLOOKUP(tbl_encuesta[[#This Row],[Me siento a gusto con el ambiente de trabajo que se genera en mi equipo.]],#REF!,#REF!)</f>
        <v>#REF!</v>
      </c>
      <c r="H634" t="s">
        <v>23</v>
      </c>
      <c r="I634" t="e">
        <f>+_xlfn.XLOOKUP(tbl_encuesta[[#This Row],[Me siento motivado a dar lo mejor de mí y hacer un buen trabajo]],#REF!,#REF!)</f>
        <v>#REF!</v>
      </c>
      <c r="J634" t="s">
        <v>23</v>
      </c>
      <c r="K634" t="e">
        <f>+_xlfn.XLOOKUP(tbl_encuesta[[#This Row],[Mi supervisor o jefe directo me otorga el soporte que necesito para afrontar cualquier problema que afecte mi trabajo]],#REF!,#REF!)</f>
        <v>#REF!</v>
      </c>
      <c r="L634" t="s">
        <v>23</v>
      </c>
      <c r="M634" t="e">
        <f>+_xlfn.XLOOKUP(tbl_encuesta[[#This Row],[Mi supervisor o jefe directo fomenta que nos apoyemos entre todos en el equipo]],#REF!,#REF!)</f>
        <v>#REF!</v>
      </c>
      <c r="N634" t="s">
        <v>23</v>
      </c>
      <c r="O634" t="e">
        <f>+_xlfn.XLOOKUP(tbl_encuesta[[#This Row],[Siento que mi trabajo es reconocido por mi supervisor o jefe directo.]],#REF!,#REF!)</f>
        <v>#REF!</v>
      </c>
      <c r="P634" t="s">
        <v>31</v>
      </c>
      <c r="Q634" t="e">
        <f xml:space="preserve">
_xlfn.XLOOKUP(
tbl_encuesta[[#This Row],[Mi supervisor o jefe directo nos brinda charlas de 5 minutos y comunica las novedades relevantes a mi puesto de trabajo]],#REF!,#REF!
)</f>
        <v>#REF!</v>
      </c>
      <c r="R634" t="s">
        <v>17</v>
      </c>
      <c r="S634" t="s">
        <v>18</v>
      </c>
      <c r="W634" t="s">
        <v>25</v>
      </c>
      <c r="X634" t="s">
        <v>23</v>
      </c>
      <c r="Y634" t="e">
        <f>+_xlfn.XLOOKUP(tbl_encuesta[[#This Row],[Considero a Limtek como un buen lugar para trabajar]],#REF!,#REF!)</f>
        <v>#REF!</v>
      </c>
      <c r="Z634" t="s">
        <v>1661</v>
      </c>
      <c r="AA634" t="s">
        <v>1662</v>
      </c>
      <c r="AB634" t="s">
        <v>563</v>
      </c>
      <c r="AC634" s="3" t="s">
        <v>3610</v>
      </c>
      <c r="AD634" s="3" t="s">
        <v>3610</v>
      </c>
      <c r="AE634" t="s">
        <v>69</v>
      </c>
    </row>
    <row r="635" spans="1:31" x14ac:dyDescent="0.25">
      <c r="A635">
        <v>119028412737</v>
      </c>
      <c r="B635">
        <v>462598545</v>
      </c>
      <c r="C635" s="1">
        <v>46021.588784722226</v>
      </c>
      <c r="D635" s="1">
        <v>46021.593587962961</v>
      </c>
      <c r="E635" t="s">
        <v>1663</v>
      </c>
      <c r="F635" t="s">
        <v>23</v>
      </c>
      <c r="G635" t="e">
        <f>+_xlfn.XLOOKUP(tbl_encuesta[[#This Row],[Me siento a gusto con el ambiente de trabajo que se genera en mi equipo.]],#REF!,#REF!)</f>
        <v>#REF!</v>
      </c>
      <c r="H635" t="s">
        <v>23</v>
      </c>
      <c r="I635" t="e">
        <f>+_xlfn.XLOOKUP(tbl_encuesta[[#This Row],[Me siento motivado a dar lo mejor de mí y hacer un buen trabajo]],#REF!,#REF!)</f>
        <v>#REF!</v>
      </c>
      <c r="J635" t="s">
        <v>22</v>
      </c>
      <c r="K635" t="e">
        <f>+_xlfn.XLOOKUP(tbl_encuesta[[#This Row],[Mi supervisor o jefe directo me otorga el soporte que necesito para afrontar cualquier problema que afecte mi trabajo]],#REF!,#REF!)</f>
        <v>#REF!</v>
      </c>
      <c r="L635" t="s">
        <v>23</v>
      </c>
      <c r="M635" t="e">
        <f>+_xlfn.XLOOKUP(tbl_encuesta[[#This Row],[Mi supervisor o jefe directo fomenta que nos apoyemos entre todos en el equipo]],#REF!,#REF!)</f>
        <v>#REF!</v>
      </c>
      <c r="N635" t="s">
        <v>23</v>
      </c>
      <c r="O635" t="e">
        <f>+_xlfn.XLOOKUP(tbl_encuesta[[#This Row],[Siento que mi trabajo es reconocido por mi supervisor o jefe directo.]],#REF!,#REF!)</f>
        <v>#REF!</v>
      </c>
      <c r="P635" t="s">
        <v>67</v>
      </c>
      <c r="Q635" t="e">
        <f xml:space="preserve">
_xlfn.XLOOKUP(
tbl_encuesta[[#This Row],[Mi supervisor o jefe directo nos brinda charlas de 5 minutos y comunica las novedades relevantes a mi puesto de trabajo]],#REF!,#REF!
)</f>
        <v>#REF!</v>
      </c>
      <c r="R635" t="s">
        <v>17</v>
      </c>
      <c r="T635" t="s">
        <v>19</v>
      </c>
      <c r="W635" t="s">
        <v>25</v>
      </c>
      <c r="X635" t="s">
        <v>23</v>
      </c>
      <c r="Y635" t="e">
        <f>+_xlfn.XLOOKUP(tbl_encuesta[[#This Row],[Considero a Limtek como un buen lugar para trabajar]],#REF!,#REF!)</f>
        <v>#REF!</v>
      </c>
      <c r="Z635" t="s">
        <v>1664</v>
      </c>
      <c r="AA635" t="s">
        <v>1665</v>
      </c>
      <c r="AB635" t="s">
        <v>1491</v>
      </c>
      <c r="AC635" s="3" t="s">
        <v>3610</v>
      </c>
      <c r="AD635" s="3" t="s">
        <v>3681</v>
      </c>
      <c r="AE635" t="s">
        <v>34</v>
      </c>
    </row>
    <row r="636" spans="1:31" x14ac:dyDescent="0.25">
      <c r="A636">
        <v>119028412328</v>
      </c>
      <c r="B636">
        <v>462598545</v>
      </c>
      <c r="C636" s="1">
        <v>46021.586516203701</v>
      </c>
      <c r="D636" s="1">
        <v>46021.592974537038</v>
      </c>
      <c r="E636" t="s">
        <v>880</v>
      </c>
      <c r="F636" t="s">
        <v>23</v>
      </c>
      <c r="G636" t="e">
        <f>+_xlfn.XLOOKUP(tbl_encuesta[[#This Row],[Me siento a gusto con el ambiente de trabajo que se genera en mi equipo.]],#REF!,#REF!)</f>
        <v>#REF!</v>
      </c>
      <c r="H636" t="s">
        <v>23</v>
      </c>
      <c r="I636" t="e">
        <f>+_xlfn.XLOOKUP(tbl_encuesta[[#This Row],[Me siento motivado a dar lo mejor de mí y hacer un buen trabajo]],#REF!,#REF!)</f>
        <v>#REF!</v>
      </c>
      <c r="J636" t="s">
        <v>23</v>
      </c>
      <c r="K636" t="e">
        <f>+_xlfn.XLOOKUP(tbl_encuesta[[#This Row],[Mi supervisor o jefe directo me otorga el soporte que necesito para afrontar cualquier problema que afecte mi trabajo]],#REF!,#REF!)</f>
        <v>#REF!</v>
      </c>
      <c r="L636" t="s">
        <v>23</v>
      </c>
      <c r="M636" t="e">
        <f>+_xlfn.XLOOKUP(tbl_encuesta[[#This Row],[Mi supervisor o jefe directo fomenta que nos apoyemos entre todos en el equipo]],#REF!,#REF!)</f>
        <v>#REF!</v>
      </c>
      <c r="N636" t="s">
        <v>23</v>
      </c>
      <c r="O636" t="e">
        <f>+_xlfn.XLOOKUP(tbl_encuesta[[#This Row],[Siento que mi trabajo es reconocido por mi supervisor o jefe directo.]],#REF!,#REF!)</f>
        <v>#REF!</v>
      </c>
      <c r="P636" t="s">
        <v>31</v>
      </c>
      <c r="Q636" t="e">
        <f xml:space="preserve">
_xlfn.XLOOKUP(
tbl_encuesta[[#This Row],[Mi supervisor o jefe directo nos brinda charlas de 5 minutos y comunica las novedades relevantes a mi puesto de trabajo]],#REF!,#REF!
)</f>
        <v>#REF!</v>
      </c>
      <c r="S636" t="s">
        <v>18</v>
      </c>
      <c r="W636" t="s">
        <v>25</v>
      </c>
      <c r="X636" t="s">
        <v>23</v>
      </c>
      <c r="Y636" t="e">
        <f>+_xlfn.XLOOKUP(tbl_encuesta[[#This Row],[Considero a Limtek como un buen lugar para trabajar]],#REF!,#REF!)</f>
        <v>#REF!</v>
      </c>
      <c r="Z636" t="s">
        <v>1666</v>
      </c>
      <c r="AA636" t="s">
        <v>1667</v>
      </c>
      <c r="AB636" t="s">
        <v>883</v>
      </c>
      <c r="AC636" s="3" t="s">
        <v>3716</v>
      </c>
      <c r="AD636" s="3" t="s">
        <v>3719</v>
      </c>
      <c r="AE636" t="s">
        <v>69</v>
      </c>
    </row>
    <row r="637" spans="1:31" x14ac:dyDescent="0.25">
      <c r="A637">
        <v>119028412036</v>
      </c>
      <c r="B637">
        <v>462598545</v>
      </c>
      <c r="C637" s="1">
        <v>46021.586226851854</v>
      </c>
      <c r="D637" s="1">
        <v>46021.592488425929</v>
      </c>
      <c r="E637" t="s">
        <v>1668</v>
      </c>
      <c r="F637" t="s">
        <v>23</v>
      </c>
      <c r="G637" t="e">
        <f>+_xlfn.XLOOKUP(tbl_encuesta[[#This Row],[Me siento a gusto con el ambiente de trabajo que se genera en mi equipo.]],#REF!,#REF!)</f>
        <v>#REF!</v>
      </c>
      <c r="H637" t="s">
        <v>23</v>
      </c>
      <c r="I637" t="e">
        <f>+_xlfn.XLOOKUP(tbl_encuesta[[#This Row],[Me siento motivado a dar lo mejor de mí y hacer un buen trabajo]],#REF!,#REF!)</f>
        <v>#REF!</v>
      </c>
      <c r="J637" t="s">
        <v>23</v>
      </c>
      <c r="K637" t="e">
        <f>+_xlfn.XLOOKUP(tbl_encuesta[[#This Row],[Mi supervisor o jefe directo me otorga el soporte que necesito para afrontar cualquier problema que afecte mi trabajo]],#REF!,#REF!)</f>
        <v>#REF!</v>
      </c>
      <c r="L637" t="s">
        <v>23</v>
      </c>
      <c r="M637" t="e">
        <f>+_xlfn.XLOOKUP(tbl_encuesta[[#This Row],[Mi supervisor o jefe directo fomenta que nos apoyemos entre todos en el equipo]],#REF!,#REF!)</f>
        <v>#REF!</v>
      </c>
      <c r="N637" t="s">
        <v>23</v>
      </c>
      <c r="O637" t="e">
        <f>+_xlfn.XLOOKUP(tbl_encuesta[[#This Row],[Siento que mi trabajo es reconocido por mi supervisor o jefe directo.]],#REF!,#REF!)</f>
        <v>#REF!</v>
      </c>
      <c r="P637" t="s">
        <v>31</v>
      </c>
      <c r="Q637" t="e">
        <f xml:space="preserve">
_xlfn.XLOOKUP(
tbl_encuesta[[#This Row],[Mi supervisor o jefe directo nos brinda charlas de 5 minutos y comunica las novedades relevantes a mi puesto de trabajo]],#REF!,#REF!
)</f>
        <v>#REF!</v>
      </c>
      <c r="R637" t="s">
        <v>17</v>
      </c>
      <c r="W637" t="s">
        <v>25</v>
      </c>
      <c r="X637" t="s">
        <v>23</v>
      </c>
      <c r="Y637" t="e">
        <f>+_xlfn.XLOOKUP(tbl_encuesta[[#This Row],[Considero a Limtek como un buen lugar para trabajar]],#REF!,#REF!)</f>
        <v>#REF!</v>
      </c>
      <c r="Z637" t="s">
        <v>87</v>
      </c>
      <c r="AA637" t="s">
        <v>1669</v>
      </c>
      <c r="AB637" t="s">
        <v>883</v>
      </c>
      <c r="AC637" s="3" t="s">
        <v>3716</v>
      </c>
      <c r="AD637" s="3" t="s">
        <v>3716</v>
      </c>
      <c r="AE637" t="s">
        <v>55</v>
      </c>
    </row>
    <row r="638" spans="1:31" x14ac:dyDescent="0.25">
      <c r="A638">
        <v>119028411929</v>
      </c>
      <c r="B638">
        <v>462598545</v>
      </c>
      <c r="C638" s="1">
        <v>46021.588958333334</v>
      </c>
      <c r="D638" s="1">
        <v>46021.592303240737</v>
      </c>
      <c r="E638" t="s">
        <v>1670</v>
      </c>
      <c r="F638" t="s">
        <v>23</v>
      </c>
      <c r="G638" t="e">
        <f>+_xlfn.XLOOKUP(tbl_encuesta[[#This Row],[Me siento a gusto con el ambiente de trabajo que se genera en mi equipo.]],#REF!,#REF!)</f>
        <v>#REF!</v>
      </c>
      <c r="H638" t="s">
        <v>23</v>
      </c>
      <c r="I638" t="e">
        <f>+_xlfn.XLOOKUP(tbl_encuesta[[#This Row],[Me siento motivado a dar lo mejor de mí y hacer un buen trabajo]],#REF!,#REF!)</f>
        <v>#REF!</v>
      </c>
      <c r="J638" t="s">
        <v>23</v>
      </c>
      <c r="K638" t="e">
        <f>+_xlfn.XLOOKUP(tbl_encuesta[[#This Row],[Mi supervisor o jefe directo me otorga el soporte que necesito para afrontar cualquier problema que afecte mi trabajo]],#REF!,#REF!)</f>
        <v>#REF!</v>
      </c>
      <c r="L638" t="s">
        <v>23</v>
      </c>
      <c r="M638" t="e">
        <f>+_xlfn.XLOOKUP(tbl_encuesta[[#This Row],[Mi supervisor o jefe directo fomenta que nos apoyemos entre todos en el equipo]],#REF!,#REF!)</f>
        <v>#REF!</v>
      </c>
      <c r="N638" t="s">
        <v>23</v>
      </c>
      <c r="O638" t="e">
        <f>+_xlfn.XLOOKUP(tbl_encuesta[[#This Row],[Siento que mi trabajo es reconocido por mi supervisor o jefe directo.]],#REF!,#REF!)</f>
        <v>#REF!</v>
      </c>
      <c r="P638" t="s">
        <v>31</v>
      </c>
      <c r="Q638" t="e">
        <f xml:space="preserve">
_xlfn.XLOOKUP(
tbl_encuesta[[#This Row],[Mi supervisor o jefe directo nos brinda charlas de 5 minutos y comunica las novedades relevantes a mi puesto de trabajo]],#REF!,#REF!
)</f>
        <v>#REF!</v>
      </c>
      <c r="R638" t="s">
        <v>17</v>
      </c>
      <c r="T638" t="s">
        <v>19</v>
      </c>
      <c r="W638" t="s">
        <v>25</v>
      </c>
      <c r="X638" t="s">
        <v>23</v>
      </c>
      <c r="Y638" t="e">
        <f>+_xlfn.XLOOKUP(tbl_encuesta[[#This Row],[Considero a Limtek como un buen lugar para trabajar]],#REF!,#REF!)</f>
        <v>#REF!</v>
      </c>
      <c r="Z638" t="s">
        <v>1671</v>
      </c>
      <c r="AA638" t="s">
        <v>1672</v>
      </c>
      <c r="AB638" t="s">
        <v>883</v>
      </c>
      <c r="AC638" s="3" t="s">
        <v>3831</v>
      </c>
      <c r="AD638" s="3" t="s">
        <v>3831</v>
      </c>
      <c r="AE638" t="s">
        <v>29</v>
      </c>
    </row>
    <row r="639" spans="1:31" x14ac:dyDescent="0.25">
      <c r="A639">
        <v>119028411272</v>
      </c>
      <c r="B639">
        <v>462598545</v>
      </c>
      <c r="C639" s="1">
        <v>46021.58935185185</v>
      </c>
      <c r="D639" s="1">
        <v>46021.591296296298</v>
      </c>
      <c r="E639" t="s">
        <v>1673</v>
      </c>
      <c r="F639" t="s">
        <v>23</v>
      </c>
      <c r="G639" t="e">
        <f>+_xlfn.XLOOKUP(tbl_encuesta[[#This Row],[Me siento a gusto con el ambiente de trabajo que se genera en mi equipo.]],#REF!,#REF!)</f>
        <v>#REF!</v>
      </c>
      <c r="H639" t="s">
        <v>23</v>
      </c>
      <c r="I639" t="e">
        <f>+_xlfn.XLOOKUP(tbl_encuesta[[#This Row],[Me siento motivado a dar lo mejor de mí y hacer un buen trabajo]],#REF!,#REF!)</f>
        <v>#REF!</v>
      </c>
      <c r="J639" t="s">
        <v>23</v>
      </c>
      <c r="K639" t="e">
        <f>+_xlfn.XLOOKUP(tbl_encuesta[[#This Row],[Mi supervisor o jefe directo me otorga el soporte que necesito para afrontar cualquier problema que afecte mi trabajo]],#REF!,#REF!)</f>
        <v>#REF!</v>
      </c>
      <c r="L639" t="s">
        <v>23</v>
      </c>
      <c r="M639" t="e">
        <f>+_xlfn.XLOOKUP(tbl_encuesta[[#This Row],[Mi supervisor o jefe directo fomenta que nos apoyemos entre todos en el equipo]],#REF!,#REF!)</f>
        <v>#REF!</v>
      </c>
      <c r="N639" t="s">
        <v>23</v>
      </c>
      <c r="O639" t="e">
        <f>+_xlfn.XLOOKUP(tbl_encuesta[[#This Row],[Siento que mi trabajo es reconocido por mi supervisor o jefe directo.]],#REF!,#REF!)</f>
        <v>#REF!</v>
      </c>
      <c r="P639" t="s">
        <v>31</v>
      </c>
      <c r="Q639" t="e">
        <f xml:space="preserve">
_xlfn.XLOOKUP(
tbl_encuesta[[#This Row],[Mi supervisor o jefe directo nos brinda charlas de 5 minutos y comunica las novedades relevantes a mi puesto de trabajo]],#REF!,#REF!
)</f>
        <v>#REF!</v>
      </c>
      <c r="R639" t="s">
        <v>17</v>
      </c>
      <c r="S639" t="s">
        <v>18</v>
      </c>
      <c r="W639" t="s">
        <v>25</v>
      </c>
      <c r="X639" t="s">
        <v>23</v>
      </c>
      <c r="Y639" t="e">
        <f>+_xlfn.XLOOKUP(tbl_encuesta[[#This Row],[Considero a Limtek como un buen lugar para trabajar]],#REF!,#REF!)</f>
        <v>#REF!</v>
      </c>
      <c r="Z639" t="s">
        <v>1674</v>
      </c>
      <c r="AA639" t="s">
        <v>122</v>
      </c>
      <c r="AB639" t="s">
        <v>38</v>
      </c>
      <c r="AC639" s="3" t="s">
        <v>3716</v>
      </c>
      <c r="AD639" s="3" t="s">
        <v>38</v>
      </c>
      <c r="AE639" t="s">
        <v>29</v>
      </c>
    </row>
    <row r="640" spans="1:31" x14ac:dyDescent="0.25">
      <c r="A640">
        <v>119028410184</v>
      </c>
      <c r="B640">
        <v>462598545</v>
      </c>
      <c r="C640" s="1">
        <v>46021.582372685189</v>
      </c>
      <c r="D640" s="1">
        <v>46021.589745370373</v>
      </c>
      <c r="E640" t="s">
        <v>1675</v>
      </c>
      <c r="F640" t="s">
        <v>23</v>
      </c>
      <c r="G640" t="e">
        <f>+_xlfn.XLOOKUP(tbl_encuesta[[#This Row],[Me siento a gusto con el ambiente de trabajo que se genera en mi equipo.]],#REF!,#REF!)</f>
        <v>#REF!</v>
      </c>
      <c r="H640" t="s">
        <v>23</v>
      </c>
      <c r="I640" t="e">
        <f>+_xlfn.XLOOKUP(tbl_encuesta[[#This Row],[Me siento motivado a dar lo mejor de mí y hacer un buen trabajo]],#REF!,#REF!)</f>
        <v>#REF!</v>
      </c>
      <c r="J640" t="s">
        <v>23</v>
      </c>
      <c r="K640" t="e">
        <f>+_xlfn.XLOOKUP(tbl_encuesta[[#This Row],[Mi supervisor o jefe directo me otorga el soporte que necesito para afrontar cualquier problema que afecte mi trabajo]],#REF!,#REF!)</f>
        <v>#REF!</v>
      </c>
      <c r="L640" t="s">
        <v>23</v>
      </c>
      <c r="M640" t="e">
        <f>+_xlfn.XLOOKUP(tbl_encuesta[[#This Row],[Mi supervisor o jefe directo fomenta que nos apoyemos entre todos en el equipo]],#REF!,#REF!)</f>
        <v>#REF!</v>
      </c>
      <c r="N640" t="s">
        <v>23</v>
      </c>
      <c r="O640" t="e">
        <f>+_xlfn.XLOOKUP(tbl_encuesta[[#This Row],[Siento que mi trabajo es reconocido por mi supervisor o jefe directo.]],#REF!,#REF!)</f>
        <v>#REF!</v>
      </c>
      <c r="P640" t="s">
        <v>31</v>
      </c>
      <c r="Q640" t="e">
        <f xml:space="preserve">
_xlfn.XLOOKUP(
tbl_encuesta[[#This Row],[Mi supervisor o jefe directo nos brinda charlas de 5 minutos y comunica las novedades relevantes a mi puesto de trabajo]],#REF!,#REF!
)</f>
        <v>#REF!</v>
      </c>
      <c r="R640" t="s">
        <v>17</v>
      </c>
      <c r="T640" t="s">
        <v>19</v>
      </c>
      <c r="W640" t="s">
        <v>25</v>
      </c>
      <c r="X640" t="s">
        <v>43</v>
      </c>
      <c r="Y640" t="e">
        <f>+_xlfn.XLOOKUP(tbl_encuesta[[#This Row],[Considero a Limtek como un buen lugar para trabajar]],#REF!,#REF!)</f>
        <v>#REF!</v>
      </c>
      <c r="Z640" t="s">
        <v>1676</v>
      </c>
      <c r="AA640" t="s">
        <v>1677</v>
      </c>
      <c r="AB640" t="s">
        <v>563</v>
      </c>
      <c r="AC640" s="3" t="s">
        <v>3610</v>
      </c>
      <c r="AD640" s="3" t="s">
        <v>3682</v>
      </c>
      <c r="AE640" t="s">
        <v>34</v>
      </c>
    </row>
    <row r="641" spans="1:31" x14ac:dyDescent="0.25">
      <c r="A641">
        <v>119028410136</v>
      </c>
      <c r="B641">
        <v>462598545</v>
      </c>
      <c r="C641" s="1">
        <v>46021.587222222224</v>
      </c>
      <c r="D641" s="1">
        <v>46021.589675925927</v>
      </c>
      <c r="E641" t="s">
        <v>1660</v>
      </c>
      <c r="F641" t="s">
        <v>23</v>
      </c>
      <c r="G641" t="e">
        <f>+_xlfn.XLOOKUP(tbl_encuesta[[#This Row],[Me siento a gusto con el ambiente de trabajo que se genera en mi equipo.]],#REF!,#REF!)</f>
        <v>#REF!</v>
      </c>
      <c r="H641" t="s">
        <v>23</v>
      </c>
      <c r="I641" t="e">
        <f>+_xlfn.XLOOKUP(tbl_encuesta[[#This Row],[Me siento motivado a dar lo mejor de mí y hacer un buen trabajo]],#REF!,#REF!)</f>
        <v>#REF!</v>
      </c>
      <c r="J641" t="s">
        <v>23</v>
      </c>
      <c r="K641" t="e">
        <f>+_xlfn.XLOOKUP(tbl_encuesta[[#This Row],[Mi supervisor o jefe directo me otorga el soporte que necesito para afrontar cualquier problema que afecte mi trabajo]],#REF!,#REF!)</f>
        <v>#REF!</v>
      </c>
      <c r="L641" t="s">
        <v>23</v>
      </c>
      <c r="M641" t="e">
        <f>+_xlfn.XLOOKUP(tbl_encuesta[[#This Row],[Mi supervisor o jefe directo fomenta que nos apoyemos entre todos en el equipo]],#REF!,#REF!)</f>
        <v>#REF!</v>
      </c>
      <c r="N641" t="s">
        <v>23</v>
      </c>
      <c r="O641" t="e">
        <f>+_xlfn.XLOOKUP(tbl_encuesta[[#This Row],[Siento que mi trabajo es reconocido por mi supervisor o jefe directo.]],#REF!,#REF!)</f>
        <v>#REF!</v>
      </c>
      <c r="P641" t="s">
        <v>31</v>
      </c>
      <c r="Q641" t="e">
        <f xml:space="preserve">
_xlfn.XLOOKUP(
tbl_encuesta[[#This Row],[Mi supervisor o jefe directo nos brinda charlas de 5 minutos y comunica las novedades relevantes a mi puesto de trabajo]],#REF!,#REF!
)</f>
        <v>#REF!</v>
      </c>
      <c r="R641" t="s">
        <v>17</v>
      </c>
      <c r="S641" t="s">
        <v>18</v>
      </c>
      <c r="W641" t="s">
        <v>25</v>
      </c>
      <c r="X641" t="s">
        <v>23</v>
      </c>
      <c r="Y641" t="e">
        <f>+_xlfn.XLOOKUP(tbl_encuesta[[#This Row],[Considero a Limtek como un buen lugar para trabajar]],#REF!,#REF!)</f>
        <v>#REF!</v>
      </c>
      <c r="Z641" t="s">
        <v>1661</v>
      </c>
      <c r="AA641" t="s">
        <v>1662</v>
      </c>
      <c r="AB641" t="s">
        <v>563</v>
      </c>
      <c r="AC641" s="3" t="s">
        <v>3610</v>
      </c>
      <c r="AD641" s="3" t="s">
        <v>3610</v>
      </c>
      <c r="AE641" t="s">
        <v>69</v>
      </c>
    </row>
    <row r="642" spans="1:31" x14ac:dyDescent="0.25">
      <c r="A642">
        <v>119028409980</v>
      </c>
      <c r="B642">
        <v>462598545</v>
      </c>
      <c r="C642" s="1">
        <v>46021.5858912037</v>
      </c>
      <c r="D642" s="1">
        <v>46021.589467592596</v>
      </c>
      <c r="E642" t="s">
        <v>1678</v>
      </c>
      <c r="F642" t="s">
        <v>23</v>
      </c>
      <c r="G642" t="e">
        <f>+_xlfn.XLOOKUP(tbl_encuesta[[#This Row],[Me siento a gusto con el ambiente de trabajo que se genera en mi equipo.]],#REF!,#REF!)</f>
        <v>#REF!</v>
      </c>
      <c r="H642" t="s">
        <v>23</v>
      </c>
      <c r="I642" t="e">
        <f>+_xlfn.XLOOKUP(tbl_encuesta[[#This Row],[Me siento motivado a dar lo mejor de mí y hacer un buen trabajo]],#REF!,#REF!)</f>
        <v>#REF!</v>
      </c>
      <c r="J642" t="s">
        <v>23</v>
      </c>
      <c r="K642" t="e">
        <f>+_xlfn.XLOOKUP(tbl_encuesta[[#This Row],[Mi supervisor o jefe directo me otorga el soporte que necesito para afrontar cualquier problema que afecte mi trabajo]],#REF!,#REF!)</f>
        <v>#REF!</v>
      </c>
      <c r="L642" t="s">
        <v>23</v>
      </c>
      <c r="M642" t="e">
        <f>+_xlfn.XLOOKUP(tbl_encuesta[[#This Row],[Mi supervisor o jefe directo fomenta que nos apoyemos entre todos en el equipo]],#REF!,#REF!)</f>
        <v>#REF!</v>
      </c>
      <c r="N642" t="s">
        <v>23</v>
      </c>
      <c r="O642" t="e">
        <f>+_xlfn.XLOOKUP(tbl_encuesta[[#This Row],[Siento que mi trabajo es reconocido por mi supervisor o jefe directo.]],#REF!,#REF!)</f>
        <v>#REF!</v>
      </c>
      <c r="P642" t="s">
        <v>31</v>
      </c>
      <c r="Q642" t="e">
        <f xml:space="preserve">
_xlfn.XLOOKUP(
tbl_encuesta[[#This Row],[Mi supervisor o jefe directo nos brinda charlas de 5 minutos y comunica las novedades relevantes a mi puesto de trabajo]],#REF!,#REF!
)</f>
        <v>#REF!</v>
      </c>
      <c r="S642" t="s">
        <v>18</v>
      </c>
      <c r="W642" t="s">
        <v>25</v>
      </c>
      <c r="X642" t="s">
        <v>23</v>
      </c>
      <c r="Y642" t="e">
        <f>+_xlfn.XLOOKUP(tbl_encuesta[[#This Row],[Considero a Limtek como un buen lugar para trabajar]],#REF!,#REF!)</f>
        <v>#REF!</v>
      </c>
      <c r="Z642" t="s">
        <v>1483</v>
      </c>
      <c r="AA642" t="s">
        <v>1679</v>
      </c>
      <c r="AB642" t="s">
        <v>28</v>
      </c>
      <c r="AC642" s="3" t="s">
        <v>3733</v>
      </c>
      <c r="AD642" s="3" t="s">
        <v>3734</v>
      </c>
      <c r="AE642" t="s">
        <v>29</v>
      </c>
    </row>
    <row r="643" spans="1:31" x14ac:dyDescent="0.25">
      <c r="A643">
        <v>119028409120</v>
      </c>
      <c r="B643">
        <v>462598545</v>
      </c>
      <c r="C643" s="1">
        <v>46021.586215277777</v>
      </c>
      <c r="D643" s="1">
        <v>46021.588206018518</v>
      </c>
      <c r="E643" t="s">
        <v>1680</v>
      </c>
      <c r="F643" t="s">
        <v>23</v>
      </c>
      <c r="G643" t="e">
        <f>+_xlfn.XLOOKUP(tbl_encuesta[[#This Row],[Me siento a gusto con el ambiente de trabajo que se genera en mi equipo.]],#REF!,#REF!)</f>
        <v>#REF!</v>
      </c>
      <c r="H643" t="s">
        <v>23</v>
      </c>
      <c r="I643" t="e">
        <f>+_xlfn.XLOOKUP(tbl_encuesta[[#This Row],[Me siento motivado a dar lo mejor de mí y hacer un buen trabajo]],#REF!,#REF!)</f>
        <v>#REF!</v>
      </c>
      <c r="J643" t="s">
        <v>23</v>
      </c>
      <c r="K643" t="e">
        <f>+_xlfn.XLOOKUP(tbl_encuesta[[#This Row],[Mi supervisor o jefe directo me otorga el soporte que necesito para afrontar cualquier problema que afecte mi trabajo]],#REF!,#REF!)</f>
        <v>#REF!</v>
      </c>
      <c r="L643" t="s">
        <v>23</v>
      </c>
      <c r="M643" t="e">
        <f>+_xlfn.XLOOKUP(tbl_encuesta[[#This Row],[Mi supervisor o jefe directo fomenta que nos apoyemos entre todos en el equipo]],#REF!,#REF!)</f>
        <v>#REF!</v>
      </c>
      <c r="N643" t="s">
        <v>23</v>
      </c>
      <c r="O643" t="e">
        <f>+_xlfn.XLOOKUP(tbl_encuesta[[#This Row],[Siento que mi trabajo es reconocido por mi supervisor o jefe directo.]],#REF!,#REF!)</f>
        <v>#REF!</v>
      </c>
      <c r="P643" t="s">
        <v>31</v>
      </c>
      <c r="Q643" t="e">
        <f xml:space="preserve">
_xlfn.XLOOKUP(
tbl_encuesta[[#This Row],[Mi supervisor o jefe directo nos brinda charlas de 5 minutos y comunica las novedades relevantes a mi puesto de trabajo]],#REF!,#REF!
)</f>
        <v>#REF!</v>
      </c>
      <c r="R643" t="s">
        <v>17</v>
      </c>
      <c r="S643" t="s">
        <v>18</v>
      </c>
      <c r="W643" t="s">
        <v>25</v>
      </c>
      <c r="X643" t="s">
        <v>23</v>
      </c>
      <c r="Y643" t="e">
        <f>+_xlfn.XLOOKUP(tbl_encuesta[[#This Row],[Considero a Limtek como un buen lugar para trabajar]],#REF!,#REF!)</f>
        <v>#REF!</v>
      </c>
      <c r="Z643" t="s">
        <v>1681</v>
      </c>
      <c r="AA643" t="s">
        <v>1352</v>
      </c>
      <c r="AB643" t="s">
        <v>883</v>
      </c>
      <c r="AC643" s="3" t="s">
        <v>3610</v>
      </c>
      <c r="AD643" s="3" t="s">
        <v>3669</v>
      </c>
      <c r="AE643" t="s">
        <v>69</v>
      </c>
    </row>
    <row r="644" spans="1:31" x14ac:dyDescent="0.25">
      <c r="A644">
        <v>119028409085</v>
      </c>
      <c r="B644">
        <v>462598545</v>
      </c>
      <c r="C644" s="1">
        <v>46021.583124999997</v>
      </c>
      <c r="D644" s="1">
        <v>46021.588159722225</v>
      </c>
      <c r="E644" t="s">
        <v>1682</v>
      </c>
      <c r="F644" t="s">
        <v>23</v>
      </c>
      <c r="G644" t="e">
        <f>+_xlfn.XLOOKUP(tbl_encuesta[[#This Row],[Me siento a gusto con el ambiente de trabajo que se genera en mi equipo.]],#REF!,#REF!)</f>
        <v>#REF!</v>
      </c>
      <c r="H644" t="s">
        <v>23</v>
      </c>
      <c r="I644" t="e">
        <f>+_xlfn.XLOOKUP(tbl_encuesta[[#This Row],[Me siento motivado a dar lo mejor de mí y hacer un buen trabajo]],#REF!,#REF!)</f>
        <v>#REF!</v>
      </c>
      <c r="J644" t="s">
        <v>23</v>
      </c>
      <c r="K644" t="e">
        <f>+_xlfn.XLOOKUP(tbl_encuesta[[#This Row],[Mi supervisor o jefe directo me otorga el soporte que necesito para afrontar cualquier problema que afecte mi trabajo]],#REF!,#REF!)</f>
        <v>#REF!</v>
      </c>
      <c r="L644" t="s">
        <v>23</v>
      </c>
      <c r="M644" t="e">
        <f>+_xlfn.XLOOKUP(tbl_encuesta[[#This Row],[Mi supervisor o jefe directo fomenta que nos apoyemos entre todos en el equipo]],#REF!,#REF!)</f>
        <v>#REF!</v>
      </c>
      <c r="N644" t="s">
        <v>23</v>
      </c>
      <c r="O644" t="e">
        <f>+_xlfn.XLOOKUP(tbl_encuesta[[#This Row],[Siento que mi trabajo es reconocido por mi supervisor o jefe directo.]],#REF!,#REF!)</f>
        <v>#REF!</v>
      </c>
      <c r="P644" t="s">
        <v>67</v>
      </c>
      <c r="Q644" t="e">
        <f xml:space="preserve">
_xlfn.XLOOKUP(
tbl_encuesta[[#This Row],[Mi supervisor o jefe directo nos brinda charlas de 5 minutos y comunica las novedades relevantes a mi puesto de trabajo]],#REF!,#REF!
)</f>
        <v>#REF!</v>
      </c>
      <c r="R644" t="s">
        <v>17</v>
      </c>
      <c r="T644" t="s">
        <v>19</v>
      </c>
      <c r="W644" t="s">
        <v>25</v>
      </c>
      <c r="X644" t="s">
        <v>23</v>
      </c>
      <c r="Y644" t="e">
        <f>+_xlfn.XLOOKUP(tbl_encuesta[[#This Row],[Considero a Limtek como un buen lugar para trabajar]],#REF!,#REF!)</f>
        <v>#REF!</v>
      </c>
      <c r="Z644" t="s">
        <v>504</v>
      </c>
      <c r="AA644" t="s">
        <v>1683</v>
      </c>
      <c r="AB644" t="s">
        <v>619</v>
      </c>
      <c r="AC644" t="s">
        <v>3592</v>
      </c>
      <c r="AD644" t="s">
        <v>951</v>
      </c>
      <c r="AE644" t="s">
        <v>69</v>
      </c>
    </row>
    <row r="645" spans="1:31" x14ac:dyDescent="0.25">
      <c r="A645">
        <v>119028407311</v>
      </c>
      <c r="B645">
        <v>462598545</v>
      </c>
      <c r="C645" s="1">
        <v>46021.581192129626</v>
      </c>
      <c r="D645" s="1">
        <v>46021.585682870369</v>
      </c>
      <c r="E645" t="s">
        <v>977</v>
      </c>
      <c r="F645" t="s">
        <v>23</v>
      </c>
      <c r="G645" t="e">
        <f>+_xlfn.XLOOKUP(tbl_encuesta[[#This Row],[Me siento a gusto con el ambiente de trabajo que se genera en mi equipo.]],#REF!,#REF!)</f>
        <v>#REF!</v>
      </c>
      <c r="H645" t="s">
        <v>23</v>
      </c>
      <c r="I645" t="e">
        <f>+_xlfn.XLOOKUP(tbl_encuesta[[#This Row],[Me siento motivado a dar lo mejor de mí y hacer un buen trabajo]],#REF!,#REF!)</f>
        <v>#REF!</v>
      </c>
      <c r="J645" t="s">
        <v>22</v>
      </c>
      <c r="K645" t="e">
        <f>+_xlfn.XLOOKUP(tbl_encuesta[[#This Row],[Mi supervisor o jefe directo me otorga el soporte que necesito para afrontar cualquier problema que afecte mi trabajo]],#REF!,#REF!)</f>
        <v>#REF!</v>
      </c>
      <c r="L645" t="s">
        <v>23</v>
      </c>
      <c r="M645" t="e">
        <f>+_xlfn.XLOOKUP(tbl_encuesta[[#This Row],[Mi supervisor o jefe directo fomenta que nos apoyemos entre todos en el equipo]],#REF!,#REF!)</f>
        <v>#REF!</v>
      </c>
      <c r="N645" t="s">
        <v>23</v>
      </c>
      <c r="O645" t="e">
        <f>+_xlfn.XLOOKUP(tbl_encuesta[[#This Row],[Siento que mi trabajo es reconocido por mi supervisor o jefe directo.]],#REF!,#REF!)</f>
        <v>#REF!</v>
      </c>
      <c r="P645" t="s">
        <v>175</v>
      </c>
      <c r="Q645" t="e">
        <f xml:space="preserve">
_xlfn.XLOOKUP(
tbl_encuesta[[#This Row],[Mi supervisor o jefe directo nos brinda charlas de 5 minutos y comunica las novedades relevantes a mi puesto de trabajo]],#REF!,#REF!
)</f>
        <v>#REF!</v>
      </c>
      <c r="R645" t="s">
        <v>17</v>
      </c>
      <c r="W645" t="s">
        <v>25</v>
      </c>
      <c r="X645" t="s">
        <v>23</v>
      </c>
      <c r="Y645" t="e">
        <f>+_xlfn.XLOOKUP(tbl_encuesta[[#This Row],[Considero a Limtek como un buen lugar para trabajar]],#REF!,#REF!)</f>
        <v>#REF!</v>
      </c>
      <c r="Z645" t="s">
        <v>1684</v>
      </c>
      <c r="AA645" t="s">
        <v>1685</v>
      </c>
      <c r="AB645" t="s">
        <v>567</v>
      </c>
      <c r="AC645" t="s">
        <v>3758</v>
      </c>
      <c r="AD645" t="s">
        <v>3758</v>
      </c>
      <c r="AE645" t="s">
        <v>34</v>
      </c>
    </row>
    <row r="646" spans="1:31" x14ac:dyDescent="0.25">
      <c r="A646">
        <v>119028406251</v>
      </c>
      <c r="B646">
        <v>462598545</v>
      </c>
      <c r="C646" s="1">
        <v>46021.577719907407</v>
      </c>
      <c r="D646" s="1">
        <v>46021.584282407406</v>
      </c>
      <c r="E646" t="s">
        <v>880</v>
      </c>
      <c r="F646" t="s">
        <v>23</v>
      </c>
      <c r="G646" t="e">
        <f>+_xlfn.XLOOKUP(tbl_encuesta[[#This Row],[Me siento a gusto con el ambiente de trabajo que se genera en mi equipo.]],#REF!,#REF!)</f>
        <v>#REF!</v>
      </c>
      <c r="H646" t="s">
        <v>23</v>
      </c>
      <c r="I646" t="e">
        <f>+_xlfn.XLOOKUP(tbl_encuesta[[#This Row],[Me siento motivado a dar lo mejor de mí y hacer un buen trabajo]],#REF!,#REF!)</f>
        <v>#REF!</v>
      </c>
      <c r="J646" t="s">
        <v>23</v>
      </c>
      <c r="K646" t="e">
        <f>+_xlfn.XLOOKUP(tbl_encuesta[[#This Row],[Mi supervisor o jefe directo me otorga el soporte que necesito para afrontar cualquier problema que afecte mi trabajo]],#REF!,#REF!)</f>
        <v>#REF!</v>
      </c>
      <c r="L646" t="s">
        <v>23</v>
      </c>
      <c r="M646" t="e">
        <f>+_xlfn.XLOOKUP(tbl_encuesta[[#This Row],[Mi supervisor o jefe directo fomenta que nos apoyemos entre todos en el equipo]],#REF!,#REF!)</f>
        <v>#REF!</v>
      </c>
      <c r="N646" t="s">
        <v>23</v>
      </c>
      <c r="O646" t="e">
        <f>+_xlfn.XLOOKUP(tbl_encuesta[[#This Row],[Siento que mi trabajo es reconocido por mi supervisor o jefe directo.]],#REF!,#REF!)</f>
        <v>#REF!</v>
      </c>
      <c r="P646" t="s">
        <v>31</v>
      </c>
      <c r="Q646" t="e">
        <f xml:space="preserve">
_xlfn.XLOOKUP(
tbl_encuesta[[#This Row],[Mi supervisor o jefe directo nos brinda charlas de 5 minutos y comunica las novedades relevantes a mi puesto de trabajo]],#REF!,#REF!
)</f>
        <v>#REF!</v>
      </c>
      <c r="S646" t="s">
        <v>18</v>
      </c>
      <c r="W646" t="s">
        <v>25</v>
      </c>
      <c r="X646" t="s">
        <v>23</v>
      </c>
      <c r="Y646" t="e">
        <f>+_xlfn.XLOOKUP(tbl_encuesta[[#This Row],[Considero a Limtek como un buen lugar para trabajar]],#REF!,#REF!)</f>
        <v>#REF!</v>
      </c>
      <c r="Z646" t="s">
        <v>1686</v>
      </c>
      <c r="AA646" t="s">
        <v>1687</v>
      </c>
      <c r="AB646" t="s">
        <v>883</v>
      </c>
      <c r="AC646" s="3" t="s">
        <v>3716</v>
      </c>
      <c r="AD646" s="3" t="s">
        <v>3719</v>
      </c>
      <c r="AE646" t="s">
        <v>69</v>
      </c>
    </row>
    <row r="647" spans="1:31" x14ac:dyDescent="0.25">
      <c r="A647">
        <v>119028405335</v>
      </c>
      <c r="B647">
        <v>462598545</v>
      </c>
      <c r="C647" s="1">
        <v>46021.576886574076</v>
      </c>
      <c r="D647" s="1">
        <v>46021.582951388889</v>
      </c>
      <c r="E647" t="s">
        <v>1688</v>
      </c>
      <c r="F647" t="s">
        <v>23</v>
      </c>
      <c r="G647" t="e">
        <f>+_xlfn.XLOOKUP(tbl_encuesta[[#This Row],[Me siento a gusto con el ambiente de trabajo que se genera en mi equipo.]],#REF!,#REF!)</f>
        <v>#REF!</v>
      </c>
      <c r="H647" t="s">
        <v>23</v>
      </c>
      <c r="I647" t="e">
        <f>+_xlfn.XLOOKUP(tbl_encuesta[[#This Row],[Me siento motivado a dar lo mejor de mí y hacer un buen trabajo]],#REF!,#REF!)</f>
        <v>#REF!</v>
      </c>
      <c r="J647" t="s">
        <v>23</v>
      </c>
      <c r="K647" t="e">
        <f>+_xlfn.XLOOKUP(tbl_encuesta[[#This Row],[Mi supervisor o jefe directo me otorga el soporte que necesito para afrontar cualquier problema que afecte mi trabajo]],#REF!,#REF!)</f>
        <v>#REF!</v>
      </c>
      <c r="L647" t="s">
        <v>23</v>
      </c>
      <c r="M647" t="e">
        <f>+_xlfn.XLOOKUP(tbl_encuesta[[#This Row],[Mi supervisor o jefe directo fomenta que nos apoyemos entre todos en el equipo]],#REF!,#REF!)</f>
        <v>#REF!</v>
      </c>
      <c r="N647" t="s">
        <v>22</v>
      </c>
      <c r="O647" t="e">
        <f>+_xlfn.XLOOKUP(tbl_encuesta[[#This Row],[Siento que mi trabajo es reconocido por mi supervisor o jefe directo.]],#REF!,#REF!)</f>
        <v>#REF!</v>
      </c>
      <c r="P647" t="s">
        <v>31</v>
      </c>
      <c r="Q647" t="e">
        <f xml:space="preserve">
_xlfn.XLOOKUP(
tbl_encuesta[[#This Row],[Mi supervisor o jefe directo nos brinda charlas de 5 minutos y comunica las novedades relevantes a mi puesto de trabajo]],#REF!,#REF!
)</f>
        <v>#REF!</v>
      </c>
      <c r="R647" t="s">
        <v>17</v>
      </c>
      <c r="S647" t="s">
        <v>18</v>
      </c>
      <c r="W647" t="s">
        <v>25</v>
      </c>
      <c r="X647" t="s">
        <v>23</v>
      </c>
      <c r="Y647" t="e">
        <f>+_xlfn.XLOOKUP(tbl_encuesta[[#This Row],[Considero a Limtek como un buen lugar para trabajar]],#REF!,#REF!)</f>
        <v>#REF!</v>
      </c>
      <c r="Z647" t="s">
        <v>1689</v>
      </c>
      <c r="AA647" t="s">
        <v>1690</v>
      </c>
      <c r="AB647" t="s">
        <v>726</v>
      </c>
      <c r="AC647" s="3" t="s">
        <v>3716</v>
      </c>
      <c r="AD647" s="3" t="s">
        <v>3708</v>
      </c>
      <c r="AE647" t="s">
        <v>69</v>
      </c>
    </row>
    <row r="648" spans="1:31" x14ac:dyDescent="0.25">
      <c r="A648">
        <v>119028403431</v>
      </c>
      <c r="B648">
        <v>462598545</v>
      </c>
      <c r="C648" s="1">
        <v>46021.576770833337</v>
      </c>
      <c r="D648" s="1">
        <v>46021.58011574074</v>
      </c>
      <c r="E648" t="s">
        <v>1691</v>
      </c>
      <c r="F648" t="s">
        <v>23</v>
      </c>
      <c r="G648" t="e">
        <f>+_xlfn.XLOOKUP(tbl_encuesta[[#This Row],[Me siento a gusto con el ambiente de trabajo que se genera en mi equipo.]],#REF!,#REF!)</f>
        <v>#REF!</v>
      </c>
      <c r="H648" t="s">
        <v>23</v>
      </c>
      <c r="I648" t="e">
        <f>+_xlfn.XLOOKUP(tbl_encuesta[[#This Row],[Me siento motivado a dar lo mejor de mí y hacer un buen trabajo]],#REF!,#REF!)</f>
        <v>#REF!</v>
      </c>
      <c r="J648" t="s">
        <v>23</v>
      </c>
      <c r="K648" t="e">
        <f>+_xlfn.XLOOKUP(tbl_encuesta[[#This Row],[Mi supervisor o jefe directo me otorga el soporte que necesito para afrontar cualquier problema que afecte mi trabajo]],#REF!,#REF!)</f>
        <v>#REF!</v>
      </c>
      <c r="L648" t="s">
        <v>23</v>
      </c>
      <c r="M648" t="e">
        <f>+_xlfn.XLOOKUP(tbl_encuesta[[#This Row],[Mi supervisor o jefe directo fomenta que nos apoyemos entre todos en el equipo]],#REF!,#REF!)</f>
        <v>#REF!</v>
      </c>
      <c r="N648" t="s">
        <v>23</v>
      </c>
      <c r="O648" t="e">
        <f>+_xlfn.XLOOKUP(tbl_encuesta[[#This Row],[Siento que mi trabajo es reconocido por mi supervisor o jefe directo.]],#REF!,#REF!)</f>
        <v>#REF!</v>
      </c>
      <c r="P648" t="s">
        <v>31</v>
      </c>
      <c r="Q648" t="e">
        <f xml:space="preserve">
_xlfn.XLOOKUP(
tbl_encuesta[[#This Row],[Mi supervisor o jefe directo nos brinda charlas de 5 minutos y comunica las novedades relevantes a mi puesto de trabajo]],#REF!,#REF!
)</f>
        <v>#REF!</v>
      </c>
      <c r="R648" t="s">
        <v>17</v>
      </c>
      <c r="S648" t="s">
        <v>18</v>
      </c>
      <c r="W648" t="s">
        <v>25</v>
      </c>
      <c r="X648" t="s">
        <v>23</v>
      </c>
      <c r="Y648" t="e">
        <f>+_xlfn.XLOOKUP(tbl_encuesta[[#This Row],[Considero a Limtek como un buen lugar para trabajar]],#REF!,#REF!)</f>
        <v>#REF!</v>
      </c>
      <c r="Z648" t="s">
        <v>576</v>
      </c>
      <c r="AA648" t="s">
        <v>1692</v>
      </c>
      <c r="AB648" t="s">
        <v>38</v>
      </c>
      <c r="AC648" s="3" t="s">
        <v>3716</v>
      </c>
      <c r="AD648" s="3" t="s">
        <v>38</v>
      </c>
      <c r="AE648" t="s">
        <v>69</v>
      </c>
    </row>
    <row r="649" spans="1:31" x14ac:dyDescent="0.25">
      <c r="A649">
        <v>119028403392</v>
      </c>
      <c r="B649">
        <v>462598545</v>
      </c>
      <c r="C649" s="1">
        <v>46021.578425925924</v>
      </c>
      <c r="D649" s="1">
        <v>46021.580057870371</v>
      </c>
      <c r="E649" t="s">
        <v>1693</v>
      </c>
      <c r="F649" t="s">
        <v>22</v>
      </c>
      <c r="G649" t="e">
        <f>+_xlfn.XLOOKUP(tbl_encuesta[[#This Row],[Me siento a gusto con el ambiente de trabajo que se genera en mi equipo.]],#REF!,#REF!)</f>
        <v>#REF!</v>
      </c>
      <c r="H649" t="s">
        <v>23</v>
      </c>
      <c r="I649" t="e">
        <f>+_xlfn.XLOOKUP(tbl_encuesta[[#This Row],[Me siento motivado a dar lo mejor de mí y hacer un buen trabajo]],#REF!,#REF!)</f>
        <v>#REF!</v>
      </c>
      <c r="J649" t="s">
        <v>97</v>
      </c>
      <c r="K649" t="e">
        <f>+_xlfn.XLOOKUP(tbl_encuesta[[#This Row],[Mi supervisor o jefe directo me otorga el soporte que necesito para afrontar cualquier problema que afecte mi trabajo]],#REF!,#REF!)</f>
        <v>#REF!</v>
      </c>
      <c r="L649" t="s">
        <v>97</v>
      </c>
      <c r="M649" t="e">
        <f>+_xlfn.XLOOKUP(tbl_encuesta[[#This Row],[Mi supervisor o jefe directo fomenta que nos apoyemos entre todos en el equipo]],#REF!,#REF!)</f>
        <v>#REF!</v>
      </c>
      <c r="N649" t="s">
        <v>97</v>
      </c>
      <c r="O649" t="e">
        <f>+_xlfn.XLOOKUP(tbl_encuesta[[#This Row],[Siento que mi trabajo es reconocido por mi supervisor o jefe directo.]],#REF!,#REF!)</f>
        <v>#REF!</v>
      </c>
      <c r="P649" t="s">
        <v>175</v>
      </c>
      <c r="Q649" t="e">
        <f xml:space="preserve">
_xlfn.XLOOKUP(
tbl_encuesta[[#This Row],[Mi supervisor o jefe directo nos brinda charlas de 5 minutos y comunica las novedades relevantes a mi puesto de trabajo]],#REF!,#REF!
)</f>
        <v>#REF!</v>
      </c>
      <c r="R649" t="s">
        <v>17</v>
      </c>
      <c r="T649" t="s">
        <v>19</v>
      </c>
      <c r="W649" t="s">
        <v>25</v>
      </c>
      <c r="X649" t="s">
        <v>97</v>
      </c>
      <c r="Y649" t="e">
        <f>+_xlfn.XLOOKUP(tbl_encuesta[[#This Row],[Considero a Limtek como un buen lugar para trabajar]],#REF!,#REF!)</f>
        <v>#REF!</v>
      </c>
      <c r="Z649" t="s">
        <v>1694</v>
      </c>
      <c r="AA649" t="s">
        <v>1695</v>
      </c>
      <c r="AB649" t="s">
        <v>619</v>
      </c>
      <c r="AC649" t="s">
        <v>3592</v>
      </c>
      <c r="AD649" t="s">
        <v>993</v>
      </c>
      <c r="AE649" t="s">
        <v>69</v>
      </c>
    </row>
    <row r="650" spans="1:31" x14ac:dyDescent="0.25">
      <c r="A650">
        <v>119028403138</v>
      </c>
      <c r="B650">
        <v>462598545</v>
      </c>
      <c r="C650" s="1">
        <v>46021.576990740738</v>
      </c>
      <c r="D650" s="1">
        <v>46021.579664351855</v>
      </c>
      <c r="E650" t="s">
        <v>35</v>
      </c>
      <c r="F650" t="s">
        <v>22</v>
      </c>
      <c r="G650" t="e">
        <f>+_xlfn.XLOOKUP(tbl_encuesta[[#This Row],[Me siento a gusto con el ambiente de trabajo que se genera en mi equipo.]],#REF!,#REF!)</f>
        <v>#REF!</v>
      </c>
      <c r="H650" t="s">
        <v>22</v>
      </c>
      <c r="I650" t="e">
        <f>+_xlfn.XLOOKUP(tbl_encuesta[[#This Row],[Me siento motivado a dar lo mejor de mí y hacer un buen trabajo]],#REF!,#REF!)</f>
        <v>#REF!</v>
      </c>
      <c r="J650" t="s">
        <v>22</v>
      </c>
      <c r="K650" t="e">
        <f>+_xlfn.XLOOKUP(tbl_encuesta[[#This Row],[Mi supervisor o jefe directo me otorga el soporte que necesito para afrontar cualquier problema que afecte mi trabajo]],#REF!,#REF!)</f>
        <v>#REF!</v>
      </c>
      <c r="L650" t="s">
        <v>22</v>
      </c>
      <c r="M650" t="e">
        <f>+_xlfn.XLOOKUP(tbl_encuesta[[#This Row],[Mi supervisor o jefe directo fomenta que nos apoyemos entre todos en el equipo]],#REF!,#REF!)</f>
        <v>#REF!</v>
      </c>
      <c r="N650" t="s">
        <v>22</v>
      </c>
      <c r="O650" t="e">
        <f>+_xlfn.XLOOKUP(tbl_encuesta[[#This Row],[Siento que mi trabajo es reconocido por mi supervisor o jefe directo.]],#REF!,#REF!)</f>
        <v>#REF!</v>
      </c>
      <c r="P650" t="s">
        <v>67</v>
      </c>
      <c r="Q650" t="e">
        <f xml:space="preserve">
_xlfn.XLOOKUP(
tbl_encuesta[[#This Row],[Mi supervisor o jefe directo nos brinda charlas de 5 minutos y comunica las novedades relevantes a mi puesto de trabajo]],#REF!,#REF!
)</f>
        <v>#REF!</v>
      </c>
      <c r="R650" t="s">
        <v>17</v>
      </c>
      <c r="S650" t="s">
        <v>18</v>
      </c>
      <c r="W650" t="s">
        <v>25</v>
      </c>
      <c r="X650" t="s">
        <v>22</v>
      </c>
      <c r="Y650" t="e">
        <f>+_xlfn.XLOOKUP(tbl_encuesta[[#This Row],[Considero a Limtek como un buen lugar para trabajar]],#REF!,#REF!)</f>
        <v>#REF!</v>
      </c>
      <c r="Z650" t="s">
        <v>1490</v>
      </c>
      <c r="AA650" t="s">
        <v>577</v>
      </c>
      <c r="AB650" t="s">
        <v>38</v>
      </c>
      <c r="AC650" s="3" t="s">
        <v>3716</v>
      </c>
      <c r="AD650" s="3" t="s">
        <v>3716</v>
      </c>
      <c r="AE650" t="s">
        <v>69</v>
      </c>
    </row>
    <row r="651" spans="1:31" x14ac:dyDescent="0.25">
      <c r="A651">
        <v>119028403136</v>
      </c>
      <c r="B651">
        <v>462598545</v>
      </c>
      <c r="C651" s="1">
        <v>46021.560949074075</v>
      </c>
      <c r="D651" s="1">
        <v>46021.579664351855</v>
      </c>
      <c r="E651" t="s">
        <v>880</v>
      </c>
      <c r="F651" t="s">
        <v>23</v>
      </c>
      <c r="G651" t="e">
        <f>+_xlfn.XLOOKUP(tbl_encuesta[[#This Row],[Me siento a gusto con el ambiente de trabajo que se genera en mi equipo.]],#REF!,#REF!)</f>
        <v>#REF!</v>
      </c>
      <c r="H651" t="s">
        <v>23</v>
      </c>
      <c r="I651" t="e">
        <f>+_xlfn.XLOOKUP(tbl_encuesta[[#This Row],[Me siento motivado a dar lo mejor de mí y hacer un buen trabajo]],#REF!,#REF!)</f>
        <v>#REF!</v>
      </c>
      <c r="J651" t="s">
        <v>23</v>
      </c>
      <c r="K651" t="e">
        <f>+_xlfn.XLOOKUP(tbl_encuesta[[#This Row],[Mi supervisor o jefe directo me otorga el soporte que necesito para afrontar cualquier problema que afecte mi trabajo]],#REF!,#REF!)</f>
        <v>#REF!</v>
      </c>
      <c r="L651" t="s">
        <v>23</v>
      </c>
      <c r="M651" t="e">
        <f>+_xlfn.XLOOKUP(tbl_encuesta[[#This Row],[Mi supervisor o jefe directo fomenta que nos apoyemos entre todos en el equipo]],#REF!,#REF!)</f>
        <v>#REF!</v>
      </c>
      <c r="N651" t="s">
        <v>23</v>
      </c>
      <c r="O651" t="e">
        <f>+_xlfn.XLOOKUP(tbl_encuesta[[#This Row],[Siento que mi trabajo es reconocido por mi supervisor o jefe directo.]],#REF!,#REF!)</f>
        <v>#REF!</v>
      </c>
      <c r="P651" t="s">
        <v>31</v>
      </c>
      <c r="Q651" t="e">
        <f xml:space="preserve">
_xlfn.XLOOKUP(
tbl_encuesta[[#This Row],[Mi supervisor o jefe directo nos brinda charlas de 5 minutos y comunica las novedades relevantes a mi puesto de trabajo]],#REF!,#REF!
)</f>
        <v>#REF!</v>
      </c>
      <c r="R651" t="s">
        <v>17</v>
      </c>
      <c r="T651" t="s">
        <v>19</v>
      </c>
      <c r="W651" t="s">
        <v>25</v>
      </c>
      <c r="X651" t="s">
        <v>23</v>
      </c>
      <c r="Y651" t="e">
        <f>+_xlfn.XLOOKUP(tbl_encuesta[[#This Row],[Considero a Limtek como un buen lugar para trabajar]],#REF!,#REF!)</f>
        <v>#REF!</v>
      </c>
      <c r="Z651" t="s">
        <v>1696</v>
      </c>
      <c r="AA651" t="s">
        <v>1697</v>
      </c>
      <c r="AB651" t="s">
        <v>883</v>
      </c>
      <c r="AC651" s="3" t="s">
        <v>3716</v>
      </c>
      <c r="AD651" s="3" t="s">
        <v>3719</v>
      </c>
      <c r="AE651" t="s">
        <v>69</v>
      </c>
    </row>
    <row r="652" spans="1:31" x14ac:dyDescent="0.25">
      <c r="A652">
        <v>119028402790</v>
      </c>
      <c r="B652">
        <v>462598545</v>
      </c>
      <c r="C652" s="1">
        <v>46021.576122685183</v>
      </c>
      <c r="D652" s="1">
        <v>46021.579143518517</v>
      </c>
      <c r="E652" t="s">
        <v>1698</v>
      </c>
      <c r="F652" t="s">
        <v>22</v>
      </c>
      <c r="G652" t="e">
        <f>+_xlfn.XLOOKUP(tbl_encuesta[[#This Row],[Me siento a gusto con el ambiente de trabajo que se genera en mi equipo.]],#REF!,#REF!)</f>
        <v>#REF!</v>
      </c>
      <c r="H652" t="s">
        <v>22</v>
      </c>
      <c r="I652" t="e">
        <f>+_xlfn.XLOOKUP(tbl_encuesta[[#This Row],[Me siento motivado a dar lo mejor de mí y hacer un buen trabajo]],#REF!,#REF!)</f>
        <v>#REF!</v>
      </c>
      <c r="J652" t="s">
        <v>97</v>
      </c>
      <c r="K652" t="e">
        <f>+_xlfn.XLOOKUP(tbl_encuesta[[#This Row],[Mi supervisor o jefe directo me otorga el soporte que necesito para afrontar cualquier problema que afecte mi trabajo]],#REF!,#REF!)</f>
        <v>#REF!</v>
      </c>
      <c r="L652" t="s">
        <v>22</v>
      </c>
      <c r="M652" t="e">
        <f>+_xlfn.XLOOKUP(tbl_encuesta[[#This Row],[Mi supervisor o jefe directo fomenta que nos apoyemos entre todos en el equipo]],#REF!,#REF!)</f>
        <v>#REF!</v>
      </c>
      <c r="N652" t="s">
        <v>22</v>
      </c>
      <c r="O652" t="e">
        <f>+_xlfn.XLOOKUP(tbl_encuesta[[#This Row],[Siento que mi trabajo es reconocido por mi supervisor o jefe directo.]],#REF!,#REF!)</f>
        <v>#REF!</v>
      </c>
      <c r="P652" t="s">
        <v>67</v>
      </c>
      <c r="Q652" t="e">
        <f xml:space="preserve">
_xlfn.XLOOKUP(
tbl_encuesta[[#This Row],[Mi supervisor o jefe directo nos brinda charlas de 5 minutos y comunica las novedades relevantes a mi puesto de trabajo]],#REF!,#REF!
)</f>
        <v>#REF!</v>
      </c>
      <c r="R652" t="s">
        <v>17</v>
      </c>
      <c r="W652" t="s">
        <v>25</v>
      </c>
      <c r="X652" t="s">
        <v>22</v>
      </c>
      <c r="Y652" t="e">
        <f>+_xlfn.XLOOKUP(tbl_encuesta[[#This Row],[Considero a Limtek como un buen lugar para trabajar]],#REF!,#REF!)</f>
        <v>#REF!</v>
      </c>
      <c r="Z652" t="s">
        <v>1699</v>
      </c>
      <c r="AA652" t="s">
        <v>1700</v>
      </c>
      <c r="AB652" t="s">
        <v>28</v>
      </c>
      <c r="AC652" t="s">
        <v>1867</v>
      </c>
      <c r="AD652" s="3" t="s">
        <v>3757</v>
      </c>
      <c r="AE652" t="s">
        <v>34</v>
      </c>
    </row>
    <row r="653" spans="1:31" x14ac:dyDescent="0.25">
      <c r="A653">
        <v>119028402723</v>
      </c>
      <c r="B653">
        <v>462598545</v>
      </c>
      <c r="C653" s="1">
        <v>46021.570347222223</v>
      </c>
      <c r="D653" s="1">
        <v>46021.579039351855</v>
      </c>
      <c r="E653" t="s">
        <v>880</v>
      </c>
      <c r="F653" t="s">
        <v>23</v>
      </c>
      <c r="G653" t="e">
        <f>+_xlfn.XLOOKUP(tbl_encuesta[[#This Row],[Me siento a gusto con el ambiente de trabajo que se genera en mi equipo.]],#REF!,#REF!)</f>
        <v>#REF!</v>
      </c>
      <c r="H653" t="s">
        <v>23</v>
      </c>
      <c r="I653" t="e">
        <f>+_xlfn.XLOOKUP(tbl_encuesta[[#This Row],[Me siento motivado a dar lo mejor de mí y hacer un buen trabajo]],#REF!,#REF!)</f>
        <v>#REF!</v>
      </c>
      <c r="J653" t="s">
        <v>23</v>
      </c>
      <c r="K653" t="e">
        <f>+_xlfn.XLOOKUP(tbl_encuesta[[#This Row],[Mi supervisor o jefe directo me otorga el soporte que necesito para afrontar cualquier problema que afecte mi trabajo]],#REF!,#REF!)</f>
        <v>#REF!</v>
      </c>
      <c r="L653" t="s">
        <v>23</v>
      </c>
      <c r="M653" t="e">
        <f>+_xlfn.XLOOKUP(tbl_encuesta[[#This Row],[Mi supervisor o jefe directo fomenta que nos apoyemos entre todos en el equipo]],#REF!,#REF!)</f>
        <v>#REF!</v>
      </c>
      <c r="N653" t="s">
        <v>23</v>
      </c>
      <c r="O653" t="e">
        <f>+_xlfn.XLOOKUP(tbl_encuesta[[#This Row],[Siento que mi trabajo es reconocido por mi supervisor o jefe directo.]],#REF!,#REF!)</f>
        <v>#REF!</v>
      </c>
      <c r="P653" t="s">
        <v>67</v>
      </c>
      <c r="Q653" t="e">
        <f xml:space="preserve">
_xlfn.XLOOKUP(
tbl_encuesta[[#This Row],[Mi supervisor o jefe directo nos brinda charlas de 5 minutos y comunica las novedades relevantes a mi puesto de trabajo]],#REF!,#REF!
)</f>
        <v>#REF!</v>
      </c>
      <c r="R653" t="s">
        <v>17</v>
      </c>
      <c r="T653" t="s">
        <v>19</v>
      </c>
      <c r="W653" t="s">
        <v>25</v>
      </c>
      <c r="X653" t="s">
        <v>23</v>
      </c>
      <c r="Y653" t="e">
        <f>+_xlfn.XLOOKUP(tbl_encuesta[[#This Row],[Considero a Limtek como un buen lugar para trabajar]],#REF!,#REF!)</f>
        <v>#REF!</v>
      </c>
      <c r="Z653" t="s">
        <v>1702</v>
      </c>
      <c r="AA653" t="s">
        <v>1703</v>
      </c>
      <c r="AB653" t="s">
        <v>883</v>
      </c>
      <c r="AC653" s="3" t="s">
        <v>1867</v>
      </c>
      <c r="AD653" s="3" t="s">
        <v>3719</v>
      </c>
      <c r="AE653" t="s">
        <v>69</v>
      </c>
    </row>
    <row r="654" spans="1:31" x14ac:dyDescent="0.25">
      <c r="A654">
        <v>119028401972</v>
      </c>
      <c r="B654">
        <v>462598545</v>
      </c>
      <c r="C654" s="1">
        <v>46021.566851851851</v>
      </c>
      <c r="D654" s="1">
        <v>46021.577847222223</v>
      </c>
      <c r="E654" t="s">
        <v>1704</v>
      </c>
      <c r="F654" t="s">
        <v>23</v>
      </c>
      <c r="G654" t="e">
        <f>+_xlfn.XLOOKUP(tbl_encuesta[[#This Row],[Me siento a gusto con el ambiente de trabajo que se genera en mi equipo.]],#REF!,#REF!)</f>
        <v>#REF!</v>
      </c>
      <c r="H654" t="s">
        <v>23</v>
      </c>
      <c r="I654" t="e">
        <f>+_xlfn.XLOOKUP(tbl_encuesta[[#This Row],[Me siento motivado a dar lo mejor de mí y hacer un buen trabajo]],#REF!,#REF!)</f>
        <v>#REF!</v>
      </c>
      <c r="J654" t="s">
        <v>23</v>
      </c>
      <c r="K654" t="e">
        <f>+_xlfn.XLOOKUP(tbl_encuesta[[#This Row],[Mi supervisor o jefe directo me otorga el soporte que necesito para afrontar cualquier problema que afecte mi trabajo]],#REF!,#REF!)</f>
        <v>#REF!</v>
      </c>
      <c r="L654" t="s">
        <v>23</v>
      </c>
      <c r="M654" t="e">
        <f>+_xlfn.XLOOKUP(tbl_encuesta[[#This Row],[Mi supervisor o jefe directo fomenta que nos apoyemos entre todos en el equipo]],#REF!,#REF!)</f>
        <v>#REF!</v>
      </c>
      <c r="N654" t="s">
        <v>23</v>
      </c>
      <c r="O654" t="e">
        <f>+_xlfn.XLOOKUP(tbl_encuesta[[#This Row],[Siento que mi trabajo es reconocido por mi supervisor o jefe directo.]],#REF!,#REF!)</f>
        <v>#REF!</v>
      </c>
      <c r="P654" t="s">
        <v>31</v>
      </c>
      <c r="Q654" t="e">
        <f xml:space="preserve">
_xlfn.XLOOKUP(
tbl_encuesta[[#This Row],[Mi supervisor o jefe directo nos brinda charlas de 5 minutos y comunica las novedades relevantes a mi puesto de trabajo]],#REF!,#REF!
)</f>
        <v>#REF!</v>
      </c>
      <c r="R654" t="s">
        <v>17</v>
      </c>
      <c r="S654" t="s">
        <v>18</v>
      </c>
      <c r="W654" t="s">
        <v>25</v>
      </c>
      <c r="X654" t="s">
        <v>23</v>
      </c>
      <c r="Y654" t="e">
        <f>+_xlfn.XLOOKUP(tbl_encuesta[[#This Row],[Considero a Limtek como un buen lugar para trabajar]],#REF!,#REF!)</f>
        <v>#REF!</v>
      </c>
      <c r="Z654" t="s">
        <v>1705</v>
      </c>
      <c r="AA654" t="s">
        <v>1706</v>
      </c>
      <c r="AB654" t="s">
        <v>619</v>
      </c>
      <c r="AC654" t="s">
        <v>1867</v>
      </c>
      <c r="AD654" t="s">
        <v>3744</v>
      </c>
      <c r="AE654" t="s">
        <v>29</v>
      </c>
    </row>
    <row r="655" spans="1:31" x14ac:dyDescent="0.25">
      <c r="A655">
        <v>119028401904</v>
      </c>
      <c r="B655">
        <v>462598545</v>
      </c>
      <c r="C655" s="1">
        <v>46021.569895833331</v>
      </c>
      <c r="D655" s="1">
        <v>46021.577743055554</v>
      </c>
      <c r="E655" t="s">
        <v>1707</v>
      </c>
      <c r="F655" t="s">
        <v>23</v>
      </c>
      <c r="G655" t="e">
        <f>+_xlfn.XLOOKUP(tbl_encuesta[[#This Row],[Me siento a gusto con el ambiente de trabajo que se genera en mi equipo.]],#REF!,#REF!)</f>
        <v>#REF!</v>
      </c>
      <c r="H655" t="s">
        <v>23</v>
      </c>
      <c r="I655" t="e">
        <f>+_xlfn.XLOOKUP(tbl_encuesta[[#This Row],[Me siento motivado a dar lo mejor de mí y hacer un buen trabajo]],#REF!,#REF!)</f>
        <v>#REF!</v>
      </c>
      <c r="J655" t="s">
        <v>22</v>
      </c>
      <c r="K655" t="e">
        <f>+_xlfn.XLOOKUP(tbl_encuesta[[#This Row],[Mi supervisor o jefe directo me otorga el soporte que necesito para afrontar cualquier problema que afecte mi trabajo]],#REF!,#REF!)</f>
        <v>#REF!</v>
      </c>
      <c r="L655" t="s">
        <v>23</v>
      </c>
      <c r="M655" t="e">
        <f>+_xlfn.XLOOKUP(tbl_encuesta[[#This Row],[Mi supervisor o jefe directo fomenta que nos apoyemos entre todos en el equipo]],#REF!,#REF!)</f>
        <v>#REF!</v>
      </c>
      <c r="N655" t="s">
        <v>22</v>
      </c>
      <c r="O655" t="e">
        <f>+_xlfn.XLOOKUP(tbl_encuesta[[#This Row],[Siento que mi trabajo es reconocido por mi supervisor o jefe directo.]],#REF!,#REF!)</f>
        <v>#REF!</v>
      </c>
      <c r="P655" t="s">
        <v>175</v>
      </c>
      <c r="Q655" t="e">
        <f xml:space="preserve">
_xlfn.XLOOKUP(
tbl_encuesta[[#This Row],[Mi supervisor o jefe directo nos brinda charlas de 5 minutos y comunica las novedades relevantes a mi puesto de trabajo]],#REF!,#REF!
)</f>
        <v>#REF!</v>
      </c>
      <c r="R655" t="s">
        <v>17</v>
      </c>
      <c r="T655" t="s">
        <v>19</v>
      </c>
      <c r="W655" t="s">
        <v>25</v>
      </c>
      <c r="X655" t="s">
        <v>23</v>
      </c>
      <c r="Y655" t="e">
        <f>+_xlfn.XLOOKUP(tbl_encuesta[[#This Row],[Considero a Limtek como un buen lugar para trabajar]],#REF!,#REF!)</f>
        <v>#REF!</v>
      </c>
      <c r="Z655" t="s">
        <v>1708</v>
      </c>
      <c r="AA655" t="s">
        <v>1709</v>
      </c>
      <c r="AB655" t="s">
        <v>619</v>
      </c>
      <c r="AC655" s="3" t="s">
        <v>1867</v>
      </c>
      <c r="AD655" s="3" t="s">
        <v>3813</v>
      </c>
      <c r="AE655" t="s">
        <v>29</v>
      </c>
    </row>
    <row r="656" spans="1:31" x14ac:dyDescent="0.25">
      <c r="A656">
        <v>119028400738</v>
      </c>
      <c r="B656">
        <v>462598545</v>
      </c>
      <c r="C656" s="1">
        <v>46021.57534722222</v>
      </c>
      <c r="D656" s="1">
        <v>46021.57603009259</v>
      </c>
      <c r="E656" t="s">
        <v>1710</v>
      </c>
      <c r="F656" t="s">
        <v>23</v>
      </c>
      <c r="G656" t="e">
        <f>+_xlfn.XLOOKUP(tbl_encuesta[[#This Row],[Me siento a gusto con el ambiente de trabajo que se genera en mi equipo.]],#REF!,#REF!)</f>
        <v>#REF!</v>
      </c>
      <c r="H656" t="s">
        <v>23</v>
      </c>
      <c r="I656" t="e">
        <f>+_xlfn.XLOOKUP(tbl_encuesta[[#This Row],[Me siento motivado a dar lo mejor de mí y hacer un buen trabajo]],#REF!,#REF!)</f>
        <v>#REF!</v>
      </c>
      <c r="J656" t="s">
        <v>23</v>
      </c>
      <c r="K656" t="e">
        <f>+_xlfn.XLOOKUP(tbl_encuesta[[#This Row],[Mi supervisor o jefe directo me otorga el soporte que necesito para afrontar cualquier problema que afecte mi trabajo]],#REF!,#REF!)</f>
        <v>#REF!</v>
      </c>
      <c r="L656" t="s">
        <v>23</v>
      </c>
      <c r="M656" t="e">
        <f>+_xlfn.XLOOKUP(tbl_encuesta[[#This Row],[Mi supervisor o jefe directo fomenta que nos apoyemos entre todos en el equipo]],#REF!,#REF!)</f>
        <v>#REF!</v>
      </c>
      <c r="N656" t="s">
        <v>23</v>
      </c>
      <c r="O656" t="e">
        <f>+_xlfn.XLOOKUP(tbl_encuesta[[#This Row],[Siento que mi trabajo es reconocido por mi supervisor o jefe directo.]],#REF!,#REF!)</f>
        <v>#REF!</v>
      </c>
      <c r="P656" t="s">
        <v>31</v>
      </c>
      <c r="Q656" t="e">
        <f xml:space="preserve">
_xlfn.XLOOKUP(
tbl_encuesta[[#This Row],[Mi supervisor o jefe directo nos brinda charlas de 5 minutos y comunica las novedades relevantes a mi puesto de trabajo]],#REF!,#REF!
)</f>
        <v>#REF!</v>
      </c>
      <c r="S656" t="s">
        <v>18</v>
      </c>
      <c r="W656" t="s">
        <v>25</v>
      </c>
      <c r="X656" t="s">
        <v>23</v>
      </c>
      <c r="Y656" t="e">
        <f>+_xlfn.XLOOKUP(tbl_encuesta[[#This Row],[Considero a Limtek como un buen lugar para trabajar]],#REF!,#REF!)</f>
        <v>#REF!</v>
      </c>
      <c r="Z656" t="s">
        <v>1556</v>
      </c>
      <c r="AA656" t="s">
        <v>1711</v>
      </c>
      <c r="AB656" t="s">
        <v>1491</v>
      </c>
      <c r="AC656" t="s">
        <v>1867</v>
      </c>
      <c r="AD656" t="s">
        <v>83</v>
      </c>
      <c r="AE656" t="s">
        <v>55</v>
      </c>
    </row>
    <row r="657" spans="1:31" x14ac:dyDescent="0.25">
      <c r="A657">
        <v>119028400263</v>
      </c>
      <c r="B657">
        <v>462598545</v>
      </c>
      <c r="C657" s="1">
        <v>46021.571006944447</v>
      </c>
      <c r="D657" s="1">
        <v>46021.575300925928</v>
      </c>
      <c r="E657" t="s">
        <v>1587</v>
      </c>
      <c r="F657" t="s">
        <v>23</v>
      </c>
      <c r="G657" t="e">
        <f>+_xlfn.XLOOKUP(tbl_encuesta[[#This Row],[Me siento a gusto con el ambiente de trabajo que se genera en mi equipo.]],#REF!,#REF!)</f>
        <v>#REF!</v>
      </c>
      <c r="H657" t="s">
        <v>23</v>
      </c>
      <c r="I657" t="e">
        <f>+_xlfn.XLOOKUP(tbl_encuesta[[#This Row],[Me siento motivado a dar lo mejor de mí y hacer un buen trabajo]],#REF!,#REF!)</f>
        <v>#REF!</v>
      </c>
      <c r="J657" t="s">
        <v>23</v>
      </c>
      <c r="K657" t="e">
        <f>+_xlfn.XLOOKUP(tbl_encuesta[[#This Row],[Mi supervisor o jefe directo me otorga el soporte que necesito para afrontar cualquier problema que afecte mi trabajo]],#REF!,#REF!)</f>
        <v>#REF!</v>
      </c>
      <c r="L657" t="s">
        <v>23</v>
      </c>
      <c r="M657" t="e">
        <f>+_xlfn.XLOOKUP(tbl_encuesta[[#This Row],[Mi supervisor o jefe directo fomenta que nos apoyemos entre todos en el equipo]],#REF!,#REF!)</f>
        <v>#REF!</v>
      </c>
      <c r="N657" t="s">
        <v>23</v>
      </c>
      <c r="O657" t="e">
        <f>+_xlfn.XLOOKUP(tbl_encuesta[[#This Row],[Siento que mi trabajo es reconocido por mi supervisor o jefe directo.]],#REF!,#REF!)</f>
        <v>#REF!</v>
      </c>
      <c r="P657" t="s">
        <v>31</v>
      </c>
      <c r="Q657" t="e">
        <f xml:space="preserve">
_xlfn.XLOOKUP(
tbl_encuesta[[#This Row],[Mi supervisor o jefe directo nos brinda charlas de 5 minutos y comunica las novedades relevantes a mi puesto de trabajo]],#REF!,#REF!
)</f>
        <v>#REF!</v>
      </c>
      <c r="R657" t="s">
        <v>17</v>
      </c>
      <c r="T657" t="s">
        <v>19</v>
      </c>
      <c r="W657" t="s">
        <v>25</v>
      </c>
      <c r="X657" t="s">
        <v>23</v>
      </c>
      <c r="Y657" t="e">
        <f>+_xlfn.XLOOKUP(tbl_encuesta[[#This Row],[Considero a Limtek como un buen lugar para trabajar]],#REF!,#REF!)</f>
        <v>#REF!</v>
      </c>
      <c r="Z657" t="s">
        <v>504</v>
      </c>
      <c r="AA657" t="s">
        <v>1712</v>
      </c>
      <c r="AB657" t="s">
        <v>619</v>
      </c>
      <c r="AC657" s="3" t="s">
        <v>1867</v>
      </c>
      <c r="AD657" s="3" t="s">
        <v>3728</v>
      </c>
      <c r="AE657" t="s">
        <v>29</v>
      </c>
    </row>
    <row r="658" spans="1:31" x14ac:dyDescent="0.25">
      <c r="A658">
        <v>119028400067</v>
      </c>
      <c r="B658">
        <v>462598545</v>
      </c>
      <c r="C658" s="1">
        <v>46021.567465277774</v>
      </c>
      <c r="D658" s="1">
        <v>46021.575057870374</v>
      </c>
      <c r="E658" t="s">
        <v>1710</v>
      </c>
      <c r="F658" t="s">
        <v>23</v>
      </c>
      <c r="G658" t="e">
        <f>+_xlfn.XLOOKUP(tbl_encuesta[[#This Row],[Me siento a gusto con el ambiente de trabajo que se genera en mi equipo.]],#REF!,#REF!)</f>
        <v>#REF!</v>
      </c>
      <c r="H658" t="s">
        <v>23</v>
      </c>
      <c r="I658" t="e">
        <f>+_xlfn.XLOOKUP(tbl_encuesta[[#This Row],[Me siento motivado a dar lo mejor de mí y hacer un buen trabajo]],#REF!,#REF!)</f>
        <v>#REF!</v>
      </c>
      <c r="J658" t="s">
        <v>22</v>
      </c>
      <c r="K658" t="e">
        <f>+_xlfn.XLOOKUP(tbl_encuesta[[#This Row],[Mi supervisor o jefe directo me otorga el soporte que necesito para afrontar cualquier problema que afecte mi trabajo]],#REF!,#REF!)</f>
        <v>#REF!</v>
      </c>
      <c r="L658" t="s">
        <v>23</v>
      </c>
      <c r="M658" t="e">
        <f>+_xlfn.XLOOKUP(tbl_encuesta[[#This Row],[Mi supervisor o jefe directo fomenta que nos apoyemos entre todos en el equipo]],#REF!,#REF!)</f>
        <v>#REF!</v>
      </c>
      <c r="N658" t="s">
        <v>23</v>
      </c>
      <c r="O658" t="e">
        <f>+_xlfn.XLOOKUP(tbl_encuesta[[#This Row],[Siento que mi trabajo es reconocido por mi supervisor o jefe directo.]],#REF!,#REF!)</f>
        <v>#REF!</v>
      </c>
      <c r="P658" t="s">
        <v>31</v>
      </c>
      <c r="Q658" t="e">
        <f xml:space="preserve">
_xlfn.XLOOKUP(
tbl_encuesta[[#This Row],[Mi supervisor o jefe directo nos brinda charlas de 5 minutos y comunica las novedades relevantes a mi puesto de trabajo]],#REF!,#REF!
)</f>
        <v>#REF!</v>
      </c>
      <c r="S658" t="s">
        <v>18</v>
      </c>
      <c r="W658" t="s">
        <v>25</v>
      </c>
      <c r="X658" t="s">
        <v>23</v>
      </c>
      <c r="Y658" t="e">
        <f>+_xlfn.XLOOKUP(tbl_encuesta[[#This Row],[Considero a Limtek como un buen lugar para trabajar]],#REF!,#REF!)</f>
        <v>#REF!</v>
      </c>
      <c r="Z658" t="s">
        <v>1556</v>
      </c>
      <c r="AA658" t="s">
        <v>1711</v>
      </c>
      <c r="AB658" t="s">
        <v>1491</v>
      </c>
      <c r="AC658" t="s">
        <v>1867</v>
      </c>
      <c r="AD658" t="s">
        <v>83</v>
      </c>
      <c r="AE658" t="s">
        <v>55</v>
      </c>
    </row>
    <row r="659" spans="1:31" x14ac:dyDescent="0.25">
      <c r="A659">
        <v>119028399851</v>
      </c>
      <c r="B659">
        <v>462598545</v>
      </c>
      <c r="C659" s="1">
        <v>46021.559282407405</v>
      </c>
      <c r="D659" s="1">
        <v>46021.574756944443</v>
      </c>
      <c r="E659" t="s">
        <v>1713</v>
      </c>
      <c r="F659" t="s">
        <v>22</v>
      </c>
      <c r="G659" t="e">
        <f>+_xlfn.XLOOKUP(tbl_encuesta[[#This Row],[Me siento a gusto con el ambiente de trabajo que se genera en mi equipo.]],#REF!,#REF!)</f>
        <v>#REF!</v>
      </c>
      <c r="H659" t="s">
        <v>23</v>
      </c>
      <c r="I659" t="e">
        <f>+_xlfn.XLOOKUP(tbl_encuesta[[#This Row],[Me siento motivado a dar lo mejor de mí y hacer un buen trabajo]],#REF!,#REF!)</f>
        <v>#REF!</v>
      </c>
      <c r="J659" t="s">
        <v>22</v>
      </c>
      <c r="K659" t="e">
        <f>+_xlfn.XLOOKUP(tbl_encuesta[[#This Row],[Mi supervisor o jefe directo me otorga el soporte que necesito para afrontar cualquier problema que afecte mi trabajo]],#REF!,#REF!)</f>
        <v>#REF!</v>
      </c>
      <c r="L659" t="s">
        <v>22</v>
      </c>
      <c r="M659" t="e">
        <f>+_xlfn.XLOOKUP(tbl_encuesta[[#This Row],[Mi supervisor o jefe directo fomenta que nos apoyemos entre todos en el equipo]],#REF!,#REF!)</f>
        <v>#REF!</v>
      </c>
      <c r="N659" t="s">
        <v>22</v>
      </c>
      <c r="O659" t="e">
        <f>+_xlfn.XLOOKUP(tbl_encuesta[[#This Row],[Siento que mi trabajo es reconocido por mi supervisor o jefe directo.]],#REF!,#REF!)</f>
        <v>#REF!</v>
      </c>
      <c r="P659" t="s">
        <v>67</v>
      </c>
      <c r="Q659" t="e">
        <f xml:space="preserve">
_xlfn.XLOOKUP(
tbl_encuesta[[#This Row],[Mi supervisor o jefe directo nos brinda charlas de 5 minutos y comunica las novedades relevantes a mi puesto de trabajo]],#REF!,#REF!
)</f>
        <v>#REF!</v>
      </c>
      <c r="R659" t="s">
        <v>17</v>
      </c>
      <c r="S659" t="s">
        <v>18</v>
      </c>
      <c r="W659" t="s">
        <v>25</v>
      </c>
      <c r="X659" t="s">
        <v>23</v>
      </c>
      <c r="Y659" t="e">
        <f>+_xlfn.XLOOKUP(tbl_encuesta[[#This Row],[Considero a Limtek como un buen lugar para trabajar]],#REF!,#REF!)</f>
        <v>#REF!</v>
      </c>
      <c r="Z659" t="s">
        <v>276</v>
      </c>
      <c r="AA659" t="s">
        <v>1714</v>
      </c>
      <c r="AB659" t="s">
        <v>38</v>
      </c>
      <c r="AC659" s="3" t="s">
        <v>1867</v>
      </c>
      <c r="AD659" s="3" t="s">
        <v>3716</v>
      </c>
      <c r="AE659" t="s">
        <v>69</v>
      </c>
    </row>
    <row r="660" spans="1:31" x14ac:dyDescent="0.25">
      <c r="A660">
        <v>119028398376</v>
      </c>
      <c r="B660">
        <v>462598545</v>
      </c>
      <c r="C660" s="1">
        <v>46021.560879629629</v>
      </c>
      <c r="D660" s="1">
        <v>46021.572604166664</v>
      </c>
      <c r="E660" t="s">
        <v>1715</v>
      </c>
      <c r="F660" t="s">
        <v>22</v>
      </c>
      <c r="G660" t="e">
        <f>+_xlfn.XLOOKUP(tbl_encuesta[[#This Row],[Me siento a gusto con el ambiente de trabajo que se genera en mi equipo.]],#REF!,#REF!)</f>
        <v>#REF!</v>
      </c>
      <c r="H660" t="s">
        <v>22</v>
      </c>
      <c r="I660" t="e">
        <f>+_xlfn.XLOOKUP(tbl_encuesta[[#This Row],[Me siento motivado a dar lo mejor de mí y hacer un buen trabajo]],#REF!,#REF!)</f>
        <v>#REF!</v>
      </c>
      <c r="J660" t="s">
        <v>22</v>
      </c>
      <c r="K660" t="e">
        <f>+_xlfn.XLOOKUP(tbl_encuesta[[#This Row],[Mi supervisor o jefe directo me otorga el soporte que necesito para afrontar cualquier problema que afecte mi trabajo]],#REF!,#REF!)</f>
        <v>#REF!</v>
      </c>
      <c r="L660" t="s">
        <v>23</v>
      </c>
      <c r="M660" t="e">
        <f>+_xlfn.XLOOKUP(tbl_encuesta[[#This Row],[Mi supervisor o jefe directo fomenta que nos apoyemos entre todos en el equipo]],#REF!,#REF!)</f>
        <v>#REF!</v>
      </c>
      <c r="N660" t="s">
        <v>23</v>
      </c>
      <c r="O660" t="e">
        <f>+_xlfn.XLOOKUP(tbl_encuesta[[#This Row],[Siento que mi trabajo es reconocido por mi supervisor o jefe directo.]],#REF!,#REF!)</f>
        <v>#REF!</v>
      </c>
      <c r="P660" t="s">
        <v>67</v>
      </c>
      <c r="Q660" t="e">
        <f xml:space="preserve">
_xlfn.XLOOKUP(
tbl_encuesta[[#This Row],[Mi supervisor o jefe directo nos brinda charlas de 5 minutos y comunica las novedades relevantes a mi puesto de trabajo]],#REF!,#REF!
)</f>
        <v>#REF!</v>
      </c>
      <c r="R660" t="s">
        <v>17</v>
      </c>
      <c r="S660" t="s">
        <v>18</v>
      </c>
      <c r="W660" t="s">
        <v>25</v>
      </c>
      <c r="X660" t="s">
        <v>23</v>
      </c>
      <c r="Y660" t="e">
        <f>+_xlfn.XLOOKUP(tbl_encuesta[[#This Row],[Considero a Limtek como un buen lugar para trabajar]],#REF!,#REF!)</f>
        <v>#REF!</v>
      </c>
      <c r="Z660" t="s">
        <v>1716</v>
      </c>
      <c r="AA660" t="s">
        <v>1717</v>
      </c>
      <c r="AB660" t="s">
        <v>619</v>
      </c>
      <c r="AC660" s="3" t="s">
        <v>1867</v>
      </c>
      <c r="AD660" s="3" t="s">
        <v>3748</v>
      </c>
      <c r="AE660" t="s">
        <v>34</v>
      </c>
    </row>
    <row r="661" spans="1:31" x14ac:dyDescent="0.25">
      <c r="A661">
        <v>119028398296</v>
      </c>
      <c r="B661">
        <v>462598545</v>
      </c>
      <c r="C661" s="1">
        <v>46021.570393518516</v>
      </c>
      <c r="D661" s="1">
        <v>46021.572476851848</v>
      </c>
      <c r="E661" t="s">
        <v>1718</v>
      </c>
      <c r="F661" t="s">
        <v>23</v>
      </c>
      <c r="G661" t="e">
        <f>+_xlfn.XLOOKUP(tbl_encuesta[[#This Row],[Me siento a gusto con el ambiente de trabajo que se genera en mi equipo.]],#REF!,#REF!)</f>
        <v>#REF!</v>
      </c>
      <c r="H661" t="s">
        <v>23</v>
      </c>
      <c r="I661" t="e">
        <f>+_xlfn.XLOOKUP(tbl_encuesta[[#This Row],[Me siento motivado a dar lo mejor de mí y hacer un buen trabajo]],#REF!,#REF!)</f>
        <v>#REF!</v>
      </c>
      <c r="J661" t="s">
        <v>23</v>
      </c>
      <c r="K661" t="e">
        <f>+_xlfn.XLOOKUP(tbl_encuesta[[#This Row],[Mi supervisor o jefe directo me otorga el soporte que necesito para afrontar cualquier problema que afecte mi trabajo]],#REF!,#REF!)</f>
        <v>#REF!</v>
      </c>
      <c r="L661" t="s">
        <v>23</v>
      </c>
      <c r="M661" t="e">
        <f>+_xlfn.XLOOKUP(tbl_encuesta[[#This Row],[Mi supervisor o jefe directo fomenta que nos apoyemos entre todos en el equipo]],#REF!,#REF!)</f>
        <v>#REF!</v>
      </c>
      <c r="N661" t="s">
        <v>23</v>
      </c>
      <c r="O661" t="e">
        <f>+_xlfn.XLOOKUP(tbl_encuesta[[#This Row],[Siento que mi trabajo es reconocido por mi supervisor o jefe directo.]],#REF!,#REF!)</f>
        <v>#REF!</v>
      </c>
      <c r="P661" t="s">
        <v>31</v>
      </c>
      <c r="Q661" t="e">
        <f xml:space="preserve">
_xlfn.XLOOKUP(
tbl_encuesta[[#This Row],[Mi supervisor o jefe directo nos brinda charlas de 5 minutos y comunica las novedades relevantes a mi puesto de trabajo]],#REF!,#REF!
)</f>
        <v>#REF!</v>
      </c>
      <c r="R661" t="s">
        <v>17</v>
      </c>
      <c r="W661" t="s">
        <v>25</v>
      </c>
      <c r="X661" t="s">
        <v>23</v>
      </c>
      <c r="Y661" t="e">
        <f>+_xlfn.XLOOKUP(tbl_encuesta[[#This Row],[Considero a Limtek como un buen lugar para trabajar]],#REF!,#REF!)</f>
        <v>#REF!</v>
      </c>
      <c r="Z661" t="s">
        <v>1719</v>
      </c>
      <c r="AA661" t="s">
        <v>54</v>
      </c>
      <c r="AB661" t="s">
        <v>883</v>
      </c>
      <c r="AC661" t="s">
        <v>1867</v>
      </c>
      <c r="AD661" t="s">
        <v>966</v>
      </c>
      <c r="AE661" t="s">
        <v>69</v>
      </c>
    </row>
    <row r="662" spans="1:31" x14ac:dyDescent="0.25">
      <c r="A662">
        <v>119028397805</v>
      </c>
      <c r="B662">
        <v>462598545</v>
      </c>
      <c r="C662" s="1">
        <v>46021.567511574074</v>
      </c>
      <c r="D662" s="1">
        <v>46021.571747685186</v>
      </c>
      <c r="E662" t="s">
        <v>1587</v>
      </c>
      <c r="F662" t="s">
        <v>23</v>
      </c>
      <c r="G662" t="e">
        <f>+_xlfn.XLOOKUP(tbl_encuesta[[#This Row],[Me siento a gusto con el ambiente de trabajo que se genera en mi equipo.]],#REF!,#REF!)</f>
        <v>#REF!</v>
      </c>
      <c r="H662" t="s">
        <v>23</v>
      </c>
      <c r="I662" t="e">
        <f>+_xlfn.XLOOKUP(tbl_encuesta[[#This Row],[Me siento motivado a dar lo mejor de mí y hacer un buen trabajo]],#REF!,#REF!)</f>
        <v>#REF!</v>
      </c>
      <c r="J662" t="s">
        <v>23</v>
      </c>
      <c r="K662" t="e">
        <f>+_xlfn.XLOOKUP(tbl_encuesta[[#This Row],[Mi supervisor o jefe directo me otorga el soporte que necesito para afrontar cualquier problema que afecte mi trabajo]],#REF!,#REF!)</f>
        <v>#REF!</v>
      </c>
      <c r="L662" t="s">
        <v>23</v>
      </c>
      <c r="M662" t="e">
        <f>+_xlfn.XLOOKUP(tbl_encuesta[[#This Row],[Mi supervisor o jefe directo fomenta que nos apoyemos entre todos en el equipo]],#REF!,#REF!)</f>
        <v>#REF!</v>
      </c>
      <c r="N662" t="s">
        <v>23</v>
      </c>
      <c r="O662" t="e">
        <f>+_xlfn.XLOOKUP(tbl_encuesta[[#This Row],[Siento que mi trabajo es reconocido por mi supervisor o jefe directo.]],#REF!,#REF!)</f>
        <v>#REF!</v>
      </c>
      <c r="P662" t="s">
        <v>67</v>
      </c>
      <c r="Q662" t="e">
        <f xml:space="preserve">
_xlfn.XLOOKUP(
tbl_encuesta[[#This Row],[Mi supervisor o jefe directo nos brinda charlas de 5 minutos y comunica las novedades relevantes a mi puesto de trabajo]],#REF!,#REF!
)</f>
        <v>#REF!</v>
      </c>
      <c r="R662" t="s">
        <v>17</v>
      </c>
      <c r="W662" t="s">
        <v>25</v>
      </c>
      <c r="X662" t="s">
        <v>23</v>
      </c>
      <c r="Y662" t="e">
        <f>+_xlfn.XLOOKUP(tbl_encuesta[[#This Row],[Considero a Limtek como un buen lugar para trabajar]],#REF!,#REF!)</f>
        <v>#REF!</v>
      </c>
      <c r="Z662" t="s">
        <v>1720</v>
      </c>
      <c r="AA662" t="s">
        <v>1721</v>
      </c>
      <c r="AB662" t="s">
        <v>619</v>
      </c>
      <c r="AC662" s="3" t="s">
        <v>1867</v>
      </c>
      <c r="AD662" s="3" t="s">
        <v>3716</v>
      </c>
      <c r="AE662" t="s">
        <v>29</v>
      </c>
    </row>
    <row r="663" spans="1:31" x14ac:dyDescent="0.25">
      <c r="A663">
        <v>119028397476</v>
      </c>
      <c r="B663">
        <v>462598545</v>
      </c>
      <c r="C663" s="1">
        <v>46021.567164351851</v>
      </c>
      <c r="D663" s="1">
        <v>46021.571273148147</v>
      </c>
      <c r="E663" t="s">
        <v>1722</v>
      </c>
      <c r="F663" t="s">
        <v>43</v>
      </c>
      <c r="G663" t="e">
        <f>+_xlfn.XLOOKUP(tbl_encuesta[[#This Row],[Me siento a gusto con el ambiente de trabajo que se genera en mi equipo.]],#REF!,#REF!)</f>
        <v>#REF!</v>
      </c>
      <c r="H663" t="s">
        <v>23</v>
      </c>
      <c r="I663" t="e">
        <f>+_xlfn.XLOOKUP(tbl_encuesta[[#This Row],[Me siento motivado a dar lo mejor de mí y hacer un buen trabajo]],#REF!,#REF!)</f>
        <v>#REF!</v>
      </c>
      <c r="J663" t="s">
        <v>23</v>
      </c>
      <c r="K663" t="e">
        <f>+_xlfn.XLOOKUP(tbl_encuesta[[#This Row],[Mi supervisor o jefe directo me otorga el soporte que necesito para afrontar cualquier problema que afecte mi trabajo]],#REF!,#REF!)</f>
        <v>#REF!</v>
      </c>
      <c r="L663" t="s">
        <v>23</v>
      </c>
      <c r="M663" t="e">
        <f>+_xlfn.XLOOKUP(tbl_encuesta[[#This Row],[Mi supervisor o jefe directo fomenta que nos apoyemos entre todos en el equipo]],#REF!,#REF!)</f>
        <v>#REF!</v>
      </c>
      <c r="N663" t="s">
        <v>23</v>
      </c>
      <c r="O663" t="e">
        <f>+_xlfn.XLOOKUP(tbl_encuesta[[#This Row],[Siento que mi trabajo es reconocido por mi supervisor o jefe directo.]],#REF!,#REF!)</f>
        <v>#REF!</v>
      </c>
      <c r="P663" t="s">
        <v>31</v>
      </c>
      <c r="Q663" t="e">
        <f xml:space="preserve">
_xlfn.XLOOKUP(
tbl_encuesta[[#This Row],[Mi supervisor o jefe directo nos brinda charlas de 5 minutos y comunica las novedades relevantes a mi puesto de trabajo]],#REF!,#REF!
)</f>
        <v>#REF!</v>
      </c>
      <c r="S663" t="s">
        <v>18</v>
      </c>
      <c r="W663" t="s">
        <v>25</v>
      </c>
      <c r="X663" t="s">
        <v>23</v>
      </c>
      <c r="Y663" t="e">
        <f>+_xlfn.XLOOKUP(tbl_encuesta[[#This Row],[Considero a Limtek como un buen lugar para trabajar]],#REF!,#REF!)</f>
        <v>#REF!</v>
      </c>
      <c r="Z663" t="s">
        <v>469</v>
      </c>
      <c r="AA663" t="s">
        <v>1723</v>
      </c>
      <c r="AB663" t="s">
        <v>28</v>
      </c>
      <c r="AC663" s="3" t="s">
        <v>1867</v>
      </c>
      <c r="AD663" s="3" t="s">
        <v>3757</v>
      </c>
      <c r="AE663" t="s">
        <v>55</v>
      </c>
    </row>
    <row r="664" spans="1:31" x14ac:dyDescent="0.25">
      <c r="A664">
        <v>119028397269</v>
      </c>
      <c r="B664">
        <v>462598545</v>
      </c>
      <c r="C664" s="1">
        <v>46021.567488425928</v>
      </c>
      <c r="D664" s="1">
        <v>46021.570972222224</v>
      </c>
      <c r="E664" t="s">
        <v>1724</v>
      </c>
      <c r="F664" t="s">
        <v>23</v>
      </c>
      <c r="G664" t="e">
        <f>+_xlfn.XLOOKUP(tbl_encuesta[[#This Row],[Me siento a gusto con el ambiente de trabajo que se genera en mi equipo.]],#REF!,#REF!)</f>
        <v>#REF!</v>
      </c>
      <c r="H664" t="s">
        <v>23</v>
      </c>
      <c r="I664" t="e">
        <f>+_xlfn.XLOOKUP(tbl_encuesta[[#This Row],[Me siento motivado a dar lo mejor de mí y hacer un buen trabajo]],#REF!,#REF!)</f>
        <v>#REF!</v>
      </c>
      <c r="J664" t="s">
        <v>22</v>
      </c>
      <c r="K664" t="e">
        <f>+_xlfn.XLOOKUP(tbl_encuesta[[#This Row],[Mi supervisor o jefe directo me otorga el soporte que necesito para afrontar cualquier problema que afecte mi trabajo]],#REF!,#REF!)</f>
        <v>#REF!</v>
      </c>
      <c r="L664" t="s">
        <v>23</v>
      </c>
      <c r="M664" t="e">
        <f>+_xlfn.XLOOKUP(tbl_encuesta[[#This Row],[Mi supervisor o jefe directo fomenta que nos apoyemos entre todos en el equipo]],#REF!,#REF!)</f>
        <v>#REF!</v>
      </c>
      <c r="N664" t="s">
        <v>22</v>
      </c>
      <c r="O664" t="e">
        <f>+_xlfn.XLOOKUP(tbl_encuesta[[#This Row],[Siento que mi trabajo es reconocido por mi supervisor o jefe directo.]],#REF!,#REF!)</f>
        <v>#REF!</v>
      </c>
      <c r="P664" t="s">
        <v>31</v>
      </c>
      <c r="Q664" t="e">
        <f xml:space="preserve">
_xlfn.XLOOKUP(
tbl_encuesta[[#This Row],[Mi supervisor o jefe directo nos brinda charlas de 5 minutos y comunica las novedades relevantes a mi puesto de trabajo]],#REF!,#REF!
)</f>
        <v>#REF!</v>
      </c>
      <c r="R664" t="s">
        <v>17</v>
      </c>
      <c r="U664" t="s">
        <v>20</v>
      </c>
      <c r="W664" t="s">
        <v>25</v>
      </c>
      <c r="X664" t="s">
        <v>23</v>
      </c>
      <c r="Y664" t="e">
        <f>+_xlfn.XLOOKUP(tbl_encuesta[[#This Row],[Considero a Limtek como un buen lugar para trabajar]],#REF!,#REF!)</f>
        <v>#REF!</v>
      </c>
      <c r="Z664" t="s">
        <v>1725</v>
      </c>
      <c r="AA664" t="s">
        <v>1726</v>
      </c>
      <c r="AB664" t="s">
        <v>28</v>
      </c>
      <c r="AC664" s="3" t="s">
        <v>1867</v>
      </c>
      <c r="AD664" s="3" t="s">
        <v>3757</v>
      </c>
      <c r="AE664" t="s">
        <v>55</v>
      </c>
    </row>
    <row r="665" spans="1:31" x14ac:dyDescent="0.25">
      <c r="A665">
        <v>119028396718</v>
      </c>
      <c r="B665">
        <v>462598545</v>
      </c>
      <c r="C665" s="1">
        <v>46021.565891203703</v>
      </c>
      <c r="D665" s="1">
        <v>46021.570162037038</v>
      </c>
      <c r="E665" t="s">
        <v>1727</v>
      </c>
      <c r="F665" t="s">
        <v>23</v>
      </c>
      <c r="G665" t="e">
        <f>+_xlfn.XLOOKUP(tbl_encuesta[[#This Row],[Me siento a gusto con el ambiente de trabajo que se genera en mi equipo.]],#REF!,#REF!)</f>
        <v>#REF!</v>
      </c>
      <c r="H665" t="s">
        <v>23</v>
      </c>
      <c r="I665" t="e">
        <f>+_xlfn.XLOOKUP(tbl_encuesta[[#This Row],[Me siento motivado a dar lo mejor de mí y hacer un buen trabajo]],#REF!,#REF!)</f>
        <v>#REF!</v>
      </c>
      <c r="J665" t="s">
        <v>23</v>
      </c>
      <c r="K665" t="e">
        <f>+_xlfn.XLOOKUP(tbl_encuesta[[#This Row],[Mi supervisor o jefe directo me otorga el soporte que necesito para afrontar cualquier problema que afecte mi trabajo]],#REF!,#REF!)</f>
        <v>#REF!</v>
      </c>
      <c r="L665" t="s">
        <v>23</v>
      </c>
      <c r="M665" t="e">
        <f>+_xlfn.XLOOKUP(tbl_encuesta[[#This Row],[Mi supervisor o jefe directo fomenta que nos apoyemos entre todos en el equipo]],#REF!,#REF!)</f>
        <v>#REF!</v>
      </c>
      <c r="N665" t="s">
        <v>22</v>
      </c>
      <c r="O665" t="e">
        <f>+_xlfn.XLOOKUP(tbl_encuesta[[#This Row],[Siento que mi trabajo es reconocido por mi supervisor o jefe directo.]],#REF!,#REF!)</f>
        <v>#REF!</v>
      </c>
      <c r="P665" t="s">
        <v>31</v>
      </c>
      <c r="Q665" t="e">
        <f xml:space="preserve">
_xlfn.XLOOKUP(
tbl_encuesta[[#This Row],[Mi supervisor o jefe directo nos brinda charlas de 5 minutos y comunica las novedades relevantes a mi puesto de trabajo]],#REF!,#REF!
)</f>
        <v>#REF!</v>
      </c>
      <c r="R665" t="s">
        <v>17</v>
      </c>
      <c r="T665" t="s">
        <v>19</v>
      </c>
      <c r="W665" t="s">
        <v>25</v>
      </c>
      <c r="X665" t="s">
        <v>23</v>
      </c>
      <c r="Y665" t="e">
        <f>+_xlfn.XLOOKUP(tbl_encuesta[[#This Row],[Considero a Limtek como un buen lugar para trabajar]],#REF!,#REF!)</f>
        <v>#REF!</v>
      </c>
      <c r="Z665" t="s">
        <v>1728</v>
      </c>
      <c r="AA665" t="s">
        <v>122</v>
      </c>
      <c r="AB665" t="s">
        <v>867</v>
      </c>
      <c r="AC665" s="3" t="s">
        <v>1867</v>
      </c>
      <c r="AD665" s="3" t="s">
        <v>3683</v>
      </c>
      <c r="AE665" t="s">
        <v>55</v>
      </c>
    </row>
    <row r="666" spans="1:31" x14ac:dyDescent="0.25">
      <c r="A666">
        <v>119028396602</v>
      </c>
      <c r="B666">
        <v>462598545</v>
      </c>
      <c r="C666" s="1">
        <v>46021.563472222224</v>
      </c>
      <c r="D666" s="1">
        <v>46021.569976851853</v>
      </c>
      <c r="E666" t="s">
        <v>1729</v>
      </c>
      <c r="F666" t="s">
        <v>23</v>
      </c>
      <c r="G666" t="e">
        <f>+_xlfn.XLOOKUP(tbl_encuesta[[#This Row],[Me siento a gusto con el ambiente de trabajo que se genera en mi equipo.]],#REF!,#REF!)</f>
        <v>#REF!</v>
      </c>
      <c r="H666" t="s">
        <v>23</v>
      </c>
      <c r="I666" t="e">
        <f>+_xlfn.XLOOKUP(tbl_encuesta[[#This Row],[Me siento motivado a dar lo mejor de mí y hacer un buen trabajo]],#REF!,#REF!)</f>
        <v>#REF!</v>
      </c>
      <c r="J666" t="s">
        <v>23</v>
      </c>
      <c r="K666" t="e">
        <f>+_xlfn.XLOOKUP(tbl_encuesta[[#This Row],[Mi supervisor o jefe directo me otorga el soporte que necesito para afrontar cualquier problema que afecte mi trabajo]],#REF!,#REF!)</f>
        <v>#REF!</v>
      </c>
      <c r="L666" t="s">
        <v>23</v>
      </c>
      <c r="M666" t="e">
        <f>+_xlfn.XLOOKUP(tbl_encuesta[[#This Row],[Mi supervisor o jefe directo fomenta que nos apoyemos entre todos en el equipo]],#REF!,#REF!)</f>
        <v>#REF!</v>
      </c>
      <c r="N666" t="s">
        <v>23</v>
      </c>
      <c r="O666" t="e">
        <f>+_xlfn.XLOOKUP(tbl_encuesta[[#This Row],[Siento que mi trabajo es reconocido por mi supervisor o jefe directo.]],#REF!,#REF!)</f>
        <v>#REF!</v>
      </c>
      <c r="P666" t="s">
        <v>31</v>
      </c>
      <c r="Q666" t="e">
        <f xml:space="preserve">
_xlfn.XLOOKUP(
tbl_encuesta[[#This Row],[Mi supervisor o jefe directo nos brinda charlas de 5 minutos y comunica las novedades relevantes a mi puesto de trabajo]],#REF!,#REF!
)</f>
        <v>#REF!</v>
      </c>
      <c r="R666" t="s">
        <v>17</v>
      </c>
      <c r="S666" t="s">
        <v>18</v>
      </c>
      <c r="W666" t="s">
        <v>25</v>
      </c>
      <c r="X666" t="s">
        <v>23</v>
      </c>
      <c r="Y666" t="e">
        <f>+_xlfn.XLOOKUP(tbl_encuesta[[#This Row],[Considero a Limtek como un buen lugar para trabajar]],#REF!,#REF!)</f>
        <v>#REF!</v>
      </c>
      <c r="Z666" t="s">
        <v>1730</v>
      </c>
      <c r="AA666" t="s">
        <v>1731</v>
      </c>
      <c r="AB666" t="s">
        <v>563</v>
      </c>
      <c r="AC666" s="3" t="s">
        <v>1867</v>
      </c>
      <c r="AD666" s="3" t="s">
        <v>3716</v>
      </c>
      <c r="AE666" t="s">
        <v>29</v>
      </c>
    </row>
    <row r="667" spans="1:31" x14ac:dyDescent="0.25">
      <c r="A667">
        <v>119028395894</v>
      </c>
      <c r="B667">
        <v>462598545</v>
      </c>
      <c r="C667" s="1">
        <v>46021.565983796296</v>
      </c>
      <c r="D667" s="1">
        <v>46021.568923611114</v>
      </c>
      <c r="E667" t="s">
        <v>1732</v>
      </c>
      <c r="F667" t="s">
        <v>23</v>
      </c>
      <c r="G667" t="e">
        <f>+_xlfn.XLOOKUP(tbl_encuesta[[#This Row],[Me siento a gusto con el ambiente de trabajo que se genera en mi equipo.]],#REF!,#REF!)</f>
        <v>#REF!</v>
      </c>
      <c r="H667" t="s">
        <v>23</v>
      </c>
      <c r="I667" t="e">
        <f>+_xlfn.XLOOKUP(tbl_encuesta[[#This Row],[Me siento motivado a dar lo mejor de mí y hacer un buen trabajo]],#REF!,#REF!)</f>
        <v>#REF!</v>
      </c>
      <c r="J667" t="s">
        <v>23</v>
      </c>
      <c r="K667" t="e">
        <f>+_xlfn.XLOOKUP(tbl_encuesta[[#This Row],[Mi supervisor o jefe directo me otorga el soporte que necesito para afrontar cualquier problema que afecte mi trabajo]],#REF!,#REF!)</f>
        <v>#REF!</v>
      </c>
      <c r="L667" t="s">
        <v>23</v>
      </c>
      <c r="M667" t="e">
        <f>+_xlfn.XLOOKUP(tbl_encuesta[[#This Row],[Mi supervisor o jefe directo fomenta que nos apoyemos entre todos en el equipo]],#REF!,#REF!)</f>
        <v>#REF!</v>
      </c>
      <c r="N667" t="s">
        <v>23</v>
      </c>
      <c r="O667" t="e">
        <f>+_xlfn.XLOOKUP(tbl_encuesta[[#This Row],[Siento que mi trabajo es reconocido por mi supervisor o jefe directo.]],#REF!,#REF!)</f>
        <v>#REF!</v>
      </c>
      <c r="P667" t="s">
        <v>31</v>
      </c>
      <c r="Q667" t="e">
        <f xml:space="preserve">
_xlfn.XLOOKUP(
tbl_encuesta[[#This Row],[Mi supervisor o jefe directo nos brinda charlas de 5 minutos y comunica las novedades relevantes a mi puesto de trabajo]],#REF!,#REF!
)</f>
        <v>#REF!</v>
      </c>
      <c r="T667" t="s">
        <v>19</v>
      </c>
      <c r="W667" t="s">
        <v>25</v>
      </c>
      <c r="X667" t="s">
        <v>23</v>
      </c>
      <c r="Y667" t="e">
        <f>+_xlfn.XLOOKUP(tbl_encuesta[[#This Row],[Considero a Limtek como un buen lugar para trabajar]],#REF!,#REF!)</f>
        <v>#REF!</v>
      </c>
      <c r="Z667" t="s">
        <v>1733</v>
      </c>
      <c r="AA667" t="s">
        <v>122</v>
      </c>
      <c r="AB667" t="s">
        <v>38</v>
      </c>
      <c r="AC667" t="s">
        <v>1867</v>
      </c>
      <c r="AD667" t="s">
        <v>1734</v>
      </c>
      <c r="AE667" t="s">
        <v>69</v>
      </c>
    </row>
    <row r="668" spans="1:31" x14ac:dyDescent="0.25">
      <c r="A668">
        <v>119028394056</v>
      </c>
      <c r="B668">
        <v>462598545</v>
      </c>
      <c r="C668" s="1">
        <v>46021.561284722222</v>
      </c>
      <c r="D668" s="1">
        <v>46021.566180555557</v>
      </c>
      <c r="E668" t="s">
        <v>1735</v>
      </c>
      <c r="F668" t="s">
        <v>23</v>
      </c>
      <c r="G668" t="e">
        <f>+_xlfn.XLOOKUP(tbl_encuesta[[#This Row],[Me siento a gusto con el ambiente de trabajo que se genera en mi equipo.]],#REF!,#REF!)</f>
        <v>#REF!</v>
      </c>
      <c r="H668" t="s">
        <v>23</v>
      </c>
      <c r="I668" t="e">
        <f>+_xlfn.XLOOKUP(tbl_encuesta[[#This Row],[Me siento motivado a dar lo mejor de mí y hacer un buen trabajo]],#REF!,#REF!)</f>
        <v>#REF!</v>
      </c>
      <c r="J668" t="s">
        <v>23</v>
      </c>
      <c r="K668" t="e">
        <f>+_xlfn.XLOOKUP(tbl_encuesta[[#This Row],[Mi supervisor o jefe directo me otorga el soporte que necesito para afrontar cualquier problema que afecte mi trabajo]],#REF!,#REF!)</f>
        <v>#REF!</v>
      </c>
      <c r="L668" t="s">
        <v>23</v>
      </c>
      <c r="M668" t="e">
        <f>+_xlfn.XLOOKUP(tbl_encuesta[[#This Row],[Mi supervisor o jefe directo fomenta que nos apoyemos entre todos en el equipo]],#REF!,#REF!)</f>
        <v>#REF!</v>
      </c>
      <c r="N668" t="s">
        <v>23</v>
      </c>
      <c r="O668" t="e">
        <f>+_xlfn.XLOOKUP(tbl_encuesta[[#This Row],[Siento que mi trabajo es reconocido por mi supervisor o jefe directo.]],#REF!,#REF!)</f>
        <v>#REF!</v>
      </c>
      <c r="P668" t="s">
        <v>31</v>
      </c>
      <c r="Q668" t="e">
        <f xml:space="preserve">
_xlfn.XLOOKUP(
tbl_encuesta[[#This Row],[Mi supervisor o jefe directo nos brinda charlas de 5 minutos y comunica las novedades relevantes a mi puesto de trabajo]],#REF!,#REF!
)</f>
        <v>#REF!</v>
      </c>
      <c r="R668" t="s">
        <v>17</v>
      </c>
      <c r="W668" t="s">
        <v>25</v>
      </c>
      <c r="X668" t="s">
        <v>23</v>
      </c>
      <c r="Y668" t="e">
        <f>+_xlfn.XLOOKUP(tbl_encuesta[[#This Row],[Considero a Limtek como un buen lugar para trabajar]],#REF!,#REF!)</f>
        <v>#REF!</v>
      </c>
      <c r="Z668" t="s">
        <v>504</v>
      </c>
      <c r="AA668" t="s">
        <v>968</v>
      </c>
      <c r="AB668" t="s">
        <v>883</v>
      </c>
      <c r="AC668" s="3" t="s">
        <v>1867</v>
      </c>
      <c r="AD668" s="3" t="s">
        <v>3610</v>
      </c>
      <c r="AE668" t="s">
        <v>34</v>
      </c>
    </row>
    <row r="669" spans="1:31" x14ac:dyDescent="0.25">
      <c r="A669">
        <v>119028393835</v>
      </c>
      <c r="B669">
        <v>462598545</v>
      </c>
      <c r="C669" s="1">
        <v>46021.562824074077</v>
      </c>
      <c r="D669" s="1">
        <v>46021.565879629627</v>
      </c>
      <c r="E669" t="s">
        <v>1710</v>
      </c>
      <c r="F669" t="s">
        <v>23</v>
      </c>
      <c r="G669" t="e">
        <f>+_xlfn.XLOOKUP(tbl_encuesta[[#This Row],[Me siento a gusto con el ambiente de trabajo que se genera en mi equipo.]],#REF!,#REF!)</f>
        <v>#REF!</v>
      </c>
      <c r="H669" t="s">
        <v>23</v>
      </c>
      <c r="I669" t="e">
        <f>+_xlfn.XLOOKUP(tbl_encuesta[[#This Row],[Me siento motivado a dar lo mejor de mí y hacer un buen trabajo]],#REF!,#REF!)</f>
        <v>#REF!</v>
      </c>
      <c r="J669" t="s">
        <v>23</v>
      </c>
      <c r="K669" t="e">
        <f>+_xlfn.XLOOKUP(tbl_encuesta[[#This Row],[Mi supervisor o jefe directo me otorga el soporte que necesito para afrontar cualquier problema que afecte mi trabajo]],#REF!,#REF!)</f>
        <v>#REF!</v>
      </c>
      <c r="L669" t="s">
        <v>23</v>
      </c>
      <c r="M669" t="e">
        <f>+_xlfn.XLOOKUP(tbl_encuesta[[#This Row],[Mi supervisor o jefe directo fomenta que nos apoyemos entre todos en el equipo]],#REF!,#REF!)</f>
        <v>#REF!</v>
      </c>
      <c r="N669" t="s">
        <v>23</v>
      </c>
      <c r="O669" t="e">
        <f>+_xlfn.XLOOKUP(tbl_encuesta[[#This Row],[Siento que mi trabajo es reconocido por mi supervisor o jefe directo.]],#REF!,#REF!)</f>
        <v>#REF!</v>
      </c>
      <c r="P669" t="s">
        <v>31</v>
      </c>
      <c r="Q669" t="e">
        <f xml:space="preserve">
_xlfn.XLOOKUP(
tbl_encuesta[[#This Row],[Mi supervisor o jefe directo nos brinda charlas de 5 minutos y comunica las novedades relevantes a mi puesto de trabajo]],#REF!,#REF!
)</f>
        <v>#REF!</v>
      </c>
      <c r="S669" t="s">
        <v>18</v>
      </c>
      <c r="W669" t="s">
        <v>25</v>
      </c>
      <c r="X669" t="s">
        <v>23</v>
      </c>
      <c r="Y669" t="e">
        <f>+_xlfn.XLOOKUP(tbl_encuesta[[#This Row],[Considero a Limtek como un buen lugar para trabajar]],#REF!,#REF!)</f>
        <v>#REF!</v>
      </c>
      <c r="Z669" t="s">
        <v>1736</v>
      </c>
      <c r="AA669" t="s">
        <v>983</v>
      </c>
      <c r="AB669" t="s">
        <v>619</v>
      </c>
      <c r="AC669" s="3" t="s">
        <v>1867</v>
      </c>
      <c r="AD669" s="3" t="s">
        <v>3716</v>
      </c>
      <c r="AE669" t="s">
        <v>69</v>
      </c>
    </row>
    <row r="670" spans="1:31" x14ac:dyDescent="0.25">
      <c r="A670">
        <v>119028393582</v>
      </c>
      <c r="B670">
        <v>462598545</v>
      </c>
      <c r="C670" s="1">
        <v>46021.564780092594</v>
      </c>
      <c r="D670" s="1">
        <v>46021.565497685187</v>
      </c>
      <c r="E670" t="s">
        <v>1737</v>
      </c>
      <c r="F670" t="s">
        <v>23</v>
      </c>
      <c r="G670" t="e">
        <f>+_xlfn.XLOOKUP(tbl_encuesta[[#This Row],[Me siento a gusto con el ambiente de trabajo que se genera en mi equipo.]],#REF!,#REF!)</f>
        <v>#REF!</v>
      </c>
      <c r="H670" t="s">
        <v>23</v>
      </c>
      <c r="I670" t="e">
        <f>+_xlfn.XLOOKUP(tbl_encuesta[[#This Row],[Me siento motivado a dar lo mejor de mí y hacer un buen trabajo]],#REF!,#REF!)</f>
        <v>#REF!</v>
      </c>
      <c r="J670" t="s">
        <v>23</v>
      </c>
      <c r="K670" t="e">
        <f>+_xlfn.XLOOKUP(tbl_encuesta[[#This Row],[Mi supervisor o jefe directo me otorga el soporte que necesito para afrontar cualquier problema que afecte mi trabajo]],#REF!,#REF!)</f>
        <v>#REF!</v>
      </c>
      <c r="L670" t="s">
        <v>23</v>
      </c>
      <c r="M670" t="e">
        <f>+_xlfn.XLOOKUP(tbl_encuesta[[#This Row],[Mi supervisor o jefe directo fomenta que nos apoyemos entre todos en el equipo]],#REF!,#REF!)</f>
        <v>#REF!</v>
      </c>
      <c r="N670" t="s">
        <v>23</v>
      </c>
      <c r="O670" t="e">
        <f>+_xlfn.XLOOKUP(tbl_encuesta[[#This Row],[Siento que mi trabajo es reconocido por mi supervisor o jefe directo.]],#REF!,#REF!)</f>
        <v>#REF!</v>
      </c>
      <c r="P670" t="s">
        <v>31</v>
      </c>
      <c r="Q670" t="e">
        <f xml:space="preserve">
_xlfn.XLOOKUP(
tbl_encuesta[[#This Row],[Mi supervisor o jefe directo nos brinda charlas de 5 minutos y comunica las novedades relevantes a mi puesto de trabajo]],#REF!,#REF!
)</f>
        <v>#REF!</v>
      </c>
      <c r="R670" t="s">
        <v>17</v>
      </c>
      <c r="T670" t="s">
        <v>19</v>
      </c>
      <c r="W670" t="s">
        <v>25</v>
      </c>
      <c r="X670" t="s">
        <v>23</v>
      </c>
      <c r="Y670" t="e">
        <f>+_xlfn.XLOOKUP(tbl_encuesta[[#This Row],[Considero a Limtek como un buen lugar para trabajar]],#REF!,#REF!)</f>
        <v>#REF!</v>
      </c>
      <c r="Z670" t="s">
        <v>304</v>
      </c>
      <c r="AA670" t="s">
        <v>1738</v>
      </c>
      <c r="AB670" t="s">
        <v>619</v>
      </c>
      <c r="AC670" s="3" t="s">
        <v>1867</v>
      </c>
      <c r="AD670" s="3" t="s">
        <v>3809</v>
      </c>
      <c r="AE670" t="s">
        <v>69</v>
      </c>
    </row>
    <row r="671" spans="1:31" x14ac:dyDescent="0.25">
      <c r="A671">
        <v>119028393449</v>
      </c>
      <c r="B671">
        <v>462598545</v>
      </c>
      <c r="C671" s="1">
        <v>46021.559930555559</v>
      </c>
      <c r="D671" s="1">
        <v>46021.565300925926</v>
      </c>
      <c r="E671" t="s">
        <v>1739</v>
      </c>
      <c r="F671" t="s">
        <v>22</v>
      </c>
      <c r="G671" t="e">
        <f>+_xlfn.XLOOKUP(tbl_encuesta[[#This Row],[Me siento a gusto con el ambiente de trabajo que se genera en mi equipo.]],#REF!,#REF!)</f>
        <v>#REF!</v>
      </c>
      <c r="H671" t="s">
        <v>97</v>
      </c>
      <c r="I671" t="e">
        <f>+_xlfn.XLOOKUP(tbl_encuesta[[#This Row],[Me siento motivado a dar lo mejor de mí y hacer un buen trabajo]],#REF!,#REF!)</f>
        <v>#REF!</v>
      </c>
      <c r="J671" t="s">
        <v>97</v>
      </c>
      <c r="K671" t="e">
        <f>+_xlfn.XLOOKUP(tbl_encuesta[[#This Row],[Mi supervisor o jefe directo me otorga el soporte que necesito para afrontar cualquier problema que afecte mi trabajo]],#REF!,#REF!)</f>
        <v>#REF!</v>
      </c>
      <c r="L671" t="s">
        <v>23</v>
      </c>
      <c r="M671" t="e">
        <f>+_xlfn.XLOOKUP(tbl_encuesta[[#This Row],[Mi supervisor o jefe directo fomenta que nos apoyemos entre todos en el equipo]],#REF!,#REF!)</f>
        <v>#REF!</v>
      </c>
      <c r="N671" t="s">
        <v>97</v>
      </c>
      <c r="O671" t="e">
        <f>+_xlfn.XLOOKUP(tbl_encuesta[[#This Row],[Siento que mi trabajo es reconocido por mi supervisor o jefe directo.]],#REF!,#REF!)</f>
        <v>#REF!</v>
      </c>
      <c r="P671" t="s">
        <v>31</v>
      </c>
      <c r="Q671" t="e">
        <f xml:space="preserve">
_xlfn.XLOOKUP(
tbl_encuesta[[#This Row],[Mi supervisor o jefe directo nos brinda charlas de 5 minutos y comunica las novedades relevantes a mi puesto de trabajo]],#REF!,#REF!
)</f>
        <v>#REF!</v>
      </c>
      <c r="R671" t="s">
        <v>17</v>
      </c>
      <c r="U671" t="s">
        <v>20</v>
      </c>
      <c r="W671" t="s">
        <v>25</v>
      </c>
      <c r="X671" t="s">
        <v>22</v>
      </c>
      <c r="Y671" t="e">
        <f>+_xlfn.XLOOKUP(tbl_encuesta[[#This Row],[Considero a Limtek como un buen lugar para trabajar]],#REF!,#REF!)</f>
        <v>#REF!</v>
      </c>
      <c r="Z671" t="s">
        <v>215</v>
      </c>
      <c r="AA671" t="s">
        <v>1740</v>
      </c>
      <c r="AB671" t="s">
        <v>883</v>
      </c>
      <c r="AC671" t="s">
        <v>1867</v>
      </c>
      <c r="AD671" t="s">
        <v>3744</v>
      </c>
      <c r="AE671" t="s">
        <v>29</v>
      </c>
    </row>
    <row r="672" spans="1:31" x14ac:dyDescent="0.25">
      <c r="A672">
        <v>119028393351</v>
      </c>
      <c r="B672">
        <v>462598545</v>
      </c>
      <c r="C672" s="1">
        <v>46021.563055555554</v>
      </c>
      <c r="D672" s="1">
        <v>46021.56517361111</v>
      </c>
      <c r="E672" t="s">
        <v>1741</v>
      </c>
      <c r="F672" t="s">
        <v>23</v>
      </c>
      <c r="G672" t="e">
        <f>+_xlfn.XLOOKUP(tbl_encuesta[[#This Row],[Me siento a gusto con el ambiente de trabajo que se genera en mi equipo.]],#REF!,#REF!)</f>
        <v>#REF!</v>
      </c>
      <c r="H672" t="s">
        <v>23</v>
      </c>
      <c r="I672" t="e">
        <f>+_xlfn.XLOOKUP(tbl_encuesta[[#This Row],[Me siento motivado a dar lo mejor de mí y hacer un buen trabajo]],#REF!,#REF!)</f>
        <v>#REF!</v>
      </c>
      <c r="J672" t="s">
        <v>23</v>
      </c>
      <c r="K672" t="e">
        <f>+_xlfn.XLOOKUP(tbl_encuesta[[#This Row],[Mi supervisor o jefe directo me otorga el soporte que necesito para afrontar cualquier problema que afecte mi trabajo]],#REF!,#REF!)</f>
        <v>#REF!</v>
      </c>
      <c r="L672" t="s">
        <v>23</v>
      </c>
      <c r="M672" t="e">
        <f>+_xlfn.XLOOKUP(tbl_encuesta[[#This Row],[Mi supervisor o jefe directo fomenta que nos apoyemos entre todos en el equipo]],#REF!,#REF!)</f>
        <v>#REF!</v>
      </c>
      <c r="N672" t="s">
        <v>23</v>
      </c>
      <c r="O672" t="e">
        <f>+_xlfn.XLOOKUP(tbl_encuesta[[#This Row],[Siento que mi trabajo es reconocido por mi supervisor o jefe directo.]],#REF!,#REF!)</f>
        <v>#REF!</v>
      </c>
      <c r="P672" t="s">
        <v>31</v>
      </c>
      <c r="Q672" t="e">
        <f xml:space="preserve">
_xlfn.XLOOKUP(
tbl_encuesta[[#This Row],[Mi supervisor o jefe directo nos brinda charlas de 5 minutos y comunica las novedades relevantes a mi puesto de trabajo]],#REF!,#REF!
)</f>
        <v>#REF!</v>
      </c>
      <c r="R672" t="s">
        <v>17</v>
      </c>
      <c r="U672" t="s">
        <v>20</v>
      </c>
      <c r="W672" t="s">
        <v>25</v>
      </c>
      <c r="X672" t="s">
        <v>23</v>
      </c>
      <c r="Y672" t="e">
        <f>+_xlfn.XLOOKUP(tbl_encuesta[[#This Row],[Considero a Limtek como un buen lugar para trabajar]],#REF!,#REF!)</f>
        <v>#REF!</v>
      </c>
      <c r="Z672" t="s">
        <v>1742</v>
      </c>
      <c r="AA672" t="s">
        <v>305</v>
      </c>
      <c r="AB672" t="s">
        <v>28</v>
      </c>
      <c r="AC672" t="s">
        <v>1867</v>
      </c>
      <c r="AD672" s="3" t="s">
        <v>3757</v>
      </c>
      <c r="AE672" t="s">
        <v>69</v>
      </c>
    </row>
    <row r="673" spans="1:31" x14ac:dyDescent="0.25">
      <c r="A673">
        <v>119028393186</v>
      </c>
      <c r="B673">
        <v>462598545</v>
      </c>
      <c r="C673" s="1">
        <v>46021.55982638889</v>
      </c>
      <c r="D673" s="1">
        <v>46021.564918981479</v>
      </c>
      <c r="E673" t="s">
        <v>445</v>
      </c>
      <c r="F673" t="s">
        <v>23</v>
      </c>
      <c r="G673" t="e">
        <f>+_xlfn.XLOOKUP(tbl_encuesta[[#This Row],[Me siento a gusto con el ambiente de trabajo que se genera en mi equipo.]],#REF!,#REF!)</f>
        <v>#REF!</v>
      </c>
      <c r="H673" t="s">
        <v>23</v>
      </c>
      <c r="I673" t="e">
        <f>+_xlfn.XLOOKUP(tbl_encuesta[[#This Row],[Me siento motivado a dar lo mejor de mí y hacer un buen trabajo]],#REF!,#REF!)</f>
        <v>#REF!</v>
      </c>
      <c r="J673" t="s">
        <v>23</v>
      </c>
      <c r="K673" t="e">
        <f>+_xlfn.XLOOKUP(tbl_encuesta[[#This Row],[Mi supervisor o jefe directo me otorga el soporte que necesito para afrontar cualquier problema que afecte mi trabajo]],#REF!,#REF!)</f>
        <v>#REF!</v>
      </c>
      <c r="L673" t="s">
        <v>23</v>
      </c>
      <c r="M673" t="e">
        <f>+_xlfn.XLOOKUP(tbl_encuesta[[#This Row],[Mi supervisor o jefe directo fomenta que nos apoyemos entre todos en el equipo]],#REF!,#REF!)</f>
        <v>#REF!</v>
      </c>
      <c r="N673" t="s">
        <v>23</v>
      </c>
      <c r="O673" t="e">
        <f>+_xlfn.XLOOKUP(tbl_encuesta[[#This Row],[Siento que mi trabajo es reconocido por mi supervisor o jefe directo.]],#REF!,#REF!)</f>
        <v>#REF!</v>
      </c>
      <c r="P673" t="s">
        <v>31</v>
      </c>
      <c r="Q673" t="e">
        <f xml:space="preserve">
_xlfn.XLOOKUP(
tbl_encuesta[[#This Row],[Mi supervisor o jefe directo nos brinda charlas de 5 minutos y comunica las novedades relevantes a mi puesto de trabajo]],#REF!,#REF!
)</f>
        <v>#REF!</v>
      </c>
      <c r="R673" t="s">
        <v>17</v>
      </c>
      <c r="S673" t="s">
        <v>18</v>
      </c>
      <c r="W673" t="s">
        <v>25</v>
      </c>
      <c r="X673" t="s">
        <v>23</v>
      </c>
      <c r="Y673" t="e">
        <f>+_xlfn.XLOOKUP(tbl_encuesta[[#This Row],[Considero a Limtek como un buen lugar para trabajar]],#REF!,#REF!)</f>
        <v>#REF!</v>
      </c>
      <c r="Z673" t="s">
        <v>1743</v>
      </c>
      <c r="AA673" t="s">
        <v>1744</v>
      </c>
      <c r="AB673" t="s">
        <v>767</v>
      </c>
      <c r="AC673" s="3" t="s">
        <v>3610</v>
      </c>
      <c r="AD673" s="3" t="s">
        <v>3610</v>
      </c>
      <c r="AE673" t="s">
        <v>61</v>
      </c>
    </row>
    <row r="674" spans="1:31" x14ac:dyDescent="0.25">
      <c r="A674">
        <v>119028393143</v>
      </c>
      <c r="B674">
        <v>462598545</v>
      </c>
      <c r="C674" s="1">
        <v>46021.559641203705</v>
      </c>
      <c r="D674" s="1">
        <v>46021.564849537041</v>
      </c>
      <c r="E674" t="s">
        <v>1587</v>
      </c>
      <c r="F674" t="s">
        <v>23</v>
      </c>
      <c r="G674" t="e">
        <f>+_xlfn.XLOOKUP(tbl_encuesta[[#This Row],[Me siento a gusto con el ambiente de trabajo que se genera en mi equipo.]],#REF!,#REF!)</f>
        <v>#REF!</v>
      </c>
      <c r="H674" t="s">
        <v>23</v>
      </c>
      <c r="I674" t="e">
        <f>+_xlfn.XLOOKUP(tbl_encuesta[[#This Row],[Me siento motivado a dar lo mejor de mí y hacer un buen trabajo]],#REF!,#REF!)</f>
        <v>#REF!</v>
      </c>
      <c r="J674" t="s">
        <v>23</v>
      </c>
      <c r="K674" t="e">
        <f>+_xlfn.XLOOKUP(tbl_encuesta[[#This Row],[Mi supervisor o jefe directo me otorga el soporte que necesito para afrontar cualquier problema que afecte mi trabajo]],#REF!,#REF!)</f>
        <v>#REF!</v>
      </c>
      <c r="L674" t="s">
        <v>23</v>
      </c>
      <c r="M674" t="e">
        <f>+_xlfn.XLOOKUP(tbl_encuesta[[#This Row],[Mi supervisor o jefe directo fomenta que nos apoyemos entre todos en el equipo]],#REF!,#REF!)</f>
        <v>#REF!</v>
      </c>
      <c r="N674" t="s">
        <v>23</v>
      </c>
      <c r="O674" t="e">
        <f>+_xlfn.XLOOKUP(tbl_encuesta[[#This Row],[Siento que mi trabajo es reconocido por mi supervisor o jefe directo.]],#REF!,#REF!)</f>
        <v>#REF!</v>
      </c>
      <c r="P674" t="s">
        <v>31</v>
      </c>
      <c r="Q674" t="e">
        <f xml:space="preserve">
_xlfn.XLOOKUP(
tbl_encuesta[[#This Row],[Mi supervisor o jefe directo nos brinda charlas de 5 minutos y comunica las novedades relevantes a mi puesto de trabajo]],#REF!,#REF!
)</f>
        <v>#REF!</v>
      </c>
      <c r="S674" t="s">
        <v>18</v>
      </c>
      <c r="T674" t="s">
        <v>19</v>
      </c>
      <c r="W674" t="s">
        <v>25</v>
      </c>
      <c r="X674" t="s">
        <v>23</v>
      </c>
      <c r="Y674" t="e">
        <f>+_xlfn.XLOOKUP(tbl_encuesta[[#This Row],[Considero a Limtek como un buen lugar para trabajar]],#REF!,#REF!)</f>
        <v>#REF!</v>
      </c>
      <c r="Z674" t="s">
        <v>1745</v>
      </c>
      <c r="AA674" t="s">
        <v>1746</v>
      </c>
      <c r="AB674" t="s">
        <v>619</v>
      </c>
      <c r="AC674" s="3" t="s">
        <v>3716</v>
      </c>
      <c r="AD674" s="3" t="s">
        <v>3728</v>
      </c>
      <c r="AE674" t="s">
        <v>29</v>
      </c>
    </row>
    <row r="675" spans="1:31" x14ac:dyDescent="0.25">
      <c r="A675">
        <v>119028392072</v>
      </c>
      <c r="B675">
        <v>462598545</v>
      </c>
      <c r="C675" s="1">
        <v>46021.558993055558</v>
      </c>
      <c r="D675" s="1">
        <v>46021.563379629632</v>
      </c>
      <c r="E675" t="s">
        <v>1747</v>
      </c>
      <c r="F675" t="s">
        <v>23</v>
      </c>
      <c r="G675" t="e">
        <f>+_xlfn.XLOOKUP(tbl_encuesta[[#This Row],[Me siento a gusto con el ambiente de trabajo que se genera en mi equipo.]],#REF!,#REF!)</f>
        <v>#REF!</v>
      </c>
      <c r="H675" t="s">
        <v>23</v>
      </c>
      <c r="I675" t="e">
        <f>+_xlfn.XLOOKUP(tbl_encuesta[[#This Row],[Me siento motivado a dar lo mejor de mí y hacer un buen trabajo]],#REF!,#REF!)</f>
        <v>#REF!</v>
      </c>
      <c r="J675" t="s">
        <v>23</v>
      </c>
      <c r="K675" t="e">
        <f>+_xlfn.XLOOKUP(tbl_encuesta[[#This Row],[Mi supervisor o jefe directo me otorga el soporte que necesito para afrontar cualquier problema que afecte mi trabajo]],#REF!,#REF!)</f>
        <v>#REF!</v>
      </c>
      <c r="L675" t="s">
        <v>23</v>
      </c>
      <c r="M675" t="e">
        <f>+_xlfn.XLOOKUP(tbl_encuesta[[#This Row],[Mi supervisor o jefe directo fomenta que nos apoyemos entre todos en el equipo]],#REF!,#REF!)</f>
        <v>#REF!</v>
      </c>
      <c r="N675" t="s">
        <v>22</v>
      </c>
      <c r="O675" t="e">
        <f>+_xlfn.XLOOKUP(tbl_encuesta[[#This Row],[Siento que mi trabajo es reconocido por mi supervisor o jefe directo.]],#REF!,#REF!)</f>
        <v>#REF!</v>
      </c>
      <c r="P675" t="s">
        <v>31</v>
      </c>
      <c r="Q675" t="e">
        <f xml:space="preserve">
_xlfn.XLOOKUP(
tbl_encuesta[[#This Row],[Mi supervisor o jefe directo nos brinda charlas de 5 minutos y comunica las novedades relevantes a mi puesto de trabajo]],#REF!,#REF!
)</f>
        <v>#REF!</v>
      </c>
      <c r="R675" t="s">
        <v>17</v>
      </c>
      <c r="T675" t="s">
        <v>19</v>
      </c>
      <c r="W675" t="s">
        <v>25</v>
      </c>
      <c r="X675" t="s">
        <v>23</v>
      </c>
      <c r="Y675" t="e">
        <f>+_xlfn.XLOOKUP(tbl_encuesta[[#This Row],[Considero a Limtek como un buen lugar para trabajar]],#REF!,#REF!)</f>
        <v>#REF!</v>
      </c>
      <c r="Z675" t="s">
        <v>1748</v>
      </c>
      <c r="AA675" t="s">
        <v>1749</v>
      </c>
      <c r="AB675" t="s">
        <v>559</v>
      </c>
      <c r="AC675" t="s">
        <v>3744</v>
      </c>
      <c r="AD675" t="s">
        <v>3744</v>
      </c>
      <c r="AE675" t="s">
        <v>69</v>
      </c>
    </row>
    <row r="676" spans="1:31" x14ac:dyDescent="0.25">
      <c r="A676">
        <v>119028391918</v>
      </c>
      <c r="B676">
        <v>462598545</v>
      </c>
      <c r="C676" s="1">
        <v>46021.556516203702</v>
      </c>
      <c r="D676" s="1">
        <v>46021.56318287037</v>
      </c>
      <c r="E676" t="s">
        <v>1750</v>
      </c>
      <c r="F676" t="s">
        <v>23</v>
      </c>
      <c r="G676" t="e">
        <f>+_xlfn.XLOOKUP(tbl_encuesta[[#This Row],[Me siento a gusto con el ambiente de trabajo que se genera en mi equipo.]],#REF!,#REF!)</f>
        <v>#REF!</v>
      </c>
      <c r="H676" t="s">
        <v>23</v>
      </c>
      <c r="I676" t="e">
        <f>+_xlfn.XLOOKUP(tbl_encuesta[[#This Row],[Me siento motivado a dar lo mejor de mí y hacer un buen trabajo]],#REF!,#REF!)</f>
        <v>#REF!</v>
      </c>
      <c r="J676" t="s">
        <v>23</v>
      </c>
      <c r="K676" t="e">
        <f>+_xlfn.XLOOKUP(tbl_encuesta[[#This Row],[Mi supervisor o jefe directo me otorga el soporte que necesito para afrontar cualquier problema que afecte mi trabajo]],#REF!,#REF!)</f>
        <v>#REF!</v>
      </c>
      <c r="L676" t="s">
        <v>23</v>
      </c>
      <c r="M676" t="e">
        <f>+_xlfn.XLOOKUP(tbl_encuesta[[#This Row],[Mi supervisor o jefe directo fomenta que nos apoyemos entre todos en el equipo]],#REF!,#REF!)</f>
        <v>#REF!</v>
      </c>
      <c r="N676" t="s">
        <v>23</v>
      </c>
      <c r="O676" t="e">
        <f>+_xlfn.XLOOKUP(tbl_encuesta[[#This Row],[Siento que mi trabajo es reconocido por mi supervisor o jefe directo.]],#REF!,#REF!)</f>
        <v>#REF!</v>
      </c>
      <c r="P676" t="s">
        <v>31</v>
      </c>
      <c r="Q676" t="e">
        <f xml:space="preserve">
_xlfn.XLOOKUP(
tbl_encuesta[[#This Row],[Mi supervisor o jefe directo nos brinda charlas de 5 minutos y comunica las novedades relevantes a mi puesto de trabajo]],#REF!,#REF!
)</f>
        <v>#REF!</v>
      </c>
      <c r="R676" t="s">
        <v>17</v>
      </c>
      <c r="W676" t="s">
        <v>25</v>
      </c>
      <c r="X676" t="s">
        <v>23</v>
      </c>
      <c r="Y676" t="e">
        <f>+_xlfn.XLOOKUP(tbl_encuesta[[#This Row],[Considero a Limtek como un buen lugar para trabajar]],#REF!,#REF!)</f>
        <v>#REF!</v>
      </c>
      <c r="Z676" t="s">
        <v>1751</v>
      </c>
      <c r="AA676" t="s">
        <v>1752</v>
      </c>
      <c r="AB676" t="s">
        <v>619</v>
      </c>
      <c r="AC676" t="s">
        <v>3592</v>
      </c>
      <c r="AD676" t="s">
        <v>3593</v>
      </c>
      <c r="AE676" t="s">
        <v>69</v>
      </c>
    </row>
    <row r="677" spans="1:31" x14ac:dyDescent="0.25">
      <c r="A677">
        <v>119028391740</v>
      </c>
      <c r="B677">
        <v>462598545</v>
      </c>
      <c r="C677" s="1">
        <v>46021.557199074072</v>
      </c>
      <c r="D677" s="1">
        <v>46021.562928240739</v>
      </c>
      <c r="E677" t="s">
        <v>1737</v>
      </c>
      <c r="F677" t="s">
        <v>23</v>
      </c>
      <c r="G677" t="e">
        <f>+_xlfn.XLOOKUP(tbl_encuesta[[#This Row],[Me siento a gusto con el ambiente de trabajo que se genera en mi equipo.]],#REF!,#REF!)</f>
        <v>#REF!</v>
      </c>
      <c r="H677" t="s">
        <v>23</v>
      </c>
      <c r="I677" t="e">
        <f>+_xlfn.XLOOKUP(tbl_encuesta[[#This Row],[Me siento motivado a dar lo mejor de mí y hacer un buen trabajo]],#REF!,#REF!)</f>
        <v>#REF!</v>
      </c>
      <c r="J677" t="s">
        <v>22</v>
      </c>
      <c r="K677" t="e">
        <f>+_xlfn.XLOOKUP(tbl_encuesta[[#This Row],[Mi supervisor o jefe directo me otorga el soporte que necesito para afrontar cualquier problema que afecte mi trabajo]],#REF!,#REF!)</f>
        <v>#REF!</v>
      </c>
      <c r="L677" t="s">
        <v>23</v>
      </c>
      <c r="M677" t="e">
        <f>+_xlfn.XLOOKUP(tbl_encuesta[[#This Row],[Mi supervisor o jefe directo fomenta que nos apoyemos entre todos en el equipo]],#REF!,#REF!)</f>
        <v>#REF!</v>
      </c>
      <c r="N677" t="s">
        <v>23</v>
      </c>
      <c r="O677" t="e">
        <f>+_xlfn.XLOOKUP(tbl_encuesta[[#This Row],[Siento que mi trabajo es reconocido por mi supervisor o jefe directo.]],#REF!,#REF!)</f>
        <v>#REF!</v>
      </c>
      <c r="P677" t="s">
        <v>31</v>
      </c>
      <c r="Q677" t="e">
        <f xml:space="preserve">
_xlfn.XLOOKUP(
tbl_encuesta[[#This Row],[Mi supervisor o jefe directo nos brinda charlas de 5 minutos y comunica las novedades relevantes a mi puesto de trabajo]],#REF!,#REF!
)</f>
        <v>#REF!</v>
      </c>
      <c r="R677" t="s">
        <v>17</v>
      </c>
      <c r="T677" t="s">
        <v>19</v>
      </c>
      <c r="W677" t="s">
        <v>25</v>
      </c>
      <c r="X677" t="s">
        <v>23</v>
      </c>
      <c r="Y677" t="e">
        <f>+_xlfn.XLOOKUP(tbl_encuesta[[#This Row],[Considero a Limtek como un buen lugar para trabajar]],#REF!,#REF!)</f>
        <v>#REF!</v>
      </c>
      <c r="Z677" t="s">
        <v>304</v>
      </c>
      <c r="AA677" t="s">
        <v>1738</v>
      </c>
      <c r="AB677" t="s">
        <v>619</v>
      </c>
      <c r="AC677" s="3" t="s">
        <v>3809</v>
      </c>
      <c r="AD677" s="3" t="s">
        <v>3809</v>
      </c>
      <c r="AE677" t="s">
        <v>69</v>
      </c>
    </row>
    <row r="678" spans="1:31" x14ac:dyDescent="0.25">
      <c r="A678">
        <v>119028390447</v>
      </c>
      <c r="B678">
        <v>462598545</v>
      </c>
      <c r="C678" s="1">
        <v>46021.556620370371</v>
      </c>
      <c r="D678" s="1">
        <v>46021.561099537037</v>
      </c>
      <c r="E678" t="s">
        <v>1691</v>
      </c>
      <c r="F678" t="s">
        <v>23</v>
      </c>
      <c r="G678" t="e">
        <f>+_xlfn.XLOOKUP(tbl_encuesta[[#This Row],[Me siento a gusto con el ambiente de trabajo que se genera en mi equipo.]],#REF!,#REF!)</f>
        <v>#REF!</v>
      </c>
      <c r="H678" t="s">
        <v>23</v>
      </c>
      <c r="I678" t="e">
        <f>+_xlfn.XLOOKUP(tbl_encuesta[[#This Row],[Me siento motivado a dar lo mejor de mí y hacer un buen trabajo]],#REF!,#REF!)</f>
        <v>#REF!</v>
      </c>
      <c r="J678" t="s">
        <v>23</v>
      </c>
      <c r="K678" t="e">
        <f>+_xlfn.XLOOKUP(tbl_encuesta[[#This Row],[Mi supervisor o jefe directo me otorga el soporte que necesito para afrontar cualquier problema que afecte mi trabajo]],#REF!,#REF!)</f>
        <v>#REF!</v>
      </c>
      <c r="L678" t="s">
        <v>23</v>
      </c>
      <c r="M678" t="e">
        <f>+_xlfn.XLOOKUP(tbl_encuesta[[#This Row],[Mi supervisor o jefe directo fomenta que nos apoyemos entre todos en el equipo]],#REF!,#REF!)</f>
        <v>#REF!</v>
      </c>
      <c r="N678" t="s">
        <v>23</v>
      </c>
      <c r="O678" t="e">
        <f>+_xlfn.XLOOKUP(tbl_encuesta[[#This Row],[Siento que mi trabajo es reconocido por mi supervisor o jefe directo.]],#REF!,#REF!)</f>
        <v>#REF!</v>
      </c>
      <c r="P678" t="s">
        <v>31</v>
      </c>
      <c r="Q678" t="e">
        <f xml:space="preserve">
_xlfn.XLOOKUP(
tbl_encuesta[[#This Row],[Mi supervisor o jefe directo nos brinda charlas de 5 minutos y comunica las novedades relevantes a mi puesto de trabajo]],#REF!,#REF!
)</f>
        <v>#REF!</v>
      </c>
      <c r="R678" t="s">
        <v>17</v>
      </c>
      <c r="W678" t="s">
        <v>25</v>
      </c>
      <c r="X678" t="s">
        <v>23</v>
      </c>
      <c r="Y678" t="e">
        <f>+_xlfn.XLOOKUP(tbl_encuesta[[#This Row],[Considero a Limtek como un buen lugar para trabajar]],#REF!,#REF!)</f>
        <v>#REF!</v>
      </c>
      <c r="Z678" t="s">
        <v>576</v>
      </c>
      <c r="AA678" t="s">
        <v>1753</v>
      </c>
      <c r="AB678" t="s">
        <v>38</v>
      </c>
      <c r="AC678" t="s">
        <v>3744</v>
      </c>
      <c r="AD678" t="s">
        <v>3744</v>
      </c>
      <c r="AE678" t="s">
        <v>69</v>
      </c>
    </row>
    <row r="679" spans="1:31" x14ac:dyDescent="0.25">
      <c r="A679">
        <v>119028388980</v>
      </c>
      <c r="B679">
        <v>462598545</v>
      </c>
      <c r="C679" s="1">
        <v>46021.555960648147</v>
      </c>
      <c r="D679" s="1">
        <v>46021.559027777781</v>
      </c>
      <c r="E679" t="s">
        <v>1754</v>
      </c>
      <c r="F679" t="s">
        <v>23</v>
      </c>
      <c r="G679" t="e">
        <f>+_xlfn.XLOOKUP(tbl_encuesta[[#This Row],[Me siento a gusto con el ambiente de trabajo que se genera en mi equipo.]],#REF!,#REF!)</f>
        <v>#REF!</v>
      </c>
      <c r="H679" t="s">
        <v>23</v>
      </c>
      <c r="I679" t="e">
        <f>+_xlfn.XLOOKUP(tbl_encuesta[[#This Row],[Me siento motivado a dar lo mejor de mí y hacer un buen trabajo]],#REF!,#REF!)</f>
        <v>#REF!</v>
      </c>
      <c r="J679" t="s">
        <v>23</v>
      </c>
      <c r="K679" t="e">
        <f>+_xlfn.XLOOKUP(tbl_encuesta[[#This Row],[Mi supervisor o jefe directo me otorga el soporte que necesito para afrontar cualquier problema que afecte mi trabajo]],#REF!,#REF!)</f>
        <v>#REF!</v>
      </c>
      <c r="L679" t="s">
        <v>23</v>
      </c>
      <c r="M679" t="e">
        <f>+_xlfn.XLOOKUP(tbl_encuesta[[#This Row],[Mi supervisor o jefe directo fomenta que nos apoyemos entre todos en el equipo]],#REF!,#REF!)</f>
        <v>#REF!</v>
      </c>
      <c r="N679" t="s">
        <v>23</v>
      </c>
      <c r="O679" t="e">
        <f>+_xlfn.XLOOKUP(tbl_encuesta[[#This Row],[Siento que mi trabajo es reconocido por mi supervisor o jefe directo.]],#REF!,#REF!)</f>
        <v>#REF!</v>
      </c>
      <c r="P679" t="s">
        <v>31</v>
      </c>
      <c r="Q679" t="e">
        <f xml:space="preserve">
_xlfn.XLOOKUP(
tbl_encuesta[[#This Row],[Mi supervisor o jefe directo nos brinda charlas de 5 minutos y comunica las novedades relevantes a mi puesto de trabajo]],#REF!,#REF!
)</f>
        <v>#REF!</v>
      </c>
      <c r="R679" t="s">
        <v>17</v>
      </c>
      <c r="W679" t="s">
        <v>25</v>
      </c>
      <c r="X679" t="s">
        <v>23</v>
      </c>
      <c r="Y679" t="e">
        <f>+_xlfn.XLOOKUP(tbl_encuesta[[#This Row],[Considero a Limtek como un buen lugar para trabajar]],#REF!,#REF!)</f>
        <v>#REF!</v>
      </c>
      <c r="Z679" t="s">
        <v>1755</v>
      </c>
      <c r="AA679" t="s">
        <v>58</v>
      </c>
      <c r="AB679" t="s">
        <v>619</v>
      </c>
      <c r="AC679" s="3" t="s">
        <v>3809</v>
      </c>
      <c r="AD679" s="3" t="s">
        <v>3809</v>
      </c>
      <c r="AE679" t="s">
        <v>69</v>
      </c>
    </row>
    <row r="680" spans="1:31" x14ac:dyDescent="0.25">
      <c r="A680">
        <v>119028387355</v>
      </c>
      <c r="B680">
        <v>462598545</v>
      </c>
      <c r="C680" s="1">
        <v>46021.55332175926</v>
      </c>
      <c r="D680" s="1">
        <v>46021.55672453704</v>
      </c>
      <c r="E680" t="s">
        <v>1756</v>
      </c>
      <c r="F680" t="s">
        <v>23</v>
      </c>
      <c r="G680" t="e">
        <f>+_xlfn.XLOOKUP(tbl_encuesta[[#This Row],[Me siento a gusto con el ambiente de trabajo que se genera en mi equipo.]],#REF!,#REF!)</f>
        <v>#REF!</v>
      </c>
      <c r="H680" t="s">
        <v>23</v>
      </c>
      <c r="I680" t="e">
        <f>+_xlfn.XLOOKUP(tbl_encuesta[[#This Row],[Me siento motivado a dar lo mejor de mí y hacer un buen trabajo]],#REF!,#REF!)</f>
        <v>#REF!</v>
      </c>
      <c r="J680" t="s">
        <v>23</v>
      </c>
      <c r="K680" t="e">
        <f>+_xlfn.XLOOKUP(tbl_encuesta[[#This Row],[Mi supervisor o jefe directo me otorga el soporte que necesito para afrontar cualquier problema que afecte mi trabajo]],#REF!,#REF!)</f>
        <v>#REF!</v>
      </c>
      <c r="L680" t="s">
        <v>22</v>
      </c>
      <c r="M680" t="e">
        <f>+_xlfn.XLOOKUP(tbl_encuesta[[#This Row],[Mi supervisor o jefe directo fomenta que nos apoyemos entre todos en el equipo]],#REF!,#REF!)</f>
        <v>#REF!</v>
      </c>
      <c r="N680" t="s">
        <v>22</v>
      </c>
      <c r="O680" t="e">
        <f>+_xlfn.XLOOKUP(tbl_encuesta[[#This Row],[Siento que mi trabajo es reconocido por mi supervisor o jefe directo.]],#REF!,#REF!)</f>
        <v>#REF!</v>
      </c>
      <c r="P680" t="s">
        <v>31</v>
      </c>
      <c r="Q680" t="e">
        <f xml:space="preserve">
_xlfn.XLOOKUP(
tbl_encuesta[[#This Row],[Mi supervisor o jefe directo nos brinda charlas de 5 minutos y comunica las novedades relevantes a mi puesto de trabajo]],#REF!,#REF!
)</f>
        <v>#REF!</v>
      </c>
      <c r="R680" t="s">
        <v>17</v>
      </c>
      <c r="W680" t="s">
        <v>25</v>
      </c>
      <c r="X680" t="s">
        <v>23</v>
      </c>
      <c r="Y680" t="e">
        <f>+_xlfn.XLOOKUP(tbl_encuesta[[#This Row],[Considero a Limtek como un buen lugar para trabajar]],#REF!,#REF!)</f>
        <v>#REF!</v>
      </c>
      <c r="Z680" t="s">
        <v>1757</v>
      </c>
      <c r="AA680" t="s">
        <v>1758</v>
      </c>
      <c r="AB680" t="s">
        <v>38</v>
      </c>
      <c r="AC680" s="3" t="s">
        <v>3610</v>
      </c>
      <c r="AD680" s="3" t="s">
        <v>3666</v>
      </c>
      <c r="AE680" t="s">
        <v>29</v>
      </c>
    </row>
    <row r="681" spans="1:31" x14ac:dyDescent="0.25">
      <c r="A681">
        <v>119028386812</v>
      </c>
      <c r="B681">
        <v>462598545</v>
      </c>
      <c r="C681" s="1">
        <v>46021.55096064815</v>
      </c>
      <c r="D681" s="1">
        <v>46021.555972222224</v>
      </c>
      <c r="E681" t="s">
        <v>1759</v>
      </c>
      <c r="F681" t="s">
        <v>23</v>
      </c>
      <c r="G681" t="e">
        <f>+_xlfn.XLOOKUP(tbl_encuesta[[#This Row],[Me siento a gusto con el ambiente de trabajo que se genera en mi equipo.]],#REF!,#REF!)</f>
        <v>#REF!</v>
      </c>
      <c r="H681" t="s">
        <v>23</v>
      </c>
      <c r="I681" t="e">
        <f>+_xlfn.XLOOKUP(tbl_encuesta[[#This Row],[Me siento motivado a dar lo mejor de mí y hacer un buen trabajo]],#REF!,#REF!)</f>
        <v>#REF!</v>
      </c>
      <c r="J681" t="s">
        <v>23</v>
      </c>
      <c r="K681" t="e">
        <f>+_xlfn.XLOOKUP(tbl_encuesta[[#This Row],[Mi supervisor o jefe directo me otorga el soporte que necesito para afrontar cualquier problema que afecte mi trabajo]],#REF!,#REF!)</f>
        <v>#REF!</v>
      </c>
      <c r="L681" t="s">
        <v>23</v>
      </c>
      <c r="M681" t="e">
        <f>+_xlfn.XLOOKUP(tbl_encuesta[[#This Row],[Mi supervisor o jefe directo fomenta que nos apoyemos entre todos en el equipo]],#REF!,#REF!)</f>
        <v>#REF!</v>
      </c>
      <c r="N681" t="s">
        <v>23</v>
      </c>
      <c r="O681" t="e">
        <f>+_xlfn.XLOOKUP(tbl_encuesta[[#This Row],[Siento que mi trabajo es reconocido por mi supervisor o jefe directo.]],#REF!,#REF!)</f>
        <v>#REF!</v>
      </c>
      <c r="P681" t="s">
        <v>31</v>
      </c>
      <c r="Q681" t="e">
        <f xml:space="preserve">
_xlfn.XLOOKUP(
tbl_encuesta[[#This Row],[Mi supervisor o jefe directo nos brinda charlas de 5 minutos y comunica las novedades relevantes a mi puesto de trabajo]],#REF!,#REF!
)</f>
        <v>#REF!</v>
      </c>
      <c r="R681" t="s">
        <v>17</v>
      </c>
      <c r="T681" t="s">
        <v>19</v>
      </c>
      <c r="W681" t="s">
        <v>25</v>
      </c>
      <c r="X681" t="s">
        <v>23</v>
      </c>
      <c r="Y681" t="e">
        <f>+_xlfn.XLOOKUP(tbl_encuesta[[#This Row],[Considero a Limtek como un buen lugar para trabajar]],#REF!,#REF!)</f>
        <v>#REF!</v>
      </c>
      <c r="Z681" t="s">
        <v>1760</v>
      </c>
      <c r="AA681" t="s">
        <v>1761</v>
      </c>
      <c r="AB681" t="s">
        <v>619</v>
      </c>
      <c r="AC681" s="3" t="s">
        <v>3764</v>
      </c>
      <c r="AD681" s="3" t="s">
        <v>3728</v>
      </c>
      <c r="AE681" t="s">
        <v>29</v>
      </c>
    </row>
    <row r="682" spans="1:31" x14ac:dyDescent="0.25">
      <c r="A682">
        <v>119028386797</v>
      </c>
      <c r="B682">
        <v>462598545</v>
      </c>
      <c r="C682" s="1">
        <v>46021.548935185187</v>
      </c>
      <c r="D682" s="1">
        <v>46021.555937500001</v>
      </c>
      <c r="E682" t="s">
        <v>1691</v>
      </c>
      <c r="F682" t="s">
        <v>23</v>
      </c>
      <c r="G682" t="e">
        <f>+_xlfn.XLOOKUP(tbl_encuesta[[#This Row],[Me siento a gusto con el ambiente de trabajo que se genera en mi equipo.]],#REF!,#REF!)</f>
        <v>#REF!</v>
      </c>
      <c r="H682" t="s">
        <v>23</v>
      </c>
      <c r="I682" t="e">
        <f>+_xlfn.XLOOKUP(tbl_encuesta[[#This Row],[Me siento motivado a dar lo mejor de mí y hacer un buen trabajo]],#REF!,#REF!)</f>
        <v>#REF!</v>
      </c>
      <c r="J682" t="s">
        <v>23</v>
      </c>
      <c r="K682" t="e">
        <f>+_xlfn.XLOOKUP(tbl_encuesta[[#This Row],[Mi supervisor o jefe directo me otorga el soporte que necesito para afrontar cualquier problema que afecte mi trabajo]],#REF!,#REF!)</f>
        <v>#REF!</v>
      </c>
      <c r="L682" t="s">
        <v>23</v>
      </c>
      <c r="M682" t="e">
        <f>+_xlfn.XLOOKUP(tbl_encuesta[[#This Row],[Mi supervisor o jefe directo fomenta que nos apoyemos entre todos en el equipo]],#REF!,#REF!)</f>
        <v>#REF!</v>
      </c>
      <c r="N682" t="s">
        <v>23</v>
      </c>
      <c r="O682" t="e">
        <f>+_xlfn.XLOOKUP(tbl_encuesta[[#This Row],[Siento que mi trabajo es reconocido por mi supervisor o jefe directo.]],#REF!,#REF!)</f>
        <v>#REF!</v>
      </c>
      <c r="P682" t="s">
        <v>31</v>
      </c>
      <c r="Q682" t="e">
        <f xml:space="preserve">
_xlfn.XLOOKUP(
tbl_encuesta[[#This Row],[Mi supervisor o jefe directo nos brinda charlas de 5 minutos y comunica las novedades relevantes a mi puesto de trabajo]],#REF!,#REF!
)</f>
        <v>#REF!</v>
      </c>
      <c r="R682" t="s">
        <v>17</v>
      </c>
      <c r="W682" t="s">
        <v>25</v>
      </c>
      <c r="X682" t="s">
        <v>23</v>
      </c>
      <c r="Y682" t="e">
        <f>+_xlfn.XLOOKUP(tbl_encuesta[[#This Row],[Considero a Limtek como un buen lugar para trabajar]],#REF!,#REF!)</f>
        <v>#REF!</v>
      </c>
      <c r="Z682" t="s">
        <v>1762</v>
      </c>
      <c r="AA682" t="s">
        <v>1763</v>
      </c>
      <c r="AB682" t="s">
        <v>38</v>
      </c>
      <c r="AC682" s="3" t="s">
        <v>3716</v>
      </c>
      <c r="AD682" s="3" t="s">
        <v>38</v>
      </c>
      <c r="AE682" t="s">
        <v>29</v>
      </c>
    </row>
    <row r="683" spans="1:31" x14ac:dyDescent="0.25">
      <c r="A683">
        <v>119028386612</v>
      </c>
      <c r="B683">
        <v>462598545</v>
      </c>
      <c r="C683" s="1">
        <v>46021.550844907404</v>
      </c>
      <c r="D683" s="1">
        <v>46021.555648148147</v>
      </c>
      <c r="E683" t="s">
        <v>1764</v>
      </c>
      <c r="F683" t="s">
        <v>23</v>
      </c>
      <c r="G683" t="e">
        <f>+_xlfn.XLOOKUP(tbl_encuesta[[#This Row],[Me siento a gusto con el ambiente de trabajo que se genera en mi equipo.]],#REF!,#REF!)</f>
        <v>#REF!</v>
      </c>
      <c r="H683" t="s">
        <v>23</v>
      </c>
      <c r="I683" t="e">
        <f>+_xlfn.XLOOKUP(tbl_encuesta[[#This Row],[Me siento motivado a dar lo mejor de mí y hacer un buen trabajo]],#REF!,#REF!)</f>
        <v>#REF!</v>
      </c>
      <c r="J683" t="s">
        <v>23</v>
      </c>
      <c r="K683" t="e">
        <f>+_xlfn.XLOOKUP(tbl_encuesta[[#This Row],[Mi supervisor o jefe directo me otorga el soporte que necesito para afrontar cualquier problema que afecte mi trabajo]],#REF!,#REF!)</f>
        <v>#REF!</v>
      </c>
      <c r="L683" t="s">
        <v>23</v>
      </c>
      <c r="M683" t="e">
        <f>+_xlfn.XLOOKUP(tbl_encuesta[[#This Row],[Mi supervisor o jefe directo fomenta que nos apoyemos entre todos en el equipo]],#REF!,#REF!)</f>
        <v>#REF!</v>
      </c>
      <c r="N683" t="s">
        <v>23</v>
      </c>
      <c r="O683" t="e">
        <f>+_xlfn.XLOOKUP(tbl_encuesta[[#This Row],[Siento que mi trabajo es reconocido por mi supervisor o jefe directo.]],#REF!,#REF!)</f>
        <v>#REF!</v>
      </c>
      <c r="P683" t="s">
        <v>31</v>
      </c>
      <c r="Q683" t="e">
        <f xml:space="preserve">
_xlfn.XLOOKUP(
tbl_encuesta[[#This Row],[Mi supervisor o jefe directo nos brinda charlas de 5 minutos y comunica las novedades relevantes a mi puesto de trabajo]],#REF!,#REF!
)</f>
        <v>#REF!</v>
      </c>
      <c r="R683" t="s">
        <v>17</v>
      </c>
      <c r="U683" t="s">
        <v>20</v>
      </c>
      <c r="W683" t="s">
        <v>46</v>
      </c>
      <c r="X683" t="s">
        <v>23</v>
      </c>
      <c r="Y683" t="e">
        <f>+_xlfn.XLOOKUP(tbl_encuesta[[#This Row],[Considero a Limtek como un buen lugar para trabajar]],#REF!,#REF!)</f>
        <v>#REF!</v>
      </c>
      <c r="Z683" t="s">
        <v>1765</v>
      </c>
      <c r="AA683" t="s">
        <v>1766</v>
      </c>
      <c r="AB683" t="s">
        <v>619</v>
      </c>
      <c r="AC683" s="3" t="s">
        <v>3809</v>
      </c>
      <c r="AD683" s="3" t="s">
        <v>3810</v>
      </c>
      <c r="AE683" t="s">
        <v>61</v>
      </c>
    </row>
    <row r="684" spans="1:31" x14ac:dyDescent="0.25">
      <c r="A684">
        <v>119028384902</v>
      </c>
      <c r="B684">
        <v>462598545</v>
      </c>
      <c r="C684" s="1">
        <v>46021.548402777778</v>
      </c>
      <c r="D684" s="1">
        <v>46021.553206018521</v>
      </c>
      <c r="E684" t="s">
        <v>1767</v>
      </c>
      <c r="F684" t="s">
        <v>23</v>
      </c>
      <c r="G684" t="e">
        <f>+_xlfn.XLOOKUP(tbl_encuesta[[#This Row],[Me siento a gusto con el ambiente de trabajo que se genera en mi equipo.]],#REF!,#REF!)</f>
        <v>#REF!</v>
      </c>
      <c r="H684" t="s">
        <v>23</v>
      </c>
      <c r="I684" t="e">
        <f>+_xlfn.XLOOKUP(tbl_encuesta[[#This Row],[Me siento motivado a dar lo mejor de mí y hacer un buen trabajo]],#REF!,#REF!)</f>
        <v>#REF!</v>
      </c>
      <c r="J684" t="s">
        <v>23</v>
      </c>
      <c r="K684" t="e">
        <f>+_xlfn.XLOOKUP(tbl_encuesta[[#This Row],[Mi supervisor o jefe directo me otorga el soporte que necesito para afrontar cualquier problema que afecte mi trabajo]],#REF!,#REF!)</f>
        <v>#REF!</v>
      </c>
      <c r="L684" t="s">
        <v>23</v>
      </c>
      <c r="M684" t="e">
        <f>+_xlfn.XLOOKUP(tbl_encuesta[[#This Row],[Mi supervisor o jefe directo fomenta que nos apoyemos entre todos en el equipo]],#REF!,#REF!)</f>
        <v>#REF!</v>
      </c>
      <c r="N684" t="s">
        <v>23</v>
      </c>
      <c r="O684" t="e">
        <f>+_xlfn.XLOOKUP(tbl_encuesta[[#This Row],[Siento que mi trabajo es reconocido por mi supervisor o jefe directo.]],#REF!,#REF!)</f>
        <v>#REF!</v>
      </c>
      <c r="P684" t="s">
        <v>31</v>
      </c>
      <c r="Q684" t="e">
        <f xml:space="preserve">
_xlfn.XLOOKUP(
tbl_encuesta[[#This Row],[Mi supervisor o jefe directo nos brinda charlas de 5 minutos y comunica las novedades relevantes a mi puesto de trabajo]],#REF!,#REF!
)</f>
        <v>#REF!</v>
      </c>
      <c r="R684" t="s">
        <v>17</v>
      </c>
      <c r="T684" t="s">
        <v>19</v>
      </c>
      <c r="W684" t="s">
        <v>25</v>
      </c>
      <c r="X684" t="s">
        <v>23</v>
      </c>
      <c r="Y684" t="e">
        <f>+_xlfn.XLOOKUP(tbl_encuesta[[#This Row],[Considero a Limtek como un buen lugar para trabajar]],#REF!,#REF!)</f>
        <v>#REF!</v>
      </c>
      <c r="Z684" t="s">
        <v>1768</v>
      </c>
      <c r="AA684" t="s">
        <v>1769</v>
      </c>
      <c r="AB684" t="s">
        <v>619</v>
      </c>
      <c r="AC684" t="s">
        <v>3592</v>
      </c>
      <c r="AD684" t="s">
        <v>3596</v>
      </c>
      <c r="AE684" t="s">
        <v>69</v>
      </c>
    </row>
    <row r="685" spans="1:31" x14ac:dyDescent="0.25">
      <c r="A685">
        <v>119028384475</v>
      </c>
      <c r="B685">
        <v>462598545</v>
      </c>
      <c r="C685" s="1">
        <v>46021.551099537035</v>
      </c>
      <c r="D685" s="1">
        <v>46021.552604166667</v>
      </c>
      <c r="E685" t="s">
        <v>1770</v>
      </c>
      <c r="F685" t="s">
        <v>23</v>
      </c>
      <c r="G685" t="e">
        <f>+_xlfn.XLOOKUP(tbl_encuesta[[#This Row],[Me siento a gusto con el ambiente de trabajo que se genera en mi equipo.]],#REF!,#REF!)</f>
        <v>#REF!</v>
      </c>
      <c r="H685" t="s">
        <v>23</v>
      </c>
      <c r="I685" t="e">
        <f>+_xlfn.XLOOKUP(tbl_encuesta[[#This Row],[Me siento motivado a dar lo mejor de mí y hacer un buen trabajo]],#REF!,#REF!)</f>
        <v>#REF!</v>
      </c>
      <c r="J685" t="s">
        <v>23</v>
      </c>
      <c r="K685" t="e">
        <f>+_xlfn.XLOOKUP(tbl_encuesta[[#This Row],[Mi supervisor o jefe directo me otorga el soporte que necesito para afrontar cualquier problema que afecte mi trabajo]],#REF!,#REF!)</f>
        <v>#REF!</v>
      </c>
      <c r="L685" t="s">
        <v>23</v>
      </c>
      <c r="M685" t="e">
        <f>+_xlfn.XLOOKUP(tbl_encuesta[[#This Row],[Mi supervisor o jefe directo fomenta que nos apoyemos entre todos en el equipo]],#REF!,#REF!)</f>
        <v>#REF!</v>
      </c>
      <c r="N685" t="s">
        <v>23</v>
      </c>
      <c r="O685" t="e">
        <f>+_xlfn.XLOOKUP(tbl_encuesta[[#This Row],[Siento que mi trabajo es reconocido por mi supervisor o jefe directo.]],#REF!,#REF!)</f>
        <v>#REF!</v>
      </c>
      <c r="P685" t="s">
        <v>31</v>
      </c>
      <c r="Q685" t="e">
        <f xml:space="preserve">
_xlfn.XLOOKUP(
tbl_encuesta[[#This Row],[Mi supervisor o jefe directo nos brinda charlas de 5 minutos y comunica las novedades relevantes a mi puesto de trabajo]],#REF!,#REF!
)</f>
        <v>#REF!</v>
      </c>
      <c r="S685" t="s">
        <v>18</v>
      </c>
      <c r="W685" t="s">
        <v>46</v>
      </c>
      <c r="X685" t="s">
        <v>23</v>
      </c>
      <c r="Y685" t="e">
        <f>+_xlfn.XLOOKUP(tbl_encuesta[[#This Row],[Considero a Limtek como un buen lugar para trabajar]],#REF!,#REF!)</f>
        <v>#REF!</v>
      </c>
      <c r="Z685" t="s">
        <v>1771</v>
      </c>
      <c r="AA685" t="s">
        <v>1772</v>
      </c>
      <c r="AB685" t="s">
        <v>28</v>
      </c>
      <c r="AC685" t="s">
        <v>3744</v>
      </c>
      <c r="AD685" t="s">
        <v>3744</v>
      </c>
      <c r="AE685" t="s">
        <v>69</v>
      </c>
    </row>
    <row r="686" spans="1:31" x14ac:dyDescent="0.25">
      <c r="A686">
        <v>119028384082</v>
      </c>
      <c r="B686">
        <v>462598545</v>
      </c>
      <c r="C686" s="1">
        <v>46021.548564814817</v>
      </c>
      <c r="D686" s="1">
        <v>46021.551990740743</v>
      </c>
      <c r="E686" t="s">
        <v>1773</v>
      </c>
      <c r="F686" t="s">
        <v>22</v>
      </c>
      <c r="G686" t="e">
        <f>+_xlfn.XLOOKUP(tbl_encuesta[[#This Row],[Me siento a gusto con el ambiente de trabajo que se genera en mi equipo.]],#REF!,#REF!)</f>
        <v>#REF!</v>
      </c>
      <c r="H686" t="s">
        <v>23</v>
      </c>
      <c r="I686" t="e">
        <f>+_xlfn.XLOOKUP(tbl_encuesta[[#This Row],[Me siento motivado a dar lo mejor de mí y hacer un buen trabajo]],#REF!,#REF!)</f>
        <v>#REF!</v>
      </c>
      <c r="J686" t="s">
        <v>22</v>
      </c>
      <c r="K686" t="e">
        <f>+_xlfn.XLOOKUP(tbl_encuesta[[#This Row],[Mi supervisor o jefe directo me otorga el soporte que necesito para afrontar cualquier problema que afecte mi trabajo]],#REF!,#REF!)</f>
        <v>#REF!</v>
      </c>
      <c r="L686" t="s">
        <v>23</v>
      </c>
      <c r="M686" t="e">
        <f>+_xlfn.XLOOKUP(tbl_encuesta[[#This Row],[Mi supervisor o jefe directo fomenta que nos apoyemos entre todos en el equipo]],#REF!,#REF!)</f>
        <v>#REF!</v>
      </c>
      <c r="N686" t="s">
        <v>23</v>
      </c>
      <c r="O686" t="e">
        <f>+_xlfn.XLOOKUP(tbl_encuesta[[#This Row],[Siento que mi trabajo es reconocido por mi supervisor o jefe directo.]],#REF!,#REF!)</f>
        <v>#REF!</v>
      </c>
      <c r="P686" t="s">
        <v>31</v>
      </c>
      <c r="Q686" t="e">
        <f xml:space="preserve">
_xlfn.XLOOKUP(
tbl_encuesta[[#This Row],[Mi supervisor o jefe directo nos brinda charlas de 5 minutos y comunica las novedades relevantes a mi puesto de trabajo]],#REF!,#REF!
)</f>
        <v>#REF!</v>
      </c>
      <c r="R686" t="s">
        <v>17</v>
      </c>
      <c r="W686" t="s">
        <v>25</v>
      </c>
      <c r="X686" t="s">
        <v>23</v>
      </c>
      <c r="Y686" t="e">
        <f>+_xlfn.XLOOKUP(tbl_encuesta[[#This Row],[Considero a Limtek como un buen lugar para trabajar]],#REF!,#REF!)</f>
        <v>#REF!</v>
      </c>
      <c r="Z686" t="s">
        <v>1774</v>
      </c>
      <c r="AA686" t="s">
        <v>1775</v>
      </c>
      <c r="AB686" t="s">
        <v>28</v>
      </c>
      <c r="AC686" s="3" t="s">
        <v>1867</v>
      </c>
      <c r="AD686" s="3" t="s">
        <v>3757</v>
      </c>
      <c r="AE686" t="s">
        <v>34</v>
      </c>
    </row>
    <row r="687" spans="1:31" x14ac:dyDescent="0.25">
      <c r="A687">
        <v>119028383110</v>
      </c>
      <c r="B687">
        <v>462598545</v>
      </c>
      <c r="C687" s="1">
        <v>46021.546782407408</v>
      </c>
      <c r="D687" s="1">
        <v>46021.550578703704</v>
      </c>
      <c r="E687" t="s">
        <v>1776</v>
      </c>
      <c r="F687" t="s">
        <v>23</v>
      </c>
      <c r="G687" t="e">
        <f>+_xlfn.XLOOKUP(tbl_encuesta[[#This Row],[Me siento a gusto con el ambiente de trabajo que se genera en mi equipo.]],#REF!,#REF!)</f>
        <v>#REF!</v>
      </c>
      <c r="H687" t="s">
        <v>23</v>
      </c>
      <c r="I687" t="e">
        <f>+_xlfn.XLOOKUP(tbl_encuesta[[#This Row],[Me siento motivado a dar lo mejor de mí y hacer un buen trabajo]],#REF!,#REF!)</f>
        <v>#REF!</v>
      </c>
      <c r="J687" t="s">
        <v>23</v>
      </c>
      <c r="K687" t="e">
        <f>+_xlfn.XLOOKUP(tbl_encuesta[[#This Row],[Mi supervisor o jefe directo me otorga el soporte que necesito para afrontar cualquier problema que afecte mi trabajo]],#REF!,#REF!)</f>
        <v>#REF!</v>
      </c>
      <c r="L687" t="s">
        <v>23</v>
      </c>
      <c r="M687" t="e">
        <f>+_xlfn.XLOOKUP(tbl_encuesta[[#This Row],[Mi supervisor o jefe directo fomenta que nos apoyemos entre todos en el equipo]],#REF!,#REF!)</f>
        <v>#REF!</v>
      </c>
      <c r="N687" t="s">
        <v>23</v>
      </c>
      <c r="O687" t="e">
        <f>+_xlfn.XLOOKUP(tbl_encuesta[[#This Row],[Siento que mi trabajo es reconocido por mi supervisor o jefe directo.]],#REF!,#REF!)</f>
        <v>#REF!</v>
      </c>
      <c r="P687" t="s">
        <v>31</v>
      </c>
      <c r="Q687" t="e">
        <f xml:space="preserve">
_xlfn.XLOOKUP(
tbl_encuesta[[#This Row],[Mi supervisor o jefe directo nos brinda charlas de 5 minutos y comunica las novedades relevantes a mi puesto de trabajo]],#REF!,#REF!
)</f>
        <v>#REF!</v>
      </c>
      <c r="R687" t="s">
        <v>17</v>
      </c>
      <c r="T687" t="s">
        <v>19</v>
      </c>
      <c r="W687" t="s">
        <v>25</v>
      </c>
      <c r="X687" t="s">
        <v>23</v>
      </c>
      <c r="Y687" t="e">
        <f>+_xlfn.XLOOKUP(tbl_encuesta[[#This Row],[Considero a Limtek como un buen lugar para trabajar]],#REF!,#REF!)</f>
        <v>#REF!</v>
      </c>
      <c r="Z687" t="s">
        <v>1777</v>
      </c>
      <c r="AA687" t="s">
        <v>1778</v>
      </c>
      <c r="AB687" t="s">
        <v>619</v>
      </c>
      <c r="AC687" s="3" t="s">
        <v>3610</v>
      </c>
      <c r="AD687" s="3" t="s">
        <v>3684</v>
      </c>
      <c r="AE687" t="s">
        <v>61</v>
      </c>
    </row>
    <row r="688" spans="1:31" x14ac:dyDescent="0.25">
      <c r="A688">
        <v>119028383108</v>
      </c>
      <c r="B688">
        <v>462598545</v>
      </c>
      <c r="C688" s="1">
        <v>46021.546041666668</v>
      </c>
      <c r="D688" s="1">
        <v>46021.550578703704</v>
      </c>
      <c r="E688" t="s">
        <v>1779</v>
      </c>
      <c r="F688" t="s">
        <v>23</v>
      </c>
      <c r="G688" t="e">
        <f>+_xlfn.XLOOKUP(tbl_encuesta[[#This Row],[Me siento a gusto con el ambiente de trabajo que se genera en mi equipo.]],#REF!,#REF!)</f>
        <v>#REF!</v>
      </c>
      <c r="H688" t="s">
        <v>23</v>
      </c>
      <c r="I688" t="e">
        <f>+_xlfn.XLOOKUP(tbl_encuesta[[#This Row],[Me siento motivado a dar lo mejor de mí y hacer un buen trabajo]],#REF!,#REF!)</f>
        <v>#REF!</v>
      </c>
      <c r="J688" t="s">
        <v>23</v>
      </c>
      <c r="K688" t="e">
        <f>+_xlfn.XLOOKUP(tbl_encuesta[[#This Row],[Mi supervisor o jefe directo me otorga el soporte que necesito para afrontar cualquier problema que afecte mi trabajo]],#REF!,#REF!)</f>
        <v>#REF!</v>
      </c>
      <c r="L688" t="s">
        <v>23</v>
      </c>
      <c r="M688" t="e">
        <f>+_xlfn.XLOOKUP(tbl_encuesta[[#This Row],[Mi supervisor o jefe directo fomenta que nos apoyemos entre todos en el equipo]],#REF!,#REF!)</f>
        <v>#REF!</v>
      </c>
      <c r="N688" t="s">
        <v>23</v>
      </c>
      <c r="O688" t="e">
        <f>+_xlfn.XLOOKUP(tbl_encuesta[[#This Row],[Siento que mi trabajo es reconocido por mi supervisor o jefe directo.]],#REF!,#REF!)</f>
        <v>#REF!</v>
      </c>
      <c r="P688" t="s">
        <v>67</v>
      </c>
      <c r="Q688" t="e">
        <f xml:space="preserve">
_xlfn.XLOOKUP(
tbl_encuesta[[#This Row],[Mi supervisor o jefe directo nos brinda charlas de 5 minutos y comunica las novedades relevantes a mi puesto de trabajo]],#REF!,#REF!
)</f>
        <v>#REF!</v>
      </c>
      <c r="R688" t="s">
        <v>17</v>
      </c>
      <c r="U688" t="s">
        <v>20</v>
      </c>
      <c r="W688" t="s">
        <v>25</v>
      </c>
      <c r="X688" t="s">
        <v>23</v>
      </c>
      <c r="Y688" t="e">
        <f>+_xlfn.XLOOKUP(tbl_encuesta[[#This Row],[Considero a Limtek como un buen lugar para trabajar]],#REF!,#REF!)</f>
        <v>#REF!</v>
      </c>
      <c r="Z688" t="s">
        <v>1780</v>
      </c>
      <c r="AA688" t="s">
        <v>1781</v>
      </c>
      <c r="AB688" t="s">
        <v>619</v>
      </c>
      <c r="AC688" s="3" t="s">
        <v>3791</v>
      </c>
      <c r="AD688" s="3" t="s">
        <v>3791</v>
      </c>
      <c r="AE688" t="s">
        <v>69</v>
      </c>
    </row>
    <row r="689" spans="1:31" x14ac:dyDescent="0.25">
      <c r="A689">
        <v>119028381933</v>
      </c>
      <c r="B689">
        <v>462598545</v>
      </c>
      <c r="C689" s="1">
        <v>46021.544374999998</v>
      </c>
      <c r="D689" s="1">
        <v>46021.549016203702</v>
      </c>
      <c r="E689" t="s">
        <v>1782</v>
      </c>
      <c r="F689" t="s">
        <v>23</v>
      </c>
      <c r="G689" t="e">
        <f>+_xlfn.XLOOKUP(tbl_encuesta[[#This Row],[Me siento a gusto con el ambiente de trabajo que se genera en mi equipo.]],#REF!,#REF!)</f>
        <v>#REF!</v>
      </c>
      <c r="H689" t="s">
        <v>23</v>
      </c>
      <c r="I689" t="e">
        <f>+_xlfn.XLOOKUP(tbl_encuesta[[#This Row],[Me siento motivado a dar lo mejor de mí y hacer un buen trabajo]],#REF!,#REF!)</f>
        <v>#REF!</v>
      </c>
      <c r="J689" t="s">
        <v>23</v>
      </c>
      <c r="K689" t="e">
        <f>+_xlfn.XLOOKUP(tbl_encuesta[[#This Row],[Mi supervisor o jefe directo me otorga el soporte que necesito para afrontar cualquier problema que afecte mi trabajo]],#REF!,#REF!)</f>
        <v>#REF!</v>
      </c>
      <c r="L689" t="s">
        <v>23</v>
      </c>
      <c r="M689" t="e">
        <f>+_xlfn.XLOOKUP(tbl_encuesta[[#This Row],[Mi supervisor o jefe directo fomenta que nos apoyemos entre todos en el equipo]],#REF!,#REF!)</f>
        <v>#REF!</v>
      </c>
      <c r="N689" t="s">
        <v>22</v>
      </c>
      <c r="O689" t="e">
        <f>+_xlfn.XLOOKUP(tbl_encuesta[[#This Row],[Siento que mi trabajo es reconocido por mi supervisor o jefe directo.]],#REF!,#REF!)</f>
        <v>#REF!</v>
      </c>
      <c r="P689" t="s">
        <v>31</v>
      </c>
      <c r="Q689" t="e">
        <f xml:space="preserve">
_xlfn.XLOOKUP(
tbl_encuesta[[#This Row],[Mi supervisor o jefe directo nos brinda charlas de 5 minutos y comunica las novedades relevantes a mi puesto de trabajo]],#REF!,#REF!
)</f>
        <v>#REF!</v>
      </c>
      <c r="R689" t="s">
        <v>17</v>
      </c>
      <c r="U689" t="s">
        <v>20</v>
      </c>
      <c r="W689" t="s">
        <v>25</v>
      </c>
      <c r="X689" t="s">
        <v>23</v>
      </c>
      <c r="Y689" t="e">
        <f>+_xlfn.XLOOKUP(tbl_encuesta[[#This Row],[Considero a Limtek como un buen lugar para trabajar]],#REF!,#REF!)</f>
        <v>#REF!</v>
      </c>
      <c r="Z689" t="s">
        <v>1783</v>
      </c>
      <c r="AA689" t="s">
        <v>1238</v>
      </c>
      <c r="AB689" t="s">
        <v>619</v>
      </c>
      <c r="AC689" s="3" t="s">
        <v>3809</v>
      </c>
      <c r="AD689" s="3" t="s">
        <v>3810</v>
      </c>
      <c r="AE689" t="s">
        <v>55</v>
      </c>
    </row>
    <row r="690" spans="1:31" x14ac:dyDescent="0.25">
      <c r="A690">
        <v>119028381824</v>
      </c>
      <c r="B690">
        <v>462598545</v>
      </c>
      <c r="C690" s="1">
        <v>46021.537418981483</v>
      </c>
      <c r="D690" s="1">
        <v>46021.548888888887</v>
      </c>
      <c r="E690" t="s">
        <v>1784</v>
      </c>
      <c r="F690" t="s">
        <v>23</v>
      </c>
      <c r="G690" t="e">
        <f>+_xlfn.XLOOKUP(tbl_encuesta[[#This Row],[Me siento a gusto con el ambiente de trabajo que se genera en mi equipo.]],#REF!,#REF!)</f>
        <v>#REF!</v>
      </c>
      <c r="H690" t="s">
        <v>23</v>
      </c>
      <c r="I690" t="e">
        <f>+_xlfn.XLOOKUP(tbl_encuesta[[#This Row],[Me siento motivado a dar lo mejor de mí y hacer un buen trabajo]],#REF!,#REF!)</f>
        <v>#REF!</v>
      </c>
      <c r="J690" t="s">
        <v>23</v>
      </c>
      <c r="K690" t="e">
        <f>+_xlfn.XLOOKUP(tbl_encuesta[[#This Row],[Mi supervisor o jefe directo me otorga el soporte que necesito para afrontar cualquier problema que afecte mi trabajo]],#REF!,#REF!)</f>
        <v>#REF!</v>
      </c>
      <c r="L690" t="s">
        <v>23</v>
      </c>
      <c r="M690" t="e">
        <f>+_xlfn.XLOOKUP(tbl_encuesta[[#This Row],[Mi supervisor o jefe directo fomenta que nos apoyemos entre todos en el equipo]],#REF!,#REF!)</f>
        <v>#REF!</v>
      </c>
      <c r="N690" t="s">
        <v>23</v>
      </c>
      <c r="O690" t="e">
        <f>+_xlfn.XLOOKUP(tbl_encuesta[[#This Row],[Siento que mi trabajo es reconocido por mi supervisor o jefe directo.]],#REF!,#REF!)</f>
        <v>#REF!</v>
      </c>
      <c r="P690" t="s">
        <v>31</v>
      </c>
      <c r="Q690" t="e">
        <f xml:space="preserve">
_xlfn.XLOOKUP(
tbl_encuesta[[#This Row],[Mi supervisor o jefe directo nos brinda charlas de 5 minutos y comunica las novedades relevantes a mi puesto de trabajo]],#REF!,#REF!
)</f>
        <v>#REF!</v>
      </c>
      <c r="S690" t="s">
        <v>18</v>
      </c>
      <c r="W690" t="s">
        <v>25</v>
      </c>
      <c r="X690" t="s">
        <v>23</v>
      </c>
      <c r="Y690" t="e">
        <f>+_xlfn.XLOOKUP(tbl_encuesta[[#This Row],[Considero a Limtek como un buen lugar para trabajar]],#REF!,#REF!)</f>
        <v>#REF!</v>
      </c>
      <c r="Z690" t="s">
        <v>1785</v>
      </c>
      <c r="AA690" t="s">
        <v>1786</v>
      </c>
      <c r="AB690" t="s">
        <v>619</v>
      </c>
      <c r="AC690" s="3" t="s">
        <v>3758</v>
      </c>
      <c r="AD690" s="3" t="s">
        <v>3790</v>
      </c>
      <c r="AE690" t="s">
        <v>34</v>
      </c>
    </row>
    <row r="691" spans="1:31" x14ac:dyDescent="0.25">
      <c r="A691">
        <v>119028381578</v>
      </c>
      <c r="B691">
        <v>462598545</v>
      </c>
      <c r="C691" s="1">
        <v>46021.542569444442</v>
      </c>
      <c r="D691" s="1">
        <v>46021.54859953704</v>
      </c>
      <c r="E691" t="s">
        <v>1787</v>
      </c>
      <c r="F691" t="s">
        <v>23</v>
      </c>
      <c r="G691" t="e">
        <f>+_xlfn.XLOOKUP(tbl_encuesta[[#This Row],[Me siento a gusto con el ambiente de trabajo que se genera en mi equipo.]],#REF!,#REF!)</f>
        <v>#REF!</v>
      </c>
      <c r="H691" t="s">
        <v>23</v>
      </c>
      <c r="I691" t="e">
        <f>+_xlfn.XLOOKUP(tbl_encuesta[[#This Row],[Me siento motivado a dar lo mejor de mí y hacer un buen trabajo]],#REF!,#REF!)</f>
        <v>#REF!</v>
      </c>
      <c r="J691" t="s">
        <v>23</v>
      </c>
      <c r="K691" t="e">
        <f>+_xlfn.XLOOKUP(tbl_encuesta[[#This Row],[Mi supervisor o jefe directo me otorga el soporte que necesito para afrontar cualquier problema que afecte mi trabajo]],#REF!,#REF!)</f>
        <v>#REF!</v>
      </c>
      <c r="L691" t="s">
        <v>23</v>
      </c>
      <c r="M691" t="e">
        <f>+_xlfn.XLOOKUP(tbl_encuesta[[#This Row],[Mi supervisor o jefe directo fomenta que nos apoyemos entre todos en el equipo]],#REF!,#REF!)</f>
        <v>#REF!</v>
      </c>
      <c r="N691" t="s">
        <v>23</v>
      </c>
      <c r="O691" t="e">
        <f>+_xlfn.XLOOKUP(tbl_encuesta[[#This Row],[Siento que mi trabajo es reconocido por mi supervisor o jefe directo.]],#REF!,#REF!)</f>
        <v>#REF!</v>
      </c>
      <c r="P691" t="s">
        <v>31</v>
      </c>
      <c r="Q691" t="e">
        <f xml:space="preserve">
_xlfn.XLOOKUP(
tbl_encuesta[[#This Row],[Mi supervisor o jefe directo nos brinda charlas de 5 minutos y comunica las novedades relevantes a mi puesto de trabajo]],#REF!,#REF!
)</f>
        <v>#REF!</v>
      </c>
      <c r="R691" t="s">
        <v>17</v>
      </c>
      <c r="T691" t="s">
        <v>19</v>
      </c>
      <c r="W691" t="s">
        <v>25</v>
      </c>
      <c r="X691" t="s">
        <v>23</v>
      </c>
      <c r="Y691" t="e">
        <f>+_xlfn.XLOOKUP(tbl_encuesta[[#This Row],[Considero a Limtek como un buen lugar para trabajar]],#REF!,#REF!)</f>
        <v>#REF!</v>
      </c>
      <c r="Z691" t="s">
        <v>1788</v>
      </c>
      <c r="AA691" t="s">
        <v>537</v>
      </c>
      <c r="AB691" t="s">
        <v>619</v>
      </c>
      <c r="AC691" t="s">
        <v>3744</v>
      </c>
      <c r="AD691" t="s">
        <v>3744</v>
      </c>
      <c r="AE691" t="s">
        <v>69</v>
      </c>
    </row>
    <row r="692" spans="1:31" x14ac:dyDescent="0.25">
      <c r="A692">
        <v>119028381424</v>
      </c>
      <c r="B692">
        <v>462598545</v>
      </c>
      <c r="C692" s="1">
        <v>46021.543090277781</v>
      </c>
      <c r="D692" s="1">
        <v>46021.548402777778</v>
      </c>
      <c r="E692" t="s">
        <v>1789</v>
      </c>
      <c r="F692" t="s">
        <v>23</v>
      </c>
      <c r="G692" t="e">
        <f>+_xlfn.XLOOKUP(tbl_encuesta[[#This Row],[Me siento a gusto con el ambiente de trabajo que se genera en mi equipo.]],#REF!,#REF!)</f>
        <v>#REF!</v>
      </c>
      <c r="H692" t="s">
        <v>23</v>
      </c>
      <c r="I692" t="e">
        <f>+_xlfn.XLOOKUP(tbl_encuesta[[#This Row],[Me siento motivado a dar lo mejor de mí y hacer un buen trabajo]],#REF!,#REF!)</f>
        <v>#REF!</v>
      </c>
      <c r="J692" t="s">
        <v>23</v>
      </c>
      <c r="K692" t="e">
        <f>+_xlfn.XLOOKUP(tbl_encuesta[[#This Row],[Mi supervisor o jefe directo me otorga el soporte que necesito para afrontar cualquier problema que afecte mi trabajo]],#REF!,#REF!)</f>
        <v>#REF!</v>
      </c>
      <c r="L692" t="s">
        <v>23</v>
      </c>
      <c r="M692" t="e">
        <f>+_xlfn.XLOOKUP(tbl_encuesta[[#This Row],[Mi supervisor o jefe directo fomenta que nos apoyemos entre todos en el equipo]],#REF!,#REF!)</f>
        <v>#REF!</v>
      </c>
      <c r="N692" t="s">
        <v>23</v>
      </c>
      <c r="O692" t="e">
        <f>+_xlfn.XLOOKUP(tbl_encuesta[[#This Row],[Siento que mi trabajo es reconocido por mi supervisor o jefe directo.]],#REF!,#REF!)</f>
        <v>#REF!</v>
      </c>
      <c r="P692" t="s">
        <v>67</v>
      </c>
      <c r="Q692" t="e">
        <f xml:space="preserve">
_xlfn.XLOOKUP(
tbl_encuesta[[#This Row],[Mi supervisor o jefe directo nos brinda charlas de 5 minutos y comunica las novedades relevantes a mi puesto de trabajo]],#REF!,#REF!
)</f>
        <v>#REF!</v>
      </c>
      <c r="R692" t="s">
        <v>17</v>
      </c>
      <c r="S692" t="s">
        <v>18</v>
      </c>
      <c r="W692" t="s">
        <v>25</v>
      </c>
      <c r="X692" t="s">
        <v>23</v>
      </c>
      <c r="Y692" t="e">
        <f>+_xlfn.XLOOKUP(tbl_encuesta[[#This Row],[Considero a Limtek como un buen lugar para trabajar]],#REF!,#REF!)</f>
        <v>#REF!</v>
      </c>
      <c r="Z692" t="s">
        <v>1790</v>
      </c>
      <c r="AA692" t="s">
        <v>1791</v>
      </c>
      <c r="AB692" t="s">
        <v>619</v>
      </c>
      <c r="AC692" s="3" t="s">
        <v>3755</v>
      </c>
      <c r="AD692" s="3" t="s">
        <v>3755</v>
      </c>
      <c r="AE692" t="s">
        <v>69</v>
      </c>
    </row>
    <row r="693" spans="1:31" x14ac:dyDescent="0.25">
      <c r="A693">
        <v>119028381114</v>
      </c>
      <c r="B693">
        <v>462598545</v>
      </c>
      <c r="C693" s="1">
        <v>46021.541956018518</v>
      </c>
      <c r="D693" s="1">
        <v>46021.547893518517</v>
      </c>
      <c r="E693" t="s">
        <v>1773</v>
      </c>
      <c r="F693" t="s">
        <v>23</v>
      </c>
      <c r="G693" t="e">
        <f>+_xlfn.XLOOKUP(tbl_encuesta[[#This Row],[Me siento a gusto con el ambiente de trabajo que se genera en mi equipo.]],#REF!,#REF!)</f>
        <v>#REF!</v>
      </c>
      <c r="H693" t="s">
        <v>23</v>
      </c>
      <c r="I693" t="e">
        <f>+_xlfn.XLOOKUP(tbl_encuesta[[#This Row],[Me siento motivado a dar lo mejor de mí y hacer un buen trabajo]],#REF!,#REF!)</f>
        <v>#REF!</v>
      </c>
      <c r="J693" t="s">
        <v>22</v>
      </c>
      <c r="K693" t="e">
        <f>+_xlfn.XLOOKUP(tbl_encuesta[[#This Row],[Mi supervisor o jefe directo me otorga el soporte que necesito para afrontar cualquier problema que afecte mi trabajo]],#REF!,#REF!)</f>
        <v>#REF!</v>
      </c>
      <c r="L693" t="s">
        <v>23</v>
      </c>
      <c r="M693" t="e">
        <f>+_xlfn.XLOOKUP(tbl_encuesta[[#This Row],[Mi supervisor o jefe directo fomenta que nos apoyemos entre todos en el equipo]],#REF!,#REF!)</f>
        <v>#REF!</v>
      </c>
      <c r="N693" t="s">
        <v>23</v>
      </c>
      <c r="O693" t="e">
        <f>+_xlfn.XLOOKUP(tbl_encuesta[[#This Row],[Siento que mi trabajo es reconocido por mi supervisor o jefe directo.]],#REF!,#REF!)</f>
        <v>#REF!</v>
      </c>
      <c r="P693" t="s">
        <v>31</v>
      </c>
      <c r="Q693" t="e">
        <f xml:space="preserve">
_xlfn.XLOOKUP(
tbl_encuesta[[#This Row],[Mi supervisor o jefe directo nos brinda charlas de 5 minutos y comunica las novedades relevantes a mi puesto de trabajo]],#REF!,#REF!
)</f>
        <v>#REF!</v>
      </c>
      <c r="R693" t="s">
        <v>17</v>
      </c>
      <c r="W693" t="s">
        <v>25</v>
      </c>
      <c r="X693" t="s">
        <v>23</v>
      </c>
      <c r="Y693" t="e">
        <f>+_xlfn.XLOOKUP(tbl_encuesta[[#This Row],[Considero a Limtek como un buen lugar para trabajar]],#REF!,#REF!)</f>
        <v>#REF!</v>
      </c>
      <c r="Z693" t="s">
        <v>1774</v>
      </c>
      <c r="AA693" t="s">
        <v>1792</v>
      </c>
      <c r="AB693" t="s">
        <v>28</v>
      </c>
      <c r="AC693" s="3" t="s">
        <v>1867</v>
      </c>
      <c r="AD693" s="3" t="s">
        <v>3757</v>
      </c>
      <c r="AE693" t="s">
        <v>34</v>
      </c>
    </row>
    <row r="694" spans="1:31" x14ac:dyDescent="0.25">
      <c r="A694">
        <v>119028375575</v>
      </c>
      <c r="B694">
        <v>462598545</v>
      </c>
      <c r="C694" s="1">
        <v>46021.537245370368</v>
      </c>
      <c r="D694" s="1">
        <v>46021.540335648147</v>
      </c>
      <c r="E694" t="s">
        <v>1587</v>
      </c>
      <c r="F694" t="s">
        <v>23</v>
      </c>
      <c r="G694" t="e">
        <f>+_xlfn.XLOOKUP(tbl_encuesta[[#This Row],[Me siento a gusto con el ambiente de trabajo que se genera en mi equipo.]],#REF!,#REF!)</f>
        <v>#REF!</v>
      </c>
      <c r="H694" t="s">
        <v>23</v>
      </c>
      <c r="I694" t="e">
        <f>+_xlfn.XLOOKUP(tbl_encuesta[[#This Row],[Me siento motivado a dar lo mejor de mí y hacer un buen trabajo]],#REF!,#REF!)</f>
        <v>#REF!</v>
      </c>
      <c r="J694" t="s">
        <v>23</v>
      </c>
      <c r="K694" t="e">
        <f>+_xlfn.XLOOKUP(tbl_encuesta[[#This Row],[Mi supervisor o jefe directo me otorga el soporte que necesito para afrontar cualquier problema que afecte mi trabajo]],#REF!,#REF!)</f>
        <v>#REF!</v>
      </c>
      <c r="L694" t="s">
        <v>23</v>
      </c>
      <c r="M694" t="e">
        <f>+_xlfn.XLOOKUP(tbl_encuesta[[#This Row],[Mi supervisor o jefe directo fomenta que nos apoyemos entre todos en el equipo]],#REF!,#REF!)</f>
        <v>#REF!</v>
      </c>
      <c r="N694" t="s">
        <v>23</v>
      </c>
      <c r="O694" t="e">
        <f>+_xlfn.XLOOKUP(tbl_encuesta[[#This Row],[Siento que mi trabajo es reconocido por mi supervisor o jefe directo.]],#REF!,#REF!)</f>
        <v>#REF!</v>
      </c>
      <c r="P694" t="s">
        <v>31</v>
      </c>
      <c r="Q694" t="e">
        <f xml:space="preserve">
_xlfn.XLOOKUP(
tbl_encuesta[[#This Row],[Mi supervisor o jefe directo nos brinda charlas de 5 minutos y comunica las novedades relevantes a mi puesto de trabajo]],#REF!,#REF!
)</f>
        <v>#REF!</v>
      </c>
      <c r="R694" t="s">
        <v>17</v>
      </c>
      <c r="V694" t="s">
        <v>638</v>
      </c>
      <c r="W694" t="s">
        <v>25</v>
      </c>
      <c r="X694" t="s">
        <v>23</v>
      </c>
      <c r="Y694" t="e">
        <f>+_xlfn.XLOOKUP(tbl_encuesta[[#This Row],[Considero a Limtek como un buen lugar para trabajar]],#REF!,#REF!)</f>
        <v>#REF!</v>
      </c>
      <c r="Z694" t="s">
        <v>1793</v>
      </c>
      <c r="AA694" t="s">
        <v>1794</v>
      </c>
      <c r="AB694" t="s">
        <v>619</v>
      </c>
      <c r="AC694" t="s">
        <v>3744</v>
      </c>
      <c r="AD694" t="s">
        <v>3744</v>
      </c>
      <c r="AE694" t="s">
        <v>55</v>
      </c>
    </row>
    <row r="695" spans="1:31" x14ac:dyDescent="0.25">
      <c r="A695">
        <v>119028374371</v>
      </c>
      <c r="B695">
        <v>462598545</v>
      </c>
      <c r="C695" s="1">
        <v>46021.534224537034</v>
      </c>
      <c r="D695" s="1">
        <v>46021.538576388892</v>
      </c>
      <c r="E695" t="s">
        <v>1524</v>
      </c>
      <c r="F695" t="s">
        <v>23</v>
      </c>
      <c r="G695" t="e">
        <f>+_xlfn.XLOOKUP(tbl_encuesta[[#This Row],[Me siento a gusto con el ambiente de trabajo que se genera en mi equipo.]],#REF!,#REF!)</f>
        <v>#REF!</v>
      </c>
      <c r="H695" t="s">
        <v>23</v>
      </c>
      <c r="I695" t="e">
        <f>+_xlfn.XLOOKUP(tbl_encuesta[[#This Row],[Me siento motivado a dar lo mejor de mí y hacer un buen trabajo]],#REF!,#REF!)</f>
        <v>#REF!</v>
      </c>
      <c r="J695" t="s">
        <v>22</v>
      </c>
      <c r="K695" t="e">
        <f>+_xlfn.XLOOKUP(tbl_encuesta[[#This Row],[Mi supervisor o jefe directo me otorga el soporte que necesito para afrontar cualquier problema que afecte mi trabajo]],#REF!,#REF!)</f>
        <v>#REF!</v>
      </c>
      <c r="L695" t="s">
        <v>23</v>
      </c>
      <c r="M695" t="e">
        <f>+_xlfn.XLOOKUP(tbl_encuesta[[#This Row],[Mi supervisor o jefe directo fomenta que nos apoyemos entre todos en el equipo]],#REF!,#REF!)</f>
        <v>#REF!</v>
      </c>
      <c r="N695" t="s">
        <v>97</v>
      </c>
      <c r="O695" t="e">
        <f>+_xlfn.XLOOKUP(tbl_encuesta[[#This Row],[Siento que mi trabajo es reconocido por mi supervisor o jefe directo.]],#REF!,#REF!)</f>
        <v>#REF!</v>
      </c>
      <c r="P695" t="s">
        <v>31</v>
      </c>
      <c r="Q695" t="e">
        <f xml:space="preserve">
_xlfn.XLOOKUP(
tbl_encuesta[[#This Row],[Mi supervisor o jefe directo nos brinda charlas de 5 minutos y comunica las novedades relevantes a mi puesto de trabajo]],#REF!,#REF!
)</f>
        <v>#REF!</v>
      </c>
      <c r="R695" t="s">
        <v>17</v>
      </c>
      <c r="W695" t="s">
        <v>46</v>
      </c>
      <c r="X695" t="s">
        <v>22</v>
      </c>
      <c r="Y695" t="e">
        <f>+_xlfn.XLOOKUP(tbl_encuesta[[#This Row],[Considero a Limtek como un buen lugar para trabajar]],#REF!,#REF!)</f>
        <v>#REF!</v>
      </c>
      <c r="Z695" t="s">
        <v>1795</v>
      </c>
      <c r="AA695" t="s">
        <v>1796</v>
      </c>
      <c r="AB695" t="s">
        <v>28</v>
      </c>
      <c r="AC695" s="3" t="s">
        <v>3705</v>
      </c>
      <c r="AD695" s="3" t="s">
        <v>3710</v>
      </c>
      <c r="AE695" t="s">
        <v>34</v>
      </c>
    </row>
    <row r="696" spans="1:31" x14ac:dyDescent="0.25">
      <c r="A696">
        <v>119028370885</v>
      </c>
      <c r="B696">
        <v>462598545</v>
      </c>
      <c r="C696" s="1">
        <v>46021.529016203705</v>
      </c>
      <c r="D696" s="1">
        <v>46021.533553240741</v>
      </c>
      <c r="E696" t="s">
        <v>1524</v>
      </c>
      <c r="F696" t="s">
        <v>23</v>
      </c>
      <c r="G696" t="e">
        <f>+_xlfn.XLOOKUP(tbl_encuesta[[#This Row],[Me siento a gusto con el ambiente de trabajo que se genera en mi equipo.]],#REF!,#REF!)</f>
        <v>#REF!</v>
      </c>
      <c r="H696" t="s">
        <v>23</v>
      </c>
      <c r="I696" t="e">
        <f>+_xlfn.XLOOKUP(tbl_encuesta[[#This Row],[Me siento motivado a dar lo mejor de mí y hacer un buen trabajo]],#REF!,#REF!)</f>
        <v>#REF!</v>
      </c>
      <c r="J696" t="s">
        <v>97</v>
      </c>
      <c r="K696" t="e">
        <f>+_xlfn.XLOOKUP(tbl_encuesta[[#This Row],[Mi supervisor o jefe directo me otorga el soporte que necesito para afrontar cualquier problema que afecte mi trabajo]],#REF!,#REF!)</f>
        <v>#REF!</v>
      </c>
      <c r="L696" t="s">
        <v>23</v>
      </c>
      <c r="M696" t="e">
        <f>+_xlfn.XLOOKUP(tbl_encuesta[[#This Row],[Mi supervisor o jefe directo fomenta que nos apoyemos entre todos en el equipo]],#REF!,#REF!)</f>
        <v>#REF!</v>
      </c>
      <c r="N696" t="s">
        <v>23</v>
      </c>
      <c r="O696" t="e">
        <f>+_xlfn.XLOOKUP(tbl_encuesta[[#This Row],[Siento que mi trabajo es reconocido por mi supervisor o jefe directo.]],#REF!,#REF!)</f>
        <v>#REF!</v>
      </c>
      <c r="P696" t="s">
        <v>31</v>
      </c>
      <c r="Q696" t="e">
        <f xml:space="preserve">
_xlfn.XLOOKUP(
tbl_encuesta[[#This Row],[Mi supervisor o jefe directo nos brinda charlas de 5 minutos y comunica las novedades relevantes a mi puesto de trabajo]],#REF!,#REF!
)</f>
        <v>#REF!</v>
      </c>
      <c r="R696" t="s">
        <v>17</v>
      </c>
      <c r="W696" t="s">
        <v>46</v>
      </c>
      <c r="X696" t="s">
        <v>22</v>
      </c>
      <c r="Y696" t="e">
        <f>+_xlfn.XLOOKUP(tbl_encuesta[[#This Row],[Considero a Limtek como un buen lugar para trabajar]],#REF!,#REF!)</f>
        <v>#REF!</v>
      </c>
      <c r="Z696" t="s">
        <v>1797</v>
      </c>
      <c r="AA696" t="s">
        <v>1798</v>
      </c>
      <c r="AB696" t="s">
        <v>28</v>
      </c>
      <c r="AC696" s="3" t="s">
        <v>3705</v>
      </c>
      <c r="AD696" s="3" t="s">
        <v>3710</v>
      </c>
      <c r="AE696" t="s">
        <v>29</v>
      </c>
    </row>
    <row r="697" spans="1:31" x14ac:dyDescent="0.25">
      <c r="A697">
        <v>119028370804</v>
      </c>
      <c r="B697">
        <v>462598545</v>
      </c>
      <c r="C697" s="1">
        <v>46021.531805555554</v>
      </c>
      <c r="D697" s="1">
        <v>46021.533449074072</v>
      </c>
      <c r="E697" t="s">
        <v>1799</v>
      </c>
      <c r="F697" t="s">
        <v>23</v>
      </c>
      <c r="G697" t="e">
        <f>+_xlfn.XLOOKUP(tbl_encuesta[[#This Row],[Me siento a gusto con el ambiente de trabajo que se genera en mi equipo.]],#REF!,#REF!)</f>
        <v>#REF!</v>
      </c>
      <c r="H697" t="s">
        <v>23</v>
      </c>
      <c r="I697" t="e">
        <f>+_xlfn.XLOOKUP(tbl_encuesta[[#This Row],[Me siento motivado a dar lo mejor de mí y hacer un buen trabajo]],#REF!,#REF!)</f>
        <v>#REF!</v>
      </c>
      <c r="J697" t="s">
        <v>23</v>
      </c>
      <c r="K697" t="e">
        <f>+_xlfn.XLOOKUP(tbl_encuesta[[#This Row],[Mi supervisor o jefe directo me otorga el soporte que necesito para afrontar cualquier problema que afecte mi trabajo]],#REF!,#REF!)</f>
        <v>#REF!</v>
      </c>
      <c r="L697" t="s">
        <v>23</v>
      </c>
      <c r="M697" t="e">
        <f>+_xlfn.XLOOKUP(tbl_encuesta[[#This Row],[Mi supervisor o jefe directo fomenta que nos apoyemos entre todos en el equipo]],#REF!,#REF!)</f>
        <v>#REF!</v>
      </c>
      <c r="N697" t="s">
        <v>23</v>
      </c>
      <c r="O697" t="e">
        <f>+_xlfn.XLOOKUP(tbl_encuesta[[#This Row],[Siento que mi trabajo es reconocido por mi supervisor o jefe directo.]],#REF!,#REF!)</f>
        <v>#REF!</v>
      </c>
      <c r="P697" t="s">
        <v>31</v>
      </c>
      <c r="Q697" t="e">
        <f xml:space="preserve">
_xlfn.XLOOKUP(
tbl_encuesta[[#This Row],[Mi supervisor o jefe directo nos brinda charlas de 5 minutos y comunica las novedades relevantes a mi puesto de trabajo]],#REF!,#REF!
)</f>
        <v>#REF!</v>
      </c>
      <c r="R697" t="s">
        <v>17</v>
      </c>
      <c r="U697" t="s">
        <v>20</v>
      </c>
      <c r="W697" t="s">
        <v>25</v>
      </c>
      <c r="X697" t="s">
        <v>23</v>
      </c>
      <c r="Y697" t="e">
        <f>+_xlfn.XLOOKUP(tbl_encuesta[[#This Row],[Considero a Limtek como un buen lugar para trabajar]],#REF!,#REF!)</f>
        <v>#REF!</v>
      </c>
      <c r="Z697" t="s">
        <v>1800</v>
      </c>
      <c r="AA697" t="s">
        <v>1801</v>
      </c>
      <c r="AB697" t="s">
        <v>619</v>
      </c>
      <c r="AC697" s="3" t="s">
        <v>3777</v>
      </c>
      <c r="AD697" s="3" t="s">
        <v>3778</v>
      </c>
      <c r="AE697" t="s">
        <v>29</v>
      </c>
    </row>
    <row r="698" spans="1:31" x14ac:dyDescent="0.25">
      <c r="A698">
        <v>119028370770</v>
      </c>
      <c r="B698">
        <v>462598545</v>
      </c>
      <c r="C698" s="1">
        <v>46021.530682870369</v>
      </c>
      <c r="D698" s="1">
        <v>46021.533402777779</v>
      </c>
      <c r="E698" t="s">
        <v>1802</v>
      </c>
      <c r="F698" t="s">
        <v>22</v>
      </c>
      <c r="G698" t="e">
        <f>+_xlfn.XLOOKUP(tbl_encuesta[[#This Row],[Me siento a gusto con el ambiente de trabajo que se genera en mi equipo.]],#REF!,#REF!)</f>
        <v>#REF!</v>
      </c>
      <c r="H698" t="s">
        <v>23</v>
      </c>
      <c r="I698" t="e">
        <f>+_xlfn.XLOOKUP(tbl_encuesta[[#This Row],[Me siento motivado a dar lo mejor de mí y hacer un buen trabajo]],#REF!,#REF!)</f>
        <v>#REF!</v>
      </c>
      <c r="J698" t="s">
        <v>23</v>
      </c>
      <c r="K698" t="e">
        <f>+_xlfn.XLOOKUP(tbl_encuesta[[#This Row],[Mi supervisor o jefe directo me otorga el soporte que necesito para afrontar cualquier problema que afecte mi trabajo]],#REF!,#REF!)</f>
        <v>#REF!</v>
      </c>
      <c r="L698" t="s">
        <v>22</v>
      </c>
      <c r="M698" t="e">
        <f>+_xlfn.XLOOKUP(tbl_encuesta[[#This Row],[Mi supervisor o jefe directo fomenta que nos apoyemos entre todos en el equipo]],#REF!,#REF!)</f>
        <v>#REF!</v>
      </c>
      <c r="N698" t="s">
        <v>22</v>
      </c>
      <c r="O698" t="e">
        <f>+_xlfn.XLOOKUP(tbl_encuesta[[#This Row],[Siento que mi trabajo es reconocido por mi supervisor o jefe directo.]],#REF!,#REF!)</f>
        <v>#REF!</v>
      </c>
      <c r="P698" t="s">
        <v>67</v>
      </c>
      <c r="Q698" t="e">
        <f xml:space="preserve">
_xlfn.XLOOKUP(
tbl_encuesta[[#This Row],[Mi supervisor o jefe directo nos brinda charlas de 5 minutos y comunica las novedades relevantes a mi puesto de trabajo]],#REF!,#REF!
)</f>
        <v>#REF!</v>
      </c>
      <c r="S698" t="s">
        <v>18</v>
      </c>
      <c r="W698" t="s">
        <v>25</v>
      </c>
      <c r="X698" t="s">
        <v>22</v>
      </c>
      <c r="Y698" t="e">
        <f>+_xlfn.XLOOKUP(tbl_encuesta[[#This Row],[Considero a Limtek como un buen lugar para trabajar]],#REF!,#REF!)</f>
        <v>#REF!</v>
      </c>
      <c r="Z698" t="s">
        <v>576</v>
      </c>
      <c r="AA698" t="s">
        <v>1804</v>
      </c>
      <c r="AB698" t="s">
        <v>619</v>
      </c>
      <c r="AC698" s="3" t="s">
        <v>3748</v>
      </c>
      <c r="AD698" s="3" t="s">
        <v>3748</v>
      </c>
      <c r="AE698" t="s">
        <v>29</v>
      </c>
    </row>
    <row r="699" spans="1:31" x14ac:dyDescent="0.25">
      <c r="A699">
        <v>119028370746</v>
      </c>
      <c r="B699">
        <v>462598545</v>
      </c>
      <c r="C699" s="1">
        <v>46021.530578703707</v>
      </c>
      <c r="D699" s="1">
        <v>46021.533368055556</v>
      </c>
      <c r="E699" t="s">
        <v>1805</v>
      </c>
      <c r="F699" t="s">
        <v>22</v>
      </c>
      <c r="G699" t="e">
        <f>+_xlfn.XLOOKUP(tbl_encuesta[[#This Row],[Me siento a gusto con el ambiente de trabajo que se genera en mi equipo.]],#REF!,#REF!)</f>
        <v>#REF!</v>
      </c>
      <c r="H699" t="s">
        <v>22</v>
      </c>
      <c r="I699" t="e">
        <f>+_xlfn.XLOOKUP(tbl_encuesta[[#This Row],[Me siento motivado a dar lo mejor de mí y hacer un buen trabajo]],#REF!,#REF!)</f>
        <v>#REF!</v>
      </c>
      <c r="J699" t="s">
        <v>23</v>
      </c>
      <c r="K699" t="e">
        <f>+_xlfn.XLOOKUP(tbl_encuesta[[#This Row],[Mi supervisor o jefe directo me otorga el soporte que necesito para afrontar cualquier problema que afecte mi trabajo]],#REF!,#REF!)</f>
        <v>#REF!</v>
      </c>
      <c r="L699" t="s">
        <v>23</v>
      </c>
      <c r="M699" t="e">
        <f>+_xlfn.XLOOKUP(tbl_encuesta[[#This Row],[Mi supervisor o jefe directo fomenta que nos apoyemos entre todos en el equipo]],#REF!,#REF!)</f>
        <v>#REF!</v>
      </c>
      <c r="N699" t="s">
        <v>23</v>
      </c>
      <c r="O699" t="e">
        <f>+_xlfn.XLOOKUP(tbl_encuesta[[#This Row],[Siento que mi trabajo es reconocido por mi supervisor o jefe directo.]],#REF!,#REF!)</f>
        <v>#REF!</v>
      </c>
      <c r="P699" t="s">
        <v>31</v>
      </c>
      <c r="Q699" t="e">
        <f xml:space="preserve">
_xlfn.XLOOKUP(
tbl_encuesta[[#This Row],[Mi supervisor o jefe directo nos brinda charlas de 5 minutos y comunica las novedades relevantes a mi puesto de trabajo]],#REF!,#REF!
)</f>
        <v>#REF!</v>
      </c>
      <c r="R699" t="s">
        <v>17</v>
      </c>
      <c r="U699" t="s">
        <v>20</v>
      </c>
      <c r="W699" t="s">
        <v>25</v>
      </c>
      <c r="X699" t="s">
        <v>23</v>
      </c>
      <c r="Y699" t="e">
        <f>+_xlfn.XLOOKUP(tbl_encuesta[[#This Row],[Considero a Limtek como un buen lugar para trabajar]],#REF!,#REF!)</f>
        <v>#REF!</v>
      </c>
      <c r="Z699" t="s">
        <v>1806</v>
      </c>
      <c r="AA699" t="s">
        <v>304</v>
      </c>
      <c r="AB699" t="s">
        <v>559</v>
      </c>
      <c r="AC699" s="3" t="s">
        <v>3610</v>
      </c>
      <c r="AD699" s="3" t="s">
        <v>3610</v>
      </c>
      <c r="AE699" t="s">
        <v>69</v>
      </c>
    </row>
    <row r="700" spans="1:31" x14ac:dyDescent="0.25">
      <c r="A700">
        <v>119028367480</v>
      </c>
      <c r="B700">
        <v>462598545</v>
      </c>
      <c r="C700" s="1">
        <v>46021.520543981482</v>
      </c>
      <c r="D700" s="1">
        <v>46021.528715277775</v>
      </c>
      <c r="E700" t="s">
        <v>1807</v>
      </c>
      <c r="F700" t="s">
        <v>23</v>
      </c>
      <c r="G700" t="e">
        <f>+_xlfn.XLOOKUP(tbl_encuesta[[#This Row],[Me siento a gusto con el ambiente de trabajo que se genera en mi equipo.]],#REF!,#REF!)</f>
        <v>#REF!</v>
      </c>
      <c r="H700" t="s">
        <v>23</v>
      </c>
      <c r="I700" t="e">
        <f>+_xlfn.XLOOKUP(tbl_encuesta[[#This Row],[Me siento motivado a dar lo mejor de mí y hacer un buen trabajo]],#REF!,#REF!)</f>
        <v>#REF!</v>
      </c>
      <c r="J700" t="s">
        <v>23</v>
      </c>
      <c r="K700" t="e">
        <f>+_xlfn.XLOOKUP(tbl_encuesta[[#This Row],[Mi supervisor o jefe directo me otorga el soporte que necesito para afrontar cualquier problema que afecte mi trabajo]],#REF!,#REF!)</f>
        <v>#REF!</v>
      </c>
      <c r="L700" t="s">
        <v>23</v>
      </c>
      <c r="M700" t="e">
        <f>+_xlfn.XLOOKUP(tbl_encuesta[[#This Row],[Mi supervisor o jefe directo fomenta que nos apoyemos entre todos en el equipo]],#REF!,#REF!)</f>
        <v>#REF!</v>
      </c>
      <c r="N700" t="s">
        <v>23</v>
      </c>
      <c r="O700" t="e">
        <f>+_xlfn.XLOOKUP(tbl_encuesta[[#This Row],[Siento que mi trabajo es reconocido por mi supervisor o jefe directo.]],#REF!,#REF!)</f>
        <v>#REF!</v>
      </c>
      <c r="P700" t="s">
        <v>31</v>
      </c>
      <c r="Q700" t="e">
        <f xml:space="preserve">
_xlfn.XLOOKUP(
tbl_encuesta[[#This Row],[Mi supervisor o jefe directo nos brinda charlas de 5 minutos y comunica las novedades relevantes a mi puesto de trabajo]],#REF!,#REF!
)</f>
        <v>#REF!</v>
      </c>
      <c r="R700" t="s">
        <v>17</v>
      </c>
      <c r="T700" t="s">
        <v>19</v>
      </c>
      <c r="W700" t="s">
        <v>25</v>
      </c>
      <c r="X700" t="s">
        <v>23</v>
      </c>
      <c r="Y700" t="e">
        <f>+_xlfn.XLOOKUP(tbl_encuesta[[#This Row],[Considero a Limtek como un buen lugar para trabajar]],#REF!,#REF!)</f>
        <v>#REF!</v>
      </c>
      <c r="Z700" t="s">
        <v>889</v>
      </c>
      <c r="AA700" t="s">
        <v>890</v>
      </c>
      <c r="AB700" t="s">
        <v>619</v>
      </c>
      <c r="AC700" s="3" t="s">
        <v>3610</v>
      </c>
      <c r="AD700" s="3" t="s">
        <v>3638</v>
      </c>
      <c r="AE700" t="s">
        <v>34</v>
      </c>
    </row>
    <row r="701" spans="1:31" x14ac:dyDescent="0.25">
      <c r="A701">
        <v>119028366814</v>
      </c>
      <c r="B701">
        <v>462598545</v>
      </c>
      <c r="C701" s="1">
        <v>46021.521249999998</v>
      </c>
      <c r="D701" s="1">
        <v>46021.527754629627</v>
      </c>
      <c r="E701" t="s">
        <v>1808</v>
      </c>
      <c r="F701" t="s">
        <v>23</v>
      </c>
      <c r="G701" t="e">
        <f>+_xlfn.XLOOKUP(tbl_encuesta[[#This Row],[Me siento a gusto con el ambiente de trabajo que se genera en mi equipo.]],#REF!,#REF!)</f>
        <v>#REF!</v>
      </c>
      <c r="H701" t="s">
        <v>23</v>
      </c>
      <c r="I701" t="e">
        <f>+_xlfn.XLOOKUP(tbl_encuesta[[#This Row],[Me siento motivado a dar lo mejor de mí y hacer un buen trabajo]],#REF!,#REF!)</f>
        <v>#REF!</v>
      </c>
      <c r="J701" t="s">
        <v>22</v>
      </c>
      <c r="K701" t="e">
        <f>+_xlfn.XLOOKUP(tbl_encuesta[[#This Row],[Mi supervisor o jefe directo me otorga el soporte que necesito para afrontar cualquier problema que afecte mi trabajo]],#REF!,#REF!)</f>
        <v>#REF!</v>
      </c>
      <c r="L701" t="s">
        <v>23</v>
      </c>
      <c r="M701" t="e">
        <f>+_xlfn.XLOOKUP(tbl_encuesta[[#This Row],[Mi supervisor o jefe directo fomenta que nos apoyemos entre todos en el equipo]],#REF!,#REF!)</f>
        <v>#REF!</v>
      </c>
      <c r="N701" t="s">
        <v>23</v>
      </c>
      <c r="O701" t="e">
        <f>+_xlfn.XLOOKUP(tbl_encuesta[[#This Row],[Siento que mi trabajo es reconocido por mi supervisor o jefe directo.]],#REF!,#REF!)</f>
        <v>#REF!</v>
      </c>
      <c r="P701" t="s">
        <v>31</v>
      </c>
      <c r="Q701" t="e">
        <f xml:space="preserve">
_xlfn.XLOOKUP(
tbl_encuesta[[#This Row],[Mi supervisor o jefe directo nos brinda charlas de 5 minutos y comunica las novedades relevantes a mi puesto de trabajo]],#REF!,#REF!
)</f>
        <v>#REF!</v>
      </c>
      <c r="R701" t="s">
        <v>17</v>
      </c>
      <c r="S701" t="s">
        <v>18</v>
      </c>
      <c r="W701" t="s">
        <v>25</v>
      </c>
      <c r="X701" t="s">
        <v>23</v>
      </c>
      <c r="Y701" t="e">
        <f>+_xlfn.XLOOKUP(tbl_encuesta[[#This Row],[Considero a Limtek como un buen lugar para trabajar]],#REF!,#REF!)</f>
        <v>#REF!</v>
      </c>
      <c r="Z701" t="s">
        <v>213</v>
      </c>
      <c r="AA701" t="s">
        <v>1809</v>
      </c>
      <c r="AB701" t="s">
        <v>619</v>
      </c>
      <c r="AC701" s="3" t="s">
        <v>3748</v>
      </c>
      <c r="AD701" s="3" t="s">
        <v>3748</v>
      </c>
      <c r="AE701" t="s">
        <v>34</v>
      </c>
    </row>
    <row r="702" spans="1:31" x14ac:dyDescent="0.25">
      <c r="A702">
        <v>119028366560</v>
      </c>
      <c r="B702">
        <v>462598545</v>
      </c>
      <c r="C702" s="1">
        <v>46021.51902777778</v>
      </c>
      <c r="D702" s="1">
        <v>46021.527384259258</v>
      </c>
      <c r="E702" t="s">
        <v>1810</v>
      </c>
      <c r="F702" t="s">
        <v>23</v>
      </c>
      <c r="G702" t="e">
        <f>+_xlfn.XLOOKUP(tbl_encuesta[[#This Row],[Me siento a gusto con el ambiente de trabajo que se genera en mi equipo.]],#REF!,#REF!)</f>
        <v>#REF!</v>
      </c>
      <c r="H702" t="s">
        <v>23</v>
      </c>
      <c r="I702" t="e">
        <f>+_xlfn.XLOOKUP(tbl_encuesta[[#This Row],[Me siento motivado a dar lo mejor de mí y hacer un buen trabajo]],#REF!,#REF!)</f>
        <v>#REF!</v>
      </c>
      <c r="J702" t="s">
        <v>23</v>
      </c>
      <c r="K702" t="e">
        <f>+_xlfn.XLOOKUP(tbl_encuesta[[#This Row],[Mi supervisor o jefe directo me otorga el soporte que necesito para afrontar cualquier problema que afecte mi trabajo]],#REF!,#REF!)</f>
        <v>#REF!</v>
      </c>
      <c r="L702" t="s">
        <v>23</v>
      </c>
      <c r="M702" t="e">
        <f>+_xlfn.XLOOKUP(tbl_encuesta[[#This Row],[Mi supervisor o jefe directo fomenta que nos apoyemos entre todos en el equipo]],#REF!,#REF!)</f>
        <v>#REF!</v>
      </c>
      <c r="N702" t="s">
        <v>22</v>
      </c>
      <c r="O702" t="e">
        <f>+_xlfn.XLOOKUP(tbl_encuesta[[#This Row],[Siento que mi trabajo es reconocido por mi supervisor o jefe directo.]],#REF!,#REF!)</f>
        <v>#REF!</v>
      </c>
      <c r="P702" t="s">
        <v>31</v>
      </c>
      <c r="Q702" t="e">
        <f xml:space="preserve">
_xlfn.XLOOKUP(
tbl_encuesta[[#This Row],[Mi supervisor o jefe directo nos brinda charlas de 5 minutos y comunica las novedades relevantes a mi puesto de trabajo]],#REF!,#REF!
)</f>
        <v>#REF!</v>
      </c>
      <c r="R702" t="s">
        <v>17</v>
      </c>
      <c r="S702" t="s">
        <v>18</v>
      </c>
      <c r="W702" t="s">
        <v>25</v>
      </c>
      <c r="X702" t="s">
        <v>23</v>
      </c>
      <c r="Y702" t="e">
        <f>+_xlfn.XLOOKUP(tbl_encuesta[[#This Row],[Considero a Limtek como un buen lugar para trabajar]],#REF!,#REF!)</f>
        <v>#REF!</v>
      </c>
      <c r="Z702" t="s">
        <v>1811</v>
      </c>
      <c r="AA702" t="s">
        <v>1812</v>
      </c>
      <c r="AB702" t="s">
        <v>28</v>
      </c>
      <c r="AC702" s="3" t="s">
        <v>1867</v>
      </c>
      <c r="AD702" s="3" t="s">
        <v>3757</v>
      </c>
      <c r="AE702" t="s">
        <v>34</v>
      </c>
    </row>
    <row r="703" spans="1:31" x14ac:dyDescent="0.25">
      <c r="A703">
        <v>119028361040</v>
      </c>
      <c r="B703">
        <v>462598545</v>
      </c>
      <c r="C703" s="1">
        <v>46021.516782407409</v>
      </c>
      <c r="D703" s="1">
        <v>46021.519733796296</v>
      </c>
      <c r="E703" t="s">
        <v>1813</v>
      </c>
      <c r="F703" t="s">
        <v>23</v>
      </c>
      <c r="G703" t="e">
        <f>+_xlfn.XLOOKUP(tbl_encuesta[[#This Row],[Me siento a gusto con el ambiente de trabajo que se genera en mi equipo.]],#REF!,#REF!)</f>
        <v>#REF!</v>
      </c>
      <c r="H703" t="s">
        <v>23</v>
      </c>
      <c r="I703" t="e">
        <f>+_xlfn.XLOOKUP(tbl_encuesta[[#This Row],[Me siento motivado a dar lo mejor de mí y hacer un buen trabajo]],#REF!,#REF!)</f>
        <v>#REF!</v>
      </c>
      <c r="J703" t="s">
        <v>23</v>
      </c>
      <c r="K703" t="e">
        <f>+_xlfn.XLOOKUP(tbl_encuesta[[#This Row],[Mi supervisor o jefe directo me otorga el soporte que necesito para afrontar cualquier problema que afecte mi trabajo]],#REF!,#REF!)</f>
        <v>#REF!</v>
      </c>
      <c r="L703" t="s">
        <v>23</v>
      </c>
      <c r="M703" t="e">
        <f>+_xlfn.XLOOKUP(tbl_encuesta[[#This Row],[Mi supervisor o jefe directo fomenta que nos apoyemos entre todos en el equipo]],#REF!,#REF!)</f>
        <v>#REF!</v>
      </c>
      <c r="N703" t="s">
        <v>23</v>
      </c>
      <c r="O703" t="e">
        <f>+_xlfn.XLOOKUP(tbl_encuesta[[#This Row],[Siento que mi trabajo es reconocido por mi supervisor o jefe directo.]],#REF!,#REF!)</f>
        <v>#REF!</v>
      </c>
      <c r="P703" t="s">
        <v>31</v>
      </c>
      <c r="Q703" t="e">
        <f xml:space="preserve">
_xlfn.XLOOKUP(
tbl_encuesta[[#This Row],[Mi supervisor o jefe directo nos brinda charlas de 5 minutos y comunica las novedades relevantes a mi puesto de trabajo]],#REF!,#REF!
)</f>
        <v>#REF!</v>
      </c>
      <c r="R703" t="s">
        <v>17</v>
      </c>
      <c r="W703" t="s">
        <v>46</v>
      </c>
      <c r="X703" t="s">
        <v>23</v>
      </c>
      <c r="Y703" t="e">
        <f>+_xlfn.XLOOKUP(tbl_encuesta[[#This Row],[Considero a Limtek como un buen lugar para trabajar]],#REF!,#REF!)</f>
        <v>#REF!</v>
      </c>
      <c r="Z703" t="s">
        <v>1814</v>
      </c>
      <c r="AA703" t="s">
        <v>1815</v>
      </c>
      <c r="AB703" t="s">
        <v>619</v>
      </c>
      <c r="AC703" s="3" t="s">
        <v>3610</v>
      </c>
      <c r="AD703" s="3" t="s">
        <v>3610</v>
      </c>
      <c r="AE703" t="s">
        <v>34</v>
      </c>
    </row>
    <row r="704" spans="1:31" x14ac:dyDescent="0.25">
      <c r="A704">
        <v>119028360764</v>
      </c>
      <c r="B704">
        <v>462598545</v>
      </c>
      <c r="C704" s="1">
        <v>46021.516944444447</v>
      </c>
      <c r="D704" s="1">
        <v>46021.519375000003</v>
      </c>
      <c r="E704" t="s">
        <v>1816</v>
      </c>
      <c r="F704" t="s">
        <v>23</v>
      </c>
      <c r="G704" t="e">
        <f>+_xlfn.XLOOKUP(tbl_encuesta[[#This Row],[Me siento a gusto con el ambiente de trabajo que se genera en mi equipo.]],#REF!,#REF!)</f>
        <v>#REF!</v>
      </c>
      <c r="H704" t="s">
        <v>23</v>
      </c>
      <c r="I704" t="e">
        <f>+_xlfn.XLOOKUP(tbl_encuesta[[#This Row],[Me siento motivado a dar lo mejor de mí y hacer un buen trabajo]],#REF!,#REF!)</f>
        <v>#REF!</v>
      </c>
      <c r="J704" t="s">
        <v>23</v>
      </c>
      <c r="K704" t="e">
        <f>+_xlfn.XLOOKUP(tbl_encuesta[[#This Row],[Mi supervisor o jefe directo me otorga el soporte que necesito para afrontar cualquier problema que afecte mi trabajo]],#REF!,#REF!)</f>
        <v>#REF!</v>
      </c>
      <c r="L704" t="s">
        <v>23</v>
      </c>
      <c r="M704" t="e">
        <f>+_xlfn.XLOOKUP(tbl_encuesta[[#This Row],[Mi supervisor o jefe directo fomenta que nos apoyemos entre todos en el equipo]],#REF!,#REF!)</f>
        <v>#REF!</v>
      </c>
      <c r="N704" t="s">
        <v>23</v>
      </c>
      <c r="O704" t="e">
        <f>+_xlfn.XLOOKUP(tbl_encuesta[[#This Row],[Siento que mi trabajo es reconocido por mi supervisor o jefe directo.]],#REF!,#REF!)</f>
        <v>#REF!</v>
      </c>
      <c r="P704" t="s">
        <v>31</v>
      </c>
      <c r="Q704" t="e">
        <f xml:space="preserve">
_xlfn.XLOOKUP(
tbl_encuesta[[#This Row],[Mi supervisor o jefe directo nos brinda charlas de 5 minutos y comunica las novedades relevantes a mi puesto de trabajo]],#REF!,#REF!
)</f>
        <v>#REF!</v>
      </c>
      <c r="R704" t="s">
        <v>17</v>
      </c>
      <c r="W704" t="s">
        <v>46</v>
      </c>
      <c r="X704" t="s">
        <v>23</v>
      </c>
      <c r="Y704" t="e">
        <f>+_xlfn.XLOOKUP(tbl_encuesta[[#This Row],[Considero a Limtek como un buen lugar para trabajar]],#REF!,#REF!)</f>
        <v>#REF!</v>
      </c>
      <c r="Z704" t="s">
        <v>101</v>
      </c>
      <c r="AA704" t="s">
        <v>46</v>
      </c>
      <c r="AB704" t="s">
        <v>28</v>
      </c>
      <c r="AC704" t="s">
        <v>3744</v>
      </c>
      <c r="AD704" t="s">
        <v>3744</v>
      </c>
      <c r="AE704" t="s">
        <v>29</v>
      </c>
    </row>
    <row r="705" spans="1:31" x14ac:dyDescent="0.25">
      <c r="A705">
        <v>119028359719</v>
      </c>
      <c r="B705">
        <v>462598545</v>
      </c>
      <c r="C705" s="1">
        <v>46021.50582175926</v>
      </c>
      <c r="D705" s="1">
        <v>46021.517881944441</v>
      </c>
      <c r="E705" t="s">
        <v>1817</v>
      </c>
      <c r="F705" t="s">
        <v>23</v>
      </c>
      <c r="G705" t="e">
        <f>+_xlfn.XLOOKUP(tbl_encuesta[[#This Row],[Me siento a gusto con el ambiente de trabajo que se genera en mi equipo.]],#REF!,#REF!)</f>
        <v>#REF!</v>
      </c>
      <c r="H705" t="s">
        <v>23</v>
      </c>
      <c r="I705" t="e">
        <f>+_xlfn.XLOOKUP(tbl_encuesta[[#This Row],[Me siento motivado a dar lo mejor de mí y hacer un buen trabajo]],#REF!,#REF!)</f>
        <v>#REF!</v>
      </c>
      <c r="J705" t="s">
        <v>23</v>
      </c>
      <c r="K705" t="e">
        <f>+_xlfn.XLOOKUP(tbl_encuesta[[#This Row],[Mi supervisor o jefe directo me otorga el soporte que necesito para afrontar cualquier problema que afecte mi trabajo]],#REF!,#REF!)</f>
        <v>#REF!</v>
      </c>
      <c r="L705" t="s">
        <v>23</v>
      </c>
      <c r="M705" t="e">
        <f>+_xlfn.XLOOKUP(tbl_encuesta[[#This Row],[Mi supervisor o jefe directo fomenta que nos apoyemos entre todos en el equipo]],#REF!,#REF!)</f>
        <v>#REF!</v>
      </c>
      <c r="N705" t="s">
        <v>23</v>
      </c>
      <c r="O705" t="e">
        <f>+_xlfn.XLOOKUP(tbl_encuesta[[#This Row],[Siento que mi trabajo es reconocido por mi supervisor o jefe directo.]],#REF!,#REF!)</f>
        <v>#REF!</v>
      </c>
      <c r="P705" t="s">
        <v>31</v>
      </c>
      <c r="Q705" t="e">
        <f xml:space="preserve">
_xlfn.XLOOKUP(
tbl_encuesta[[#This Row],[Mi supervisor o jefe directo nos brinda charlas de 5 minutos y comunica las novedades relevantes a mi puesto de trabajo]],#REF!,#REF!
)</f>
        <v>#REF!</v>
      </c>
      <c r="T705" t="s">
        <v>19</v>
      </c>
      <c r="U705" t="s">
        <v>20</v>
      </c>
      <c r="W705" t="s">
        <v>25</v>
      </c>
      <c r="X705" t="s">
        <v>23</v>
      </c>
      <c r="Y705" t="e">
        <f>+_xlfn.XLOOKUP(tbl_encuesta[[#This Row],[Considero a Limtek como un buen lugar para trabajar]],#REF!,#REF!)</f>
        <v>#REF!</v>
      </c>
      <c r="Z705" t="s">
        <v>1818</v>
      </c>
      <c r="AA705" t="s">
        <v>1819</v>
      </c>
      <c r="AB705" t="s">
        <v>559</v>
      </c>
      <c r="AC705" s="3" t="s">
        <v>3802</v>
      </c>
      <c r="AD705" s="3" t="s">
        <v>3807</v>
      </c>
      <c r="AE705" t="s">
        <v>69</v>
      </c>
    </row>
    <row r="706" spans="1:31" x14ac:dyDescent="0.25">
      <c r="A706">
        <v>119028354674</v>
      </c>
      <c r="B706">
        <v>462598545</v>
      </c>
      <c r="C706" s="1">
        <v>46021.507060185184</v>
      </c>
      <c r="D706" s="1">
        <v>46021.510925925926</v>
      </c>
      <c r="E706" t="s">
        <v>1820</v>
      </c>
      <c r="F706" t="s">
        <v>23</v>
      </c>
      <c r="G706" t="e">
        <f>+_xlfn.XLOOKUP(tbl_encuesta[[#This Row],[Me siento a gusto con el ambiente de trabajo que se genera en mi equipo.]],#REF!,#REF!)</f>
        <v>#REF!</v>
      </c>
      <c r="H706" t="s">
        <v>23</v>
      </c>
      <c r="I706" t="e">
        <f>+_xlfn.XLOOKUP(tbl_encuesta[[#This Row],[Me siento motivado a dar lo mejor de mí y hacer un buen trabajo]],#REF!,#REF!)</f>
        <v>#REF!</v>
      </c>
      <c r="J706" t="s">
        <v>23</v>
      </c>
      <c r="K706" t="e">
        <f>+_xlfn.XLOOKUP(tbl_encuesta[[#This Row],[Mi supervisor o jefe directo me otorga el soporte que necesito para afrontar cualquier problema que afecte mi trabajo]],#REF!,#REF!)</f>
        <v>#REF!</v>
      </c>
      <c r="L706" t="s">
        <v>23</v>
      </c>
      <c r="M706" t="e">
        <f>+_xlfn.XLOOKUP(tbl_encuesta[[#This Row],[Mi supervisor o jefe directo fomenta que nos apoyemos entre todos en el equipo]],#REF!,#REF!)</f>
        <v>#REF!</v>
      </c>
      <c r="N706" t="s">
        <v>23</v>
      </c>
      <c r="O706" t="e">
        <f>+_xlfn.XLOOKUP(tbl_encuesta[[#This Row],[Siento que mi trabajo es reconocido por mi supervisor o jefe directo.]],#REF!,#REF!)</f>
        <v>#REF!</v>
      </c>
      <c r="P706" t="s">
        <v>31</v>
      </c>
      <c r="Q706" t="e">
        <f xml:space="preserve">
_xlfn.XLOOKUP(
tbl_encuesta[[#This Row],[Mi supervisor o jefe directo nos brinda charlas de 5 minutos y comunica las novedades relevantes a mi puesto de trabajo]],#REF!,#REF!
)</f>
        <v>#REF!</v>
      </c>
      <c r="R706" t="s">
        <v>17</v>
      </c>
      <c r="T706" t="s">
        <v>19</v>
      </c>
      <c r="W706" t="s">
        <v>25</v>
      </c>
      <c r="X706" t="s">
        <v>23</v>
      </c>
      <c r="Y706" t="e">
        <f>+_xlfn.XLOOKUP(tbl_encuesta[[#This Row],[Considero a Limtek como un buen lugar para trabajar]],#REF!,#REF!)</f>
        <v>#REF!</v>
      </c>
      <c r="Z706" t="s">
        <v>1821</v>
      </c>
      <c r="AA706" t="s">
        <v>1822</v>
      </c>
      <c r="AB706" t="s">
        <v>28</v>
      </c>
      <c r="AC706" t="s">
        <v>3744</v>
      </c>
      <c r="AD706" t="s">
        <v>3744</v>
      </c>
      <c r="AE706" t="s">
        <v>69</v>
      </c>
    </row>
    <row r="707" spans="1:31" x14ac:dyDescent="0.25">
      <c r="A707">
        <v>119028352973</v>
      </c>
      <c r="B707">
        <v>462598545</v>
      </c>
      <c r="C707" s="1">
        <v>46021.504340277781</v>
      </c>
      <c r="D707" s="1">
        <v>46021.508564814816</v>
      </c>
      <c r="E707" t="s">
        <v>1823</v>
      </c>
      <c r="F707" t="s">
        <v>23</v>
      </c>
      <c r="G707" t="e">
        <f>+_xlfn.XLOOKUP(tbl_encuesta[[#This Row],[Me siento a gusto con el ambiente de trabajo que se genera en mi equipo.]],#REF!,#REF!)</f>
        <v>#REF!</v>
      </c>
      <c r="H707" t="s">
        <v>23</v>
      </c>
      <c r="I707" t="e">
        <f>+_xlfn.XLOOKUP(tbl_encuesta[[#This Row],[Me siento motivado a dar lo mejor de mí y hacer un buen trabajo]],#REF!,#REF!)</f>
        <v>#REF!</v>
      </c>
      <c r="J707" t="s">
        <v>23</v>
      </c>
      <c r="K707" t="e">
        <f>+_xlfn.XLOOKUP(tbl_encuesta[[#This Row],[Mi supervisor o jefe directo me otorga el soporte que necesito para afrontar cualquier problema que afecte mi trabajo]],#REF!,#REF!)</f>
        <v>#REF!</v>
      </c>
      <c r="L707" t="s">
        <v>23</v>
      </c>
      <c r="M707" t="e">
        <f>+_xlfn.XLOOKUP(tbl_encuesta[[#This Row],[Mi supervisor o jefe directo fomenta que nos apoyemos entre todos en el equipo]],#REF!,#REF!)</f>
        <v>#REF!</v>
      </c>
      <c r="N707" t="s">
        <v>22</v>
      </c>
      <c r="O707" t="e">
        <f>+_xlfn.XLOOKUP(tbl_encuesta[[#This Row],[Siento que mi trabajo es reconocido por mi supervisor o jefe directo.]],#REF!,#REF!)</f>
        <v>#REF!</v>
      </c>
      <c r="P707" t="s">
        <v>67</v>
      </c>
      <c r="Q707" t="e">
        <f xml:space="preserve">
_xlfn.XLOOKUP(
tbl_encuesta[[#This Row],[Mi supervisor o jefe directo nos brinda charlas de 5 minutos y comunica las novedades relevantes a mi puesto de trabajo]],#REF!,#REF!
)</f>
        <v>#REF!</v>
      </c>
      <c r="R707" t="s">
        <v>17</v>
      </c>
      <c r="T707" t="s">
        <v>19</v>
      </c>
      <c r="W707" t="s">
        <v>25</v>
      </c>
      <c r="X707" t="s">
        <v>23</v>
      </c>
      <c r="Y707" t="e">
        <f>+_xlfn.XLOOKUP(tbl_encuesta[[#This Row],[Considero a Limtek como un buen lugar para trabajar]],#REF!,#REF!)</f>
        <v>#REF!</v>
      </c>
      <c r="Z707" t="s">
        <v>1824</v>
      </c>
      <c r="AA707" t="s">
        <v>1825</v>
      </c>
      <c r="AB707" t="s">
        <v>559</v>
      </c>
      <c r="AC707" s="3" t="s">
        <v>3802</v>
      </c>
      <c r="AD707" s="3" t="s">
        <v>3806</v>
      </c>
      <c r="AE707" t="s">
        <v>69</v>
      </c>
    </row>
    <row r="708" spans="1:31" x14ac:dyDescent="0.25">
      <c r="A708">
        <v>119028352774</v>
      </c>
      <c r="B708">
        <v>462598545</v>
      </c>
      <c r="C708" s="1">
        <v>46021.506122685183</v>
      </c>
      <c r="D708" s="1">
        <v>46021.508252314816</v>
      </c>
      <c r="E708" t="s">
        <v>1826</v>
      </c>
      <c r="F708" t="s">
        <v>23</v>
      </c>
      <c r="G708" t="e">
        <f>+_xlfn.XLOOKUP(tbl_encuesta[[#This Row],[Me siento a gusto con el ambiente de trabajo que se genera en mi equipo.]],#REF!,#REF!)</f>
        <v>#REF!</v>
      </c>
      <c r="H708" t="s">
        <v>23</v>
      </c>
      <c r="I708" t="e">
        <f>+_xlfn.XLOOKUP(tbl_encuesta[[#This Row],[Me siento motivado a dar lo mejor de mí y hacer un buen trabajo]],#REF!,#REF!)</f>
        <v>#REF!</v>
      </c>
      <c r="J708" t="s">
        <v>22</v>
      </c>
      <c r="K708" t="e">
        <f>+_xlfn.XLOOKUP(tbl_encuesta[[#This Row],[Mi supervisor o jefe directo me otorga el soporte que necesito para afrontar cualquier problema que afecte mi trabajo]],#REF!,#REF!)</f>
        <v>#REF!</v>
      </c>
      <c r="L708" t="s">
        <v>22</v>
      </c>
      <c r="M708" t="e">
        <f>+_xlfn.XLOOKUP(tbl_encuesta[[#This Row],[Mi supervisor o jefe directo fomenta que nos apoyemos entre todos en el equipo]],#REF!,#REF!)</f>
        <v>#REF!</v>
      </c>
      <c r="N708" t="s">
        <v>23</v>
      </c>
      <c r="O708" t="e">
        <f>+_xlfn.XLOOKUP(tbl_encuesta[[#This Row],[Siento que mi trabajo es reconocido por mi supervisor o jefe directo.]],#REF!,#REF!)</f>
        <v>#REF!</v>
      </c>
      <c r="P708" t="s">
        <v>67</v>
      </c>
      <c r="Q708" t="e">
        <f xml:space="preserve">
_xlfn.XLOOKUP(
tbl_encuesta[[#This Row],[Mi supervisor o jefe directo nos brinda charlas de 5 minutos y comunica las novedades relevantes a mi puesto de trabajo]],#REF!,#REF!
)</f>
        <v>#REF!</v>
      </c>
      <c r="R708" t="s">
        <v>17</v>
      </c>
      <c r="W708" t="s">
        <v>46</v>
      </c>
      <c r="X708" t="s">
        <v>22</v>
      </c>
      <c r="Y708" t="e">
        <f>+_xlfn.XLOOKUP(tbl_encuesta[[#This Row],[Considero a Limtek como un buen lugar para trabajar]],#REF!,#REF!)</f>
        <v>#REF!</v>
      </c>
      <c r="Z708" t="s">
        <v>1827</v>
      </c>
      <c r="AA708" t="s">
        <v>1828</v>
      </c>
      <c r="AB708" t="s">
        <v>28</v>
      </c>
      <c r="AC708" s="3" t="s">
        <v>3733</v>
      </c>
      <c r="AD708" s="3" t="s">
        <v>3734</v>
      </c>
      <c r="AE708" t="s">
        <v>34</v>
      </c>
    </row>
    <row r="709" spans="1:31" x14ac:dyDescent="0.25">
      <c r="A709">
        <v>119028352751</v>
      </c>
      <c r="B709">
        <v>462598545</v>
      </c>
      <c r="C709" s="1">
        <v>46021.506956018522</v>
      </c>
      <c r="D709" s="1">
        <v>46021.508229166669</v>
      </c>
      <c r="E709" t="s">
        <v>1829</v>
      </c>
      <c r="F709" t="s">
        <v>22</v>
      </c>
      <c r="G709" t="e">
        <f>+_xlfn.XLOOKUP(tbl_encuesta[[#This Row],[Me siento a gusto con el ambiente de trabajo que se genera en mi equipo.]],#REF!,#REF!)</f>
        <v>#REF!</v>
      </c>
      <c r="H709" t="s">
        <v>22</v>
      </c>
      <c r="I709" t="e">
        <f>+_xlfn.XLOOKUP(tbl_encuesta[[#This Row],[Me siento motivado a dar lo mejor de mí y hacer un buen trabajo]],#REF!,#REF!)</f>
        <v>#REF!</v>
      </c>
      <c r="J709" t="s">
        <v>22</v>
      </c>
      <c r="K709" t="e">
        <f>+_xlfn.XLOOKUP(tbl_encuesta[[#This Row],[Mi supervisor o jefe directo me otorga el soporte que necesito para afrontar cualquier problema que afecte mi trabajo]],#REF!,#REF!)</f>
        <v>#REF!</v>
      </c>
      <c r="L709" t="s">
        <v>22</v>
      </c>
      <c r="M709" t="e">
        <f>+_xlfn.XLOOKUP(tbl_encuesta[[#This Row],[Mi supervisor o jefe directo fomenta que nos apoyemos entre todos en el equipo]],#REF!,#REF!)</f>
        <v>#REF!</v>
      </c>
      <c r="N709" t="s">
        <v>22</v>
      </c>
      <c r="O709" t="e">
        <f>+_xlfn.XLOOKUP(tbl_encuesta[[#This Row],[Siento que mi trabajo es reconocido por mi supervisor o jefe directo.]],#REF!,#REF!)</f>
        <v>#REF!</v>
      </c>
      <c r="P709" t="s">
        <v>67</v>
      </c>
      <c r="Q709" t="e">
        <f xml:space="preserve">
_xlfn.XLOOKUP(
tbl_encuesta[[#This Row],[Mi supervisor o jefe directo nos brinda charlas de 5 minutos y comunica las novedades relevantes a mi puesto de trabajo]],#REF!,#REF!
)</f>
        <v>#REF!</v>
      </c>
      <c r="R709" t="s">
        <v>17</v>
      </c>
      <c r="W709" t="s">
        <v>25</v>
      </c>
      <c r="X709" t="s">
        <v>22</v>
      </c>
      <c r="Y709" t="e">
        <f>+_xlfn.XLOOKUP(tbl_encuesta[[#This Row],[Considero a Limtek como un buen lugar para trabajar]],#REF!,#REF!)</f>
        <v>#REF!</v>
      </c>
      <c r="Z709" t="s">
        <v>1830</v>
      </c>
      <c r="AA709" t="s">
        <v>1831</v>
      </c>
      <c r="AB709" t="s">
        <v>28</v>
      </c>
      <c r="AC709" s="3" t="s">
        <v>3716</v>
      </c>
      <c r="AD709" s="3" t="s">
        <v>3723</v>
      </c>
      <c r="AE709" t="s">
        <v>69</v>
      </c>
    </row>
    <row r="710" spans="1:31" x14ac:dyDescent="0.25">
      <c r="A710">
        <v>119028352341</v>
      </c>
      <c r="B710">
        <v>462598545</v>
      </c>
      <c r="C710" s="1">
        <v>46021.502893518518</v>
      </c>
      <c r="D710" s="1">
        <v>46021.507696759261</v>
      </c>
      <c r="E710" t="s">
        <v>1832</v>
      </c>
      <c r="F710" t="s">
        <v>97</v>
      </c>
      <c r="G710" t="e">
        <f>+_xlfn.XLOOKUP(tbl_encuesta[[#This Row],[Me siento a gusto con el ambiente de trabajo que se genera en mi equipo.]],#REF!,#REF!)</f>
        <v>#REF!</v>
      </c>
      <c r="H710" t="s">
        <v>97</v>
      </c>
      <c r="I710" t="e">
        <f>+_xlfn.XLOOKUP(tbl_encuesta[[#This Row],[Me siento motivado a dar lo mejor de mí y hacer un buen trabajo]],#REF!,#REF!)</f>
        <v>#REF!</v>
      </c>
      <c r="J710" t="s">
        <v>23</v>
      </c>
      <c r="K710" t="e">
        <f>+_xlfn.XLOOKUP(tbl_encuesta[[#This Row],[Mi supervisor o jefe directo me otorga el soporte que necesito para afrontar cualquier problema que afecte mi trabajo]],#REF!,#REF!)</f>
        <v>#REF!</v>
      </c>
      <c r="L710" t="s">
        <v>23</v>
      </c>
      <c r="M710" t="e">
        <f>+_xlfn.XLOOKUP(tbl_encuesta[[#This Row],[Mi supervisor o jefe directo fomenta que nos apoyemos entre todos en el equipo]],#REF!,#REF!)</f>
        <v>#REF!</v>
      </c>
      <c r="N710" t="s">
        <v>22</v>
      </c>
      <c r="O710" t="e">
        <f>+_xlfn.XLOOKUP(tbl_encuesta[[#This Row],[Siento que mi trabajo es reconocido por mi supervisor o jefe directo.]],#REF!,#REF!)</f>
        <v>#REF!</v>
      </c>
      <c r="P710" t="s">
        <v>31</v>
      </c>
      <c r="Q710" t="e">
        <f xml:space="preserve">
_xlfn.XLOOKUP(
tbl_encuesta[[#This Row],[Mi supervisor o jefe directo nos brinda charlas de 5 minutos y comunica las novedades relevantes a mi puesto de trabajo]],#REF!,#REF!
)</f>
        <v>#REF!</v>
      </c>
      <c r="U710" t="s">
        <v>20</v>
      </c>
      <c r="W710" t="s">
        <v>25</v>
      </c>
      <c r="X710" t="s">
        <v>23</v>
      </c>
      <c r="Y710" t="e">
        <f>+_xlfn.XLOOKUP(tbl_encuesta[[#This Row],[Considero a Limtek como un buen lugar para trabajar]],#REF!,#REF!)</f>
        <v>#REF!</v>
      </c>
      <c r="Z710" t="s">
        <v>638</v>
      </c>
      <c r="AA710" t="s">
        <v>1833</v>
      </c>
      <c r="AB710" t="s">
        <v>559</v>
      </c>
      <c r="AC710" s="3" t="s">
        <v>3802</v>
      </c>
      <c r="AD710" s="3" t="s">
        <v>3806</v>
      </c>
      <c r="AE710" t="s">
        <v>69</v>
      </c>
    </row>
    <row r="711" spans="1:31" x14ac:dyDescent="0.25">
      <c r="A711">
        <v>119028352243</v>
      </c>
      <c r="B711">
        <v>462598545</v>
      </c>
      <c r="C711" s="1">
        <v>46021.500324074077</v>
      </c>
      <c r="D711" s="1">
        <v>46021.507557870369</v>
      </c>
      <c r="E711" t="s">
        <v>1834</v>
      </c>
      <c r="F711" t="s">
        <v>23</v>
      </c>
      <c r="G711" t="e">
        <f>+_xlfn.XLOOKUP(tbl_encuesta[[#This Row],[Me siento a gusto con el ambiente de trabajo que se genera en mi equipo.]],#REF!,#REF!)</f>
        <v>#REF!</v>
      </c>
      <c r="H711" t="s">
        <v>22</v>
      </c>
      <c r="I711" t="e">
        <f>+_xlfn.XLOOKUP(tbl_encuesta[[#This Row],[Me siento motivado a dar lo mejor de mí y hacer un buen trabajo]],#REF!,#REF!)</f>
        <v>#REF!</v>
      </c>
      <c r="J711" t="s">
        <v>23</v>
      </c>
      <c r="K711" t="e">
        <f>+_xlfn.XLOOKUP(tbl_encuesta[[#This Row],[Mi supervisor o jefe directo me otorga el soporte que necesito para afrontar cualquier problema que afecte mi trabajo]],#REF!,#REF!)</f>
        <v>#REF!</v>
      </c>
      <c r="L711" t="s">
        <v>22</v>
      </c>
      <c r="M711" t="e">
        <f>+_xlfn.XLOOKUP(tbl_encuesta[[#This Row],[Mi supervisor o jefe directo fomenta que nos apoyemos entre todos en el equipo]],#REF!,#REF!)</f>
        <v>#REF!</v>
      </c>
      <c r="N711" t="s">
        <v>22</v>
      </c>
      <c r="O711" t="e">
        <f>+_xlfn.XLOOKUP(tbl_encuesta[[#This Row],[Siento que mi trabajo es reconocido por mi supervisor o jefe directo.]],#REF!,#REF!)</f>
        <v>#REF!</v>
      </c>
      <c r="P711" t="s">
        <v>31</v>
      </c>
      <c r="Q711" t="e">
        <f xml:space="preserve">
_xlfn.XLOOKUP(
tbl_encuesta[[#This Row],[Mi supervisor o jefe directo nos brinda charlas de 5 minutos y comunica las novedades relevantes a mi puesto de trabajo]],#REF!,#REF!
)</f>
        <v>#REF!</v>
      </c>
      <c r="R711" t="s">
        <v>17</v>
      </c>
      <c r="T711" t="s">
        <v>19</v>
      </c>
      <c r="W711" t="s">
        <v>25</v>
      </c>
      <c r="X711" t="s">
        <v>23</v>
      </c>
      <c r="Y711" t="e">
        <f>+_xlfn.XLOOKUP(tbl_encuesta[[#This Row],[Considero a Limtek como un buen lugar para trabajar]],#REF!,#REF!)</f>
        <v>#REF!</v>
      </c>
      <c r="Z711" t="s">
        <v>1835</v>
      </c>
      <c r="AA711" t="s">
        <v>1836</v>
      </c>
      <c r="AB711" t="s">
        <v>28</v>
      </c>
      <c r="AC711" s="3" t="s">
        <v>1867</v>
      </c>
      <c r="AD711" s="3" t="s">
        <v>3757</v>
      </c>
      <c r="AE711" t="s">
        <v>34</v>
      </c>
    </row>
    <row r="712" spans="1:31" x14ac:dyDescent="0.25">
      <c r="A712">
        <v>119028351654</v>
      </c>
      <c r="B712">
        <v>462598545</v>
      </c>
      <c r="C712" s="1">
        <v>46021.502916666665</v>
      </c>
      <c r="D712" s="1">
        <v>46021.50675925926</v>
      </c>
      <c r="E712" t="s">
        <v>1837</v>
      </c>
      <c r="F712" t="s">
        <v>22</v>
      </c>
      <c r="G712" t="e">
        <f>+_xlfn.XLOOKUP(tbl_encuesta[[#This Row],[Me siento a gusto con el ambiente de trabajo que se genera en mi equipo.]],#REF!,#REF!)</f>
        <v>#REF!</v>
      </c>
      <c r="H712" t="s">
        <v>97</v>
      </c>
      <c r="I712" t="e">
        <f>+_xlfn.XLOOKUP(tbl_encuesta[[#This Row],[Me siento motivado a dar lo mejor de mí y hacer un buen trabajo]],#REF!,#REF!)</f>
        <v>#REF!</v>
      </c>
      <c r="J712" t="s">
        <v>22</v>
      </c>
      <c r="K712" t="e">
        <f>+_xlfn.XLOOKUP(tbl_encuesta[[#This Row],[Mi supervisor o jefe directo me otorga el soporte que necesito para afrontar cualquier problema que afecte mi trabajo]],#REF!,#REF!)</f>
        <v>#REF!</v>
      </c>
      <c r="L712" t="s">
        <v>22</v>
      </c>
      <c r="M712" t="e">
        <f>+_xlfn.XLOOKUP(tbl_encuesta[[#This Row],[Mi supervisor o jefe directo fomenta que nos apoyemos entre todos en el equipo]],#REF!,#REF!)</f>
        <v>#REF!</v>
      </c>
      <c r="N712" t="s">
        <v>22</v>
      </c>
      <c r="O712" t="e">
        <f>+_xlfn.XLOOKUP(tbl_encuesta[[#This Row],[Siento que mi trabajo es reconocido por mi supervisor o jefe directo.]],#REF!,#REF!)</f>
        <v>#REF!</v>
      </c>
      <c r="P712" t="s">
        <v>31</v>
      </c>
      <c r="Q712" t="e">
        <f xml:space="preserve">
_xlfn.XLOOKUP(
tbl_encuesta[[#This Row],[Mi supervisor o jefe directo nos brinda charlas de 5 minutos y comunica las novedades relevantes a mi puesto de trabajo]],#REF!,#REF!
)</f>
        <v>#REF!</v>
      </c>
      <c r="T712" t="s">
        <v>19</v>
      </c>
      <c r="W712" t="s">
        <v>25</v>
      </c>
      <c r="X712" t="s">
        <v>22</v>
      </c>
      <c r="Y712" t="e">
        <f>+_xlfn.XLOOKUP(tbl_encuesta[[#This Row],[Considero a Limtek como un buen lugar para trabajar]],#REF!,#REF!)</f>
        <v>#REF!</v>
      </c>
      <c r="Z712" t="s">
        <v>1838</v>
      </c>
      <c r="AA712" t="s">
        <v>1833</v>
      </c>
      <c r="AB712" t="s">
        <v>559</v>
      </c>
      <c r="AC712" s="3" t="s">
        <v>3802</v>
      </c>
      <c r="AD712" s="3" t="s">
        <v>3806</v>
      </c>
      <c r="AE712" t="s">
        <v>69</v>
      </c>
    </row>
    <row r="713" spans="1:31" x14ac:dyDescent="0.25">
      <c r="A713">
        <v>119028351461</v>
      </c>
      <c r="B713">
        <v>462598545</v>
      </c>
      <c r="C713" s="1">
        <v>46021.499374999999</v>
      </c>
      <c r="D713" s="1">
        <v>46021.506481481483</v>
      </c>
      <c r="E713" t="s">
        <v>1839</v>
      </c>
      <c r="F713" t="s">
        <v>23</v>
      </c>
      <c r="G713" t="e">
        <f>+_xlfn.XLOOKUP(tbl_encuesta[[#This Row],[Me siento a gusto con el ambiente de trabajo que se genera en mi equipo.]],#REF!,#REF!)</f>
        <v>#REF!</v>
      </c>
      <c r="H713" t="s">
        <v>23</v>
      </c>
      <c r="I713" t="e">
        <f>+_xlfn.XLOOKUP(tbl_encuesta[[#This Row],[Me siento motivado a dar lo mejor de mí y hacer un buen trabajo]],#REF!,#REF!)</f>
        <v>#REF!</v>
      </c>
      <c r="J713" t="s">
        <v>23</v>
      </c>
      <c r="K713" t="e">
        <f>+_xlfn.XLOOKUP(tbl_encuesta[[#This Row],[Mi supervisor o jefe directo me otorga el soporte que necesito para afrontar cualquier problema que afecte mi trabajo]],#REF!,#REF!)</f>
        <v>#REF!</v>
      </c>
      <c r="L713" t="s">
        <v>23</v>
      </c>
      <c r="M713" t="e">
        <f>+_xlfn.XLOOKUP(tbl_encuesta[[#This Row],[Mi supervisor o jefe directo fomenta que nos apoyemos entre todos en el equipo]],#REF!,#REF!)</f>
        <v>#REF!</v>
      </c>
      <c r="N713" t="s">
        <v>23</v>
      </c>
      <c r="O713" t="e">
        <f>+_xlfn.XLOOKUP(tbl_encuesta[[#This Row],[Siento que mi trabajo es reconocido por mi supervisor o jefe directo.]],#REF!,#REF!)</f>
        <v>#REF!</v>
      </c>
      <c r="P713" t="s">
        <v>31</v>
      </c>
      <c r="Q713" t="e">
        <f xml:space="preserve">
_xlfn.XLOOKUP(
tbl_encuesta[[#This Row],[Mi supervisor o jefe directo nos brinda charlas de 5 minutos y comunica las novedades relevantes a mi puesto de trabajo]],#REF!,#REF!
)</f>
        <v>#REF!</v>
      </c>
      <c r="R713" t="s">
        <v>17</v>
      </c>
      <c r="U713" t="s">
        <v>20</v>
      </c>
      <c r="W713" t="s">
        <v>25</v>
      </c>
      <c r="X713" t="s">
        <v>23</v>
      </c>
      <c r="Y713" t="e">
        <f>+_xlfn.XLOOKUP(tbl_encuesta[[#This Row],[Considero a Limtek como un buen lugar para trabajar]],#REF!,#REF!)</f>
        <v>#REF!</v>
      </c>
      <c r="Z713" t="s">
        <v>1840</v>
      </c>
      <c r="AA713" t="s">
        <v>1841</v>
      </c>
      <c r="AB713" t="s">
        <v>28</v>
      </c>
      <c r="AC713" s="3" t="s">
        <v>3733</v>
      </c>
      <c r="AD713" s="3" t="s">
        <v>3734</v>
      </c>
      <c r="AE713" t="s">
        <v>29</v>
      </c>
    </row>
    <row r="714" spans="1:31" x14ac:dyDescent="0.25">
      <c r="A714">
        <v>119028351376</v>
      </c>
      <c r="B714">
        <v>462598545</v>
      </c>
      <c r="C714" s="1">
        <v>46021.503217592595</v>
      </c>
      <c r="D714" s="1">
        <v>46021.506354166668</v>
      </c>
      <c r="E714" t="s">
        <v>1842</v>
      </c>
      <c r="F714" t="s">
        <v>23</v>
      </c>
      <c r="G714" t="e">
        <f>+_xlfn.XLOOKUP(tbl_encuesta[[#This Row],[Me siento a gusto con el ambiente de trabajo que se genera en mi equipo.]],#REF!,#REF!)</f>
        <v>#REF!</v>
      </c>
      <c r="H714" t="s">
        <v>23</v>
      </c>
      <c r="I714" t="e">
        <f>+_xlfn.XLOOKUP(tbl_encuesta[[#This Row],[Me siento motivado a dar lo mejor de mí y hacer un buen trabajo]],#REF!,#REF!)</f>
        <v>#REF!</v>
      </c>
      <c r="J714" t="s">
        <v>22</v>
      </c>
      <c r="K714" t="e">
        <f>+_xlfn.XLOOKUP(tbl_encuesta[[#This Row],[Mi supervisor o jefe directo me otorga el soporte que necesito para afrontar cualquier problema que afecte mi trabajo]],#REF!,#REF!)</f>
        <v>#REF!</v>
      </c>
      <c r="L714" t="s">
        <v>22</v>
      </c>
      <c r="M714" t="e">
        <f>+_xlfn.XLOOKUP(tbl_encuesta[[#This Row],[Mi supervisor o jefe directo fomenta que nos apoyemos entre todos en el equipo]],#REF!,#REF!)</f>
        <v>#REF!</v>
      </c>
      <c r="N714" t="s">
        <v>22</v>
      </c>
      <c r="O714" t="e">
        <f>+_xlfn.XLOOKUP(tbl_encuesta[[#This Row],[Siento que mi trabajo es reconocido por mi supervisor o jefe directo.]],#REF!,#REF!)</f>
        <v>#REF!</v>
      </c>
      <c r="P714" t="s">
        <v>67</v>
      </c>
      <c r="Q714" t="e">
        <f xml:space="preserve">
_xlfn.XLOOKUP(
tbl_encuesta[[#This Row],[Mi supervisor o jefe directo nos brinda charlas de 5 minutos y comunica las novedades relevantes a mi puesto de trabajo]],#REF!,#REF!
)</f>
        <v>#REF!</v>
      </c>
      <c r="R714" t="s">
        <v>17</v>
      </c>
      <c r="W714" t="s">
        <v>25</v>
      </c>
      <c r="X714" t="s">
        <v>22</v>
      </c>
      <c r="Y714" t="e">
        <f>+_xlfn.XLOOKUP(tbl_encuesta[[#This Row],[Considero a Limtek como un buen lugar para trabajar]],#REF!,#REF!)</f>
        <v>#REF!</v>
      </c>
      <c r="Z714" t="s">
        <v>641</v>
      </c>
      <c r="AA714" t="s">
        <v>431</v>
      </c>
      <c r="AB714" t="s">
        <v>28</v>
      </c>
      <c r="AC714" s="3" t="s">
        <v>3716</v>
      </c>
      <c r="AD714" s="3" t="s">
        <v>3723</v>
      </c>
      <c r="AE714" t="s">
        <v>29</v>
      </c>
    </row>
    <row r="715" spans="1:31" x14ac:dyDescent="0.25">
      <c r="A715">
        <v>119028351144</v>
      </c>
      <c r="B715">
        <v>462598545</v>
      </c>
      <c r="C715" s="1">
        <v>46021.504166666666</v>
      </c>
      <c r="D715" s="1">
        <v>46021.506041666667</v>
      </c>
      <c r="E715" t="s">
        <v>1843</v>
      </c>
      <c r="F715" t="s">
        <v>23</v>
      </c>
      <c r="G715" t="e">
        <f>+_xlfn.XLOOKUP(tbl_encuesta[[#This Row],[Me siento a gusto con el ambiente de trabajo que se genera en mi equipo.]],#REF!,#REF!)</f>
        <v>#REF!</v>
      </c>
      <c r="H715" t="s">
        <v>23</v>
      </c>
      <c r="I715" t="e">
        <f>+_xlfn.XLOOKUP(tbl_encuesta[[#This Row],[Me siento motivado a dar lo mejor de mí y hacer un buen trabajo]],#REF!,#REF!)</f>
        <v>#REF!</v>
      </c>
      <c r="J715" t="s">
        <v>23</v>
      </c>
      <c r="K715" t="e">
        <f>+_xlfn.XLOOKUP(tbl_encuesta[[#This Row],[Mi supervisor o jefe directo me otorga el soporte que necesito para afrontar cualquier problema que afecte mi trabajo]],#REF!,#REF!)</f>
        <v>#REF!</v>
      </c>
      <c r="L715" t="s">
        <v>23</v>
      </c>
      <c r="M715" t="e">
        <f>+_xlfn.XLOOKUP(tbl_encuesta[[#This Row],[Mi supervisor o jefe directo fomenta que nos apoyemos entre todos en el equipo]],#REF!,#REF!)</f>
        <v>#REF!</v>
      </c>
      <c r="N715" t="s">
        <v>23</v>
      </c>
      <c r="O715" t="e">
        <f>+_xlfn.XLOOKUP(tbl_encuesta[[#This Row],[Siento que mi trabajo es reconocido por mi supervisor o jefe directo.]],#REF!,#REF!)</f>
        <v>#REF!</v>
      </c>
      <c r="P715" t="s">
        <v>31</v>
      </c>
      <c r="Q715" t="e">
        <f xml:space="preserve">
_xlfn.XLOOKUP(
tbl_encuesta[[#This Row],[Mi supervisor o jefe directo nos brinda charlas de 5 minutos y comunica las novedades relevantes a mi puesto de trabajo]],#REF!,#REF!
)</f>
        <v>#REF!</v>
      </c>
      <c r="R715" t="s">
        <v>17</v>
      </c>
      <c r="S715" t="s">
        <v>18</v>
      </c>
      <c r="W715" t="s">
        <v>25</v>
      </c>
      <c r="X715" t="s">
        <v>23</v>
      </c>
      <c r="Y715" t="e">
        <f>+_xlfn.XLOOKUP(tbl_encuesta[[#This Row],[Considero a Limtek como un buen lugar para trabajar]],#REF!,#REF!)</f>
        <v>#REF!</v>
      </c>
      <c r="Z715" t="s">
        <v>1844</v>
      </c>
      <c r="AA715" t="s">
        <v>1841</v>
      </c>
      <c r="AB715" t="s">
        <v>28</v>
      </c>
      <c r="AC715" s="3" t="s">
        <v>3733</v>
      </c>
      <c r="AD715" s="3" t="s">
        <v>3734</v>
      </c>
      <c r="AE715" t="s">
        <v>69</v>
      </c>
    </row>
    <row r="716" spans="1:31" x14ac:dyDescent="0.25">
      <c r="A716">
        <v>119028350750</v>
      </c>
      <c r="B716">
        <v>462598545</v>
      </c>
      <c r="C716" s="1">
        <v>46021.499699074076</v>
      </c>
      <c r="D716" s="1">
        <v>46021.505543981482</v>
      </c>
      <c r="E716" t="s">
        <v>1826</v>
      </c>
      <c r="F716" t="s">
        <v>22</v>
      </c>
      <c r="G716" t="e">
        <f>+_xlfn.XLOOKUP(tbl_encuesta[[#This Row],[Me siento a gusto con el ambiente de trabajo que se genera en mi equipo.]],#REF!,#REF!)</f>
        <v>#REF!</v>
      </c>
      <c r="H716" t="s">
        <v>23</v>
      </c>
      <c r="I716" t="e">
        <f>+_xlfn.XLOOKUP(tbl_encuesta[[#This Row],[Me siento motivado a dar lo mejor de mí y hacer un buen trabajo]],#REF!,#REF!)</f>
        <v>#REF!</v>
      </c>
      <c r="J716" t="s">
        <v>23</v>
      </c>
      <c r="K716" t="e">
        <f>+_xlfn.XLOOKUP(tbl_encuesta[[#This Row],[Mi supervisor o jefe directo me otorga el soporte que necesito para afrontar cualquier problema que afecte mi trabajo]],#REF!,#REF!)</f>
        <v>#REF!</v>
      </c>
      <c r="L716" t="s">
        <v>22</v>
      </c>
      <c r="M716" t="e">
        <f>+_xlfn.XLOOKUP(tbl_encuesta[[#This Row],[Mi supervisor o jefe directo fomenta que nos apoyemos entre todos en el equipo]],#REF!,#REF!)</f>
        <v>#REF!</v>
      </c>
      <c r="N716" t="s">
        <v>23</v>
      </c>
      <c r="O716" t="e">
        <f>+_xlfn.XLOOKUP(tbl_encuesta[[#This Row],[Siento que mi trabajo es reconocido por mi supervisor o jefe directo.]],#REF!,#REF!)</f>
        <v>#REF!</v>
      </c>
      <c r="P716" t="s">
        <v>67</v>
      </c>
      <c r="Q716" t="e">
        <f xml:space="preserve">
_xlfn.XLOOKUP(
tbl_encuesta[[#This Row],[Mi supervisor o jefe directo nos brinda charlas de 5 minutos y comunica las novedades relevantes a mi puesto de trabajo]],#REF!,#REF!
)</f>
        <v>#REF!</v>
      </c>
      <c r="R716" t="s">
        <v>17</v>
      </c>
      <c r="W716" t="s">
        <v>46</v>
      </c>
      <c r="X716" t="s">
        <v>23</v>
      </c>
      <c r="Y716" t="e">
        <f>+_xlfn.XLOOKUP(tbl_encuesta[[#This Row],[Considero a Limtek como un buen lugar para trabajar]],#REF!,#REF!)</f>
        <v>#REF!</v>
      </c>
      <c r="Z716" t="s">
        <v>1845</v>
      </c>
      <c r="AA716" t="s">
        <v>1828</v>
      </c>
      <c r="AB716" t="s">
        <v>28</v>
      </c>
      <c r="AC716" s="3" t="s">
        <v>3733</v>
      </c>
      <c r="AD716" s="3" t="s">
        <v>3734</v>
      </c>
      <c r="AE716" t="s">
        <v>34</v>
      </c>
    </row>
    <row r="717" spans="1:31" x14ac:dyDescent="0.25">
      <c r="A717">
        <v>119028350597</v>
      </c>
      <c r="B717">
        <v>462598545</v>
      </c>
      <c r="C717" s="1">
        <v>46021.503379629627</v>
      </c>
      <c r="D717" s="1">
        <v>46021.505347222221</v>
      </c>
      <c r="E717" t="s">
        <v>1846</v>
      </c>
      <c r="F717" t="s">
        <v>23</v>
      </c>
      <c r="G717" t="e">
        <f>+_xlfn.XLOOKUP(tbl_encuesta[[#This Row],[Me siento a gusto con el ambiente de trabajo que se genera en mi equipo.]],#REF!,#REF!)</f>
        <v>#REF!</v>
      </c>
      <c r="H717" t="s">
        <v>23</v>
      </c>
      <c r="I717" t="e">
        <f>+_xlfn.XLOOKUP(tbl_encuesta[[#This Row],[Me siento motivado a dar lo mejor de mí y hacer un buen trabajo]],#REF!,#REF!)</f>
        <v>#REF!</v>
      </c>
      <c r="J717" t="s">
        <v>23</v>
      </c>
      <c r="K717" t="e">
        <f>+_xlfn.XLOOKUP(tbl_encuesta[[#This Row],[Mi supervisor o jefe directo me otorga el soporte que necesito para afrontar cualquier problema que afecte mi trabajo]],#REF!,#REF!)</f>
        <v>#REF!</v>
      </c>
      <c r="L717" t="s">
        <v>23</v>
      </c>
      <c r="M717" t="e">
        <f>+_xlfn.XLOOKUP(tbl_encuesta[[#This Row],[Mi supervisor o jefe directo fomenta que nos apoyemos entre todos en el equipo]],#REF!,#REF!)</f>
        <v>#REF!</v>
      </c>
      <c r="N717" t="s">
        <v>23</v>
      </c>
      <c r="O717" t="e">
        <f>+_xlfn.XLOOKUP(tbl_encuesta[[#This Row],[Siento que mi trabajo es reconocido por mi supervisor o jefe directo.]],#REF!,#REF!)</f>
        <v>#REF!</v>
      </c>
      <c r="P717" t="s">
        <v>31</v>
      </c>
      <c r="Q717" t="e">
        <f xml:space="preserve">
_xlfn.XLOOKUP(
tbl_encuesta[[#This Row],[Mi supervisor o jefe directo nos brinda charlas de 5 minutos y comunica las novedades relevantes a mi puesto de trabajo]],#REF!,#REF!
)</f>
        <v>#REF!</v>
      </c>
      <c r="R717" t="s">
        <v>17</v>
      </c>
      <c r="W717" t="s">
        <v>25</v>
      </c>
      <c r="X717" t="s">
        <v>23</v>
      </c>
      <c r="Y717" t="e">
        <f>+_xlfn.XLOOKUP(tbl_encuesta[[#This Row],[Considero a Limtek como un buen lugar para trabajar]],#REF!,#REF!)</f>
        <v>#REF!</v>
      </c>
      <c r="Z717" t="s">
        <v>576</v>
      </c>
      <c r="AA717" t="s">
        <v>1847</v>
      </c>
      <c r="AB717" t="s">
        <v>28</v>
      </c>
      <c r="AC717" s="3" t="s">
        <v>3733</v>
      </c>
      <c r="AD717" s="3" t="s">
        <v>3734</v>
      </c>
      <c r="AE717" t="s">
        <v>34</v>
      </c>
    </row>
    <row r="718" spans="1:31" x14ac:dyDescent="0.25">
      <c r="A718">
        <v>119028350139</v>
      </c>
      <c r="B718">
        <v>462598545</v>
      </c>
      <c r="C718" s="1">
        <v>46021.498923611114</v>
      </c>
      <c r="D718" s="1">
        <v>46021.504745370374</v>
      </c>
      <c r="E718" t="s">
        <v>1848</v>
      </c>
      <c r="F718" t="s">
        <v>23</v>
      </c>
      <c r="G718" t="e">
        <f>+_xlfn.XLOOKUP(tbl_encuesta[[#This Row],[Me siento a gusto con el ambiente de trabajo que se genera en mi equipo.]],#REF!,#REF!)</f>
        <v>#REF!</v>
      </c>
      <c r="H718" t="s">
        <v>23</v>
      </c>
      <c r="I718" t="e">
        <f>+_xlfn.XLOOKUP(tbl_encuesta[[#This Row],[Me siento motivado a dar lo mejor de mí y hacer un buen trabajo]],#REF!,#REF!)</f>
        <v>#REF!</v>
      </c>
      <c r="J718" t="s">
        <v>23</v>
      </c>
      <c r="K718" t="e">
        <f>+_xlfn.XLOOKUP(tbl_encuesta[[#This Row],[Mi supervisor o jefe directo me otorga el soporte que necesito para afrontar cualquier problema que afecte mi trabajo]],#REF!,#REF!)</f>
        <v>#REF!</v>
      </c>
      <c r="L718" t="s">
        <v>23</v>
      </c>
      <c r="M718" t="e">
        <f>+_xlfn.XLOOKUP(tbl_encuesta[[#This Row],[Mi supervisor o jefe directo fomenta que nos apoyemos entre todos en el equipo]],#REF!,#REF!)</f>
        <v>#REF!</v>
      </c>
      <c r="N718" t="s">
        <v>23</v>
      </c>
      <c r="O718" t="e">
        <f>+_xlfn.XLOOKUP(tbl_encuesta[[#This Row],[Siento que mi trabajo es reconocido por mi supervisor o jefe directo.]],#REF!,#REF!)</f>
        <v>#REF!</v>
      </c>
      <c r="P718" t="s">
        <v>31</v>
      </c>
      <c r="Q718" t="e">
        <f xml:space="preserve">
_xlfn.XLOOKUP(
tbl_encuesta[[#This Row],[Mi supervisor o jefe directo nos brinda charlas de 5 minutos y comunica las novedades relevantes a mi puesto de trabajo]],#REF!,#REF!
)</f>
        <v>#REF!</v>
      </c>
      <c r="R718" t="s">
        <v>17</v>
      </c>
      <c r="U718" t="s">
        <v>20</v>
      </c>
      <c r="W718" t="s">
        <v>25</v>
      </c>
      <c r="X718" t="s">
        <v>23</v>
      </c>
      <c r="Y718" t="e">
        <f>+_xlfn.XLOOKUP(tbl_encuesta[[#This Row],[Considero a Limtek como un buen lugar para trabajar]],#REF!,#REF!)</f>
        <v>#REF!</v>
      </c>
      <c r="Z718" t="s">
        <v>1849</v>
      </c>
      <c r="AA718" t="s">
        <v>1850</v>
      </c>
      <c r="AB718" t="s">
        <v>28</v>
      </c>
      <c r="AC718" s="3" t="s">
        <v>3733</v>
      </c>
      <c r="AD718" s="3" t="s">
        <v>3734</v>
      </c>
      <c r="AE718" t="s">
        <v>69</v>
      </c>
    </row>
    <row r="719" spans="1:31" x14ac:dyDescent="0.25">
      <c r="A719">
        <v>119028349485</v>
      </c>
      <c r="B719">
        <v>462598545</v>
      </c>
      <c r="C719" s="1">
        <v>46021.498807870368</v>
      </c>
      <c r="D719" s="1">
        <v>46021.503877314812</v>
      </c>
      <c r="E719" t="s">
        <v>1851</v>
      </c>
      <c r="F719" t="s">
        <v>23</v>
      </c>
      <c r="G719" t="e">
        <f>+_xlfn.XLOOKUP(tbl_encuesta[[#This Row],[Me siento a gusto con el ambiente de trabajo que se genera en mi equipo.]],#REF!,#REF!)</f>
        <v>#REF!</v>
      </c>
      <c r="H719" t="s">
        <v>23</v>
      </c>
      <c r="I719" t="e">
        <f>+_xlfn.XLOOKUP(tbl_encuesta[[#This Row],[Me siento motivado a dar lo mejor de mí y hacer un buen trabajo]],#REF!,#REF!)</f>
        <v>#REF!</v>
      </c>
      <c r="J719" t="s">
        <v>23</v>
      </c>
      <c r="K719" t="e">
        <f>+_xlfn.XLOOKUP(tbl_encuesta[[#This Row],[Mi supervisor o jefe directo me otorga el soporte que necesito para afrontar cualquier problema que afecte mi trabajo]],#REF!,#REF!)</f>
        <v>#REF!</v>
      </c>
      <c r="L719" t="s">
        <v>23</v>
      </c>
      <c r="M719" t="e">
        <f>+_xlfn.XLOOKUP(tbl_encuesta[[#This Row],[Mi supervisor o jefe directo fomenta que nos apoyemos entre todos en el equipo]],#REF!,#REF!)</f>
        <v>#REF!</v>
      </c>
      <c r="N719" t="s">
        <v>23</v>
      </c>
      <c r="O719" t="e">
        <f>+_xlfn.XLOOKUP(tbl_encuesta[[#This Row],[Siento que mi trabajo es reconocido por mi supervisor o jefe directo.]],#REF!,#REF!)</f>
        <v>#REF!</v>
      </c>
      <c r="P719" t="s">
        <v>31</v>
      </c>
      <c r="Q719" t="e">
        <f xml:space="preserve">
_xlfn.XLOOKUP(
tbl_encuesta[[#This Row],[Mi supervisor o jefe directo nos brinda charlas de 5 minutos y comunica las novedades relevantes a mi puesto de trabajo]],#REF!,#REF!
)</f>
        <v>#REF!</v>
      </c>
      <c r="R719" t="s">
        <v>17</v>
      </c>
      <c r="W719" t="s">
        <v>25</v>
      </c>
      <c r="X719" t="s">
        <v>23</v>
      </c>
      <c r="Y719" t="e">
        <f>+_xlfn.XLOOKUP(tbl_encuesta[[#This Row],[Considero a Limtek como un buen lugar para trabajar]],#REF!,#REF!)</f>
        <v>#REF!</v>
      </c>
      <c r="Z719" t="s">
        <v>1852</v>
      </c>
      <c r="AA719" t="s">
        <v>1853</v>
      </c>
      <c r="AB719" t="s">
        <v>28</v>
      </c>
      <c r="AC719" s="3" t="s">
        <v>3733</v>
      </c>
      <c r="AD719" s="3" t="s">
        <v>3734</v>
      </c>
      <c r="AE719" t="s">
        <v>34</v>
      </c>
    </row>
    <row r="720" spans="1:31" x14ac:dyDescent="0.25">
      <c r="A720">
        <v>119028349144</v>
      </c>
      <c r="B720">
        <v>462598545</v>
      </c>
      <c r="C720" s="1">
        <v>46021.49900462963</v>
      </c>
      <c r="D720" s="1">
        <v>46021.503437500003</v>
      </c>
      <c r="E720" t="s">
        <v>1854</v>
      </c>
      <c r="F720" t="s">
        <v>22</v>
      </c>
      <c r="G720" t="e">
        <f>+_xlfn.XLOOKUP(tbl_encuesta[[#This Row],[Me siento a gusto con el ambiente de trabajo que se genera en mi equipo.]],#REF!,#REF!)</f>
        <v>#REF!</v>
      </c>
      <c r="H720" t="s">
        <v>23</v>
      </c>
      <c r="I720" t="e">
        <f>+_xlfn.XLOOKUP(tbl_encuesta[[#This Row],[Me siento motivado a dar lo mejor de mí y hacer un buen trabajo]],#REF!,#REF!)</f>
        <v>#REF!</v>
      </c>
      <c r="J720" t="s">
        <v>22</v>
      </c>
      <c r="K720" t="e">
        <f>+_xlfn.XLOOKUP(tbl_encuesta[[#This Row],[Mi supervisor o jefe directo me otorga el soporte que necesito para afrontar cualquier problema que afecte mi trabajo]],#REF!,#REF!)</f>
        <v>#REF!</v>
      </c>
      <c r="L720" t="s">
        <v>22</v>
      </c>
      <c r="M720" t="e">
        <f>+_xlfn.XLOOKUP(tbl_encuesta[[#This Row],[Mi supervisor o jefe directo fomenta que nos apoyemos entre todos en el equipo]],#REF!,#REF!)</f>
        <v>#REF!</v>
      </c>
      <c r="N720" t="s">
        <v>97</v>
      </c>
      <c r="O720" t="e">
        <f>+_xlfn.XLOOKUP(tbl_encuesta[[#This Row],[Siento que mi trabajo es reconocido por mi supervisor o jefe directo.]],#REF!,#REF!)</f>
        <v>#REF!</v>
      </c>
      <c r="P720" t="s">
        <v>24</v>
      </c>
      <c r="Q720" t="e">
        <f xml:space="preserve">
_xlfn.XLOOKUP(
tbl_encuesta[[#This Row],[Mi supervisor o jefe directo nos brinda charlas de 5 minutos y comunica las novedades relevantes a mi puesto de trabajo]],#REF!,#REF!
)</f>
        <v>#REF!</v>
      </c>
      <c r="S720" t="s">
        <v>18</v>
      </c>
      <c r="W720" t="s">
        <v>25</v>
      </c>
      <c r="X720" t="s">
        <v>23</v>
      </c>
      <c r="Y720" t="e">
        <f>+_xlfn.XLOOKUP(tbl_encuesta[[#This Row],[Considero a Limtek como un buen lugar para trabajar]],#REF!,#REF!)</f>
        <v>#REF!</v>
      </c>
      <c r="Z720" t="s">
        <v>1855</v>
      </c>
      <c r="AA720" t="s">
        <v>622</v>
      </c>
      <c r="AB720" t="s">
        <v>28</v>
      </c>
      <c r="AC720" s="3" t="s">
        <v>3733</v>
      </c>
      <c r="AD720" s="3" t="s">
        <v>3734</v>
      </c>
      <c r="AE720" t="s">
        <v>69</v>
      </c>
    </row>
    <row r="721" spans="1:31" x14ac:dyDescent="0.25">
      <c r="A721">
        <v>119028348615</v>
      </c>
      <c r="B721">
        <v>462598545</v>
      </c>
      <c r="C721" s="1">
        <v>46021.498923611114</v>
      </c>
      <c r="D721" s="1">
        <v>46021.50271990741</v>
      </c>
      <c r="E721" t="s">
        <v>1846</v>
      </c>
      <c r="F721" t="s">
        <v>23</v>
      </c>
      <c r="G721" t="e">
        <f>+_xlfn.XLOOKUP(tbl_encuesta[[#This Row],[Me siento a gusto con el ambiente de trabajo que se genera en mi equipo.]],#REF!,#REF!)</f>
        <v>#REF!</v>
      </c>
      <c r="H721" t="s">
        <v>23</v>
      </c>
      <c r="I721" t="e">
        <f>+_xlfn.XLOOKUP(tbl_encuesta[[#This Row],[Me siento motivado a dar lo mejor de mí y hacer un buen trabajo]],#REF!,#REF!)</f>
        <v>#REF!</v>
      </c>
      <c r="J721" t="s">
        <v>23</v>
      </c>
      <c r="K721" t="e">
        <f>+_xlfn.XLOOKUP(tbl_encuesta[[#This Row],[Mi supervisor o jefe directo me otorga el soporte que necesito para afrontar cualquier problema que afecte mi trabajo]],#REF!,#REF!)</f>
        <v>#REF!</v>
      </c>
      <c r="L721" t="s">
        <v>23</v>
      </c>
      <c r="M721" t="e">
        <f>+_xlfn.XLOOKUP(tbl_encuesta[[#This Row],[Mi supervisor o jefe directo fomenta que nos apoyemos entre todos en el equipo]],#REF!,#REF!)</f>
        <v>#REF!</v>
      </c>
      <c r="N721" t="s">
        <v>23</v>
      </c>
      <c r="O721" t="e">
        <f>+_xlfn.XLOOKUP(tbl_encuesta[[#This Row],[Siento que mi trabajo es reconocido por mi supervisor o jefe directo.]],#REF!,#REF!)</f>
        <v>#REF!</v>
      </c>
      <c r="P721" t="s">
        <v>31</v>
      </c>
      <c r="Q721" t="e">
        <f xml:space="preserve">
_xlfn.XLOOKUP(
tbl_encuesta[[#This Row],[Mi supervisor o jefe directo nos brinda charlas de 5 minutos y comunica las novedades relevantes a mi puesto de trabajo]],#REF!,#REF!
)</f>
        <v>#REF!</v>
      </c>
      <c r="R721" t="s">
        <v>17</v>
      </c>
      <c r="W721" t="s">
        <v>25</v>
      </c>
      <c r="X721" t="s">
        <v>23</v>
      </c>
      <c r="Y721" t="e">
        <f>+_xlfn.XLOOKUP(tbl_encuesta[[#This Row],[Considero a Limtek como un buen lugar para trabajar]],#REF!,#REF!)</f>
        <v>#REF!</v>
      </c>
      <c r="Z721" t="s">
        <v>1856</v>
      </c>
      <c r="AA721" t="s">
        <v>1857</v>
      </c>
      <c r="AB721" t="s">
        <v>28</v>
      </c>
      <c r="AC721" s="3" t="s">
        <v>3733</v>
      </c>
      <c r="AD721" s="3" t="s">
        <v>3734</v>
      </c>
      <c r="AE721" t="s">
        <v>34</v>
      </c>
    </row>
    <row r="722" spans="1:31" x14ac:dyDescent="0.25">
      <c r="A722">
        <v>119028348447</v>
      </c>
      <c r="B722">
        <v>462598545</v>
      </c>
      <c r="C722" s="1">
        <v>46021.498715277776</v>
      </c>
      <c r="D722" s="1">
        <v>46021.502511574072</v>
      </c>
      <c r="E722" t="s">
        <v>1858</v>
      </c>
      <c r="F722" t="s">
        <v>22</v>
      </c>
      <c r="G722" t="e">
        <f>+_xlfn.XLOOKUP(tbl_encuesta[[#This Row],[Me siento a gusto con el ambiente de trabajo que se genera en mi equipo.]],#REF!,#REF!)</f>
        <v>#REF!</v>
      </c>
      <c r="H722" t="s">
        <v>23</v>
      </c>
      <c r="I722" t="e">
        <f>+_xlfn.XLOOKUP(tbl_encuesta[[#This Row],[Me siento motivado a dar lo mejor de mí y hacer un buen trabajo]],#REF!,#REF!)</f>
        <v>#REF!</v>
      </c>
      <c r="J722" t="s">
        <v>22</v>
      </c>
      <c r="K722" t="e">
        <f>+_xlfn.XLOOKUP(tbl_encuesta[[#This Row],[Mi supervisor o jefe directo me otorga el soporte que necesito para afrontar cualquier problema que afecte mi trabajo]],#REF!,#REF!)</f>
        <v>#REF!</v>
      </c>
      <c r="L722" t="s">
        <v>22</v>
      </c>
      <c r="M722" t="e">
        <f>+_xlfn.XLOOKUP(tbl_encuesta[[#This Row],[Mi supervisor o jefe directo fomenta que nos apoyemos entre todos en el equipo]],#REF!,#REF!)</f>
        <v>#REF!</v>
      </c>
      <c r="N722" t="s">
        <v>23</v>
      </c>
      <c r="O722" t="e">
        <f>+_xlfn.XLOOKUP(tbl_encuesta[[#This Row],[Siento que mi trabajo es reconocido por mi supervisor o jefe directo.]],#REF!,#REF!)</f>
        <v>#REF!</v>
      </c>
      <c r="P722" t="s">
        <v>31</v>
      </c>
      <c r="Q722" t="e">
        <f xml:space="preserve">
_xlfn.XLOOKUP(
tbl_encuesta[[#This Row],[Mi supervisor o jefe directo nos brinda charlas de 5 minutos y comunica las novedades relevantes a mi puesto de trabajo]],#REF!,#REF!
)</f>
        <v>#REF!</v>
      </c>
      <c r="R722" t="s">
        <v>17</v>
      </c>
      <c r="W722" t="s">
        <v>25</v>
      </c>
      <c r="X722" t="s">
        <v>23</v>
      </c>
      <c r="Y722" t="e">
        <f>+_xlfn.XLOOKUP(tbl_encuesta[[#This Row],[Considero a Limtek como un buen lugar para trabajar]],#REF!,#REF!)</f>
        <v>#REF!</v>
      </c>
      <c r="Z722" t="s">
        <v>145</v>
      </c>
      <c r="AA722" t="s">
        <v>1859</v>
      </c>
      <c r="AB722" t="s">
        <v>28</v>
      </c>
      <c r="AC722" s="3" t="s">
        <v>3733</v>
      </c>
      <c r="AD722" s="3" t="s">
        <v>3734</v>
      </c>
      <c r="AE722" t="s">
        <v>61</v>
      </c>
    </row>
    <row r="723" spans="1:31" x14ac:dyDescent="0.25">
      <c r="A723">
        <v>119028348380</v>
      </c>
      <c r="B723">
        <v>462598545</v>
      </c>
      <c r="C723" s="1">
        <v>46021.49900462963</v>
      </c>
      <c r="D723" s="1">
        <v>46021.502430555556</v>
      </c>
      <c r="E723" t="s">
        <v>1860</v>
      </c>
      <c r="F723" t="s">
        <v>23</v>
      </c>
      <c r="G723" t="e">
        <f>+_xlfn.XLOOKUP(tbl_encuesta[[#This Row],[Me siento a gusto con el ambiente de trabajo que se genera en mi equipo.]],#REF!,#REF!)</f>
        <v>#REF!</v>
      </c>
      <c r="H723" t="s">
        <v>23</v>
      </c>
      <c r="I723" t="e">
        <f>+_xlfn.XLOOKUP(tbl_encuesta[[#This Row],[Me siento motivado a dar lo mejor de mí y hacer un buen trabajo]],#REF!,#REF!)</f>
        <v>#REF!</v>
      </c>
      <c r="J723" t="s">
        <v>23</v>
      </c>
      <c r="K723" t="e">
        <f>+_xlfn.XLOOKUP(tbl_encuesta[[#This Row],[Mi supervisor o jefe directo me otorga el soporte que necesito para afrontar cualquier problema que afecte mi trabajo]],#REF!,#REF!)</f>
        <v>#REF!</v>
      </c>
      <c r="L723" t="s">
        <v>23</v>
      </c>
      <c r="M723" t="e">
        <f>+_xlfn.XLOOKUP(tbl_encuesta[[#This Row],[Mi supervisor o jefe directo fomenta que nos apoyemos entre todos en el equipo]],#REF!,#REF!)</f>
        <v>#REF!</v>
      </c>
      <c r="N723" t="s">
        <v>23</v>
      </c>
      <c r="O723" t="e">
        <f>+_xlfn.XLOOKUP(tbl_encuesta[[#This Row],[Siento que mi trabajo es reconocido por mi supervisor o jefe directo.]],#REF!,#REF!)</f>
        <v>#REF!</v>
      </c>
      <c r="P723" t="s">
        <v>31</v>
      </c>
      <c r="Q723" t="e">
        <f xml:space="preserve">
_xlfn.XLOOKUP(
tbl_encuesta[[#This Row],[Mi supervisor o jefe directo nos brinda charlas de 5 minutos y comunica las novedades relevantes a mi puesto de trabajo]],#REF!,#REF!
)</f>
        <v>#REF!</v>
      </c>
      <c r="S723" t="s">
        <v>18</v>
      </c>
      <c r="W723" t="s">
        <v>25</v>
      </c>
      <c r="X723" t="s">
        <v>23</v>
      </c>
      <c r="Y723" t="e">
        <f>+_xlfn.XLOOKUP(tbl_encuesta[[#This Row],[Considero a Limtek como un buen lugar para trabajar]],#REF!,#REF!)</f>
        <v>#REF!</v>
      </c>
      <c r="Z723" t="s">
        <v>1861</v>
      </c>
      <c r="AA723" t="s">
        <v>1862</v>
      </c>
      <c r="AB723" t="s">
        <v>28</v>
      </c>
      <c r="AC723" s="3" t="s">
        <v>3733</v>
      </c>
      <c r="AD723" s="3" t="s">
        <v>3734</v>
      </c>
      <c r="AE723" t="s">
        <v>29</v>
      </c>
    </row>
    <row r="724" spans="1:31" x14ac:dyDescent="0.25">
      <c r="A724">
        <v>119028348204</v>
      </c>
      <c r="B724">
        <v>462598545</v>
      </c>
      <c r="C724" s="1">
        <v>46021.501423611109</v>
      </c>
      <c r="D724" s="1">
        <v>46021.502233796295</v>
      </c>
      <c r="E724" t="s">
        <v>1863</v>
      </c>
      <c r="F724" t="s">
        <v>23</v>
      </c>
      <c r="G724" t="e">
        <f>+_xlfn.XLOOKUP(tbl_encuesta[[#This Row],[Me siento a gusto con el ambiente de trabajo que se genera en mi equipo.]],#REF!,#REF!)</f>
        <v>#REF!</v>
      </c>
      <c r="H724" t="s">
        <v>23</v>
      </c>
      <c r="I724" t="e">
        <f>+_xlfn.XLOOKUP(tbl_encuesta[[#This Row],[Me siento motivado a dar lo mejor de mí y hacer un buen trabajo]],#REF!,#REF!)</f>
        <v>#REF!</v>
      </c>
      <c r="J724" t="s">
        <v>23</v>
      </c>
      <c r="K724" t="e">
        <f>+_xlfn.XLOOKUP(tbl_encuesta[[#This Row],[Mi supervisor o jefe directo me otorga el soporte que necesito para afrontar cualquier problema que afecte mi trabajo]],#REF!,#REF!)</f>
        <v>#REF!</v>
      </c>
      <c r="L724" t="s">
        <v>23</v>
      </c>
      <c r="M724" t="e">
        <f>+_xlfn.XLOOKUP(tbl_encuesta[[#This Row],[Mi supervisor o jefe directo fomenta que nos apoyemos entre todos en el equipo]],#REF!,#REF!)</f>
        <v>#REF!</v>
      </c>
      <c r="N724" t="s">
        <v>23</v>
      </c>
      <c r="O724" t="e">
        <f>+_xlfn.XLOOKUP(tbl_encuesta[[#This Row],[Siento que mi trabajo es reconocido por mi supervisor o jefe directo.]],#REF!,#REF!)</f>
        <v>#REF!</v>
      </c>
      <c r="P724" t="s">
        <v>31</v>
      </c>
      <c r="Q724" t="e">
        <f xml:space="preserve">
_xlfn.XLOOKUP(
tbl_encuesta[[#This Row],[Mi supervisor o jefe directo nos brinda charlas de 5 minutos y comunica las novedades relevantes a mi puesto de trabajo]],#REF!,#REF!
)</f>
        <v>#REF!</v>
      </c>
      <c r="R724" t="s">
        <v>17</v>
      </c>
      <c r="S724" t="s">
        <v>18</v>
      </c>
      <c r="W724" t="s">
        <v>25</v>
      </c>
      <c r="X724" t="s">
        <v>23</v>
      </c>
      <c r="Y724" t="e">
        <f>+_xlfn.XLOOKUP(tbl_encuesta[[#This Row],[Considero a Limtek como un buen lugar para trabajar]],#REF!,#REF!)</f>
        <v>#REF!</v>
      </c>
      <c r="Z724" t="s">
        <v>605</v>
      </c>
      <c r="AA724" t="s">
        <v>1841</v>
      </c>
      <c r="AB724" t="s">
        <v>28</v>
      </c>
      <c r="AC724" s="3" t="s">
        <v>3733</v>
      </c>
      <c r="AD724" s="3" t="s">
        <v>3734</v>
      </c>
      <c r="AE724" t="s">
        <v>61</v>
      </c>
    </row>
    <row r="725" spans="1:31" x14ac:dyDescent="0.25">
      <c r="A725">
        <v>119028347177</v>
      </c>
      <c r="B725">
        <v>462598545</v>
      </c>
      <c r="C725" s="1">
        <v>46021.498842592591</v>
      </c>
      <c r="D725" s="1">
        <v>46021.500960648147</v>
      </c>
      <c r="E725" t="s">
        <v>1863</v>
      </c>
      <c r="F725" t="s">
        <v>23</v>
      </c>
      <c r="G725" t="e">
        <f>+_xlfn.XLOOKUP(tbl_encuesta[[#This Row],[Me siento a gusto con el ambiente de trabajo que se genera en mi equipo.]],#REF!,#REF!)</f>
        <v>#REF!</v>
      </c>
      <c r="H725" t="s">
        <v>23</v>
      </c>
      <c r="I725" t="e">
        <f>+_xlfn.XLOOKUP(tbl_encuesta[[#This Row],[Me siento motivado a dar lo mejor de mí y hacer un buen trabajo]],#REF!,#REF!)</f>
        <v>#REF!</v>
      </c>
      <c r="J725" t="s">
        <v>23</v>
      </c>
      <c r="K725" t="e">
        <f>+_xlfn.XLOOKUP(tbl_encuesta[[#This Row],[Mi supervisor o jefe directo me otorga el soporte que necesito para afrontar cualquier problema que afecte mi trabajo]],#REF!,#REF!)</f>
        <v>#REF!</v>
      </c>
      <c r="L725" t="s">
        <v>23</v>
      </c>
      <c r="M725" t="e">
        <f>+_xlfn.XLOOKUP(tbl_encuesta[[#This Row],[Mi supervisor o jefe directo fomenta que nos apoyemos entre todos en el equipo]],#REF!,#REF!)</f>
        <v>#REF!</v>
      </c>
      <c r="N725" t="s">
        <v>23</v>
      </c>
      <c r="O725" t="e">
        <f>+_xlfn.XLOOKUP(tbl_encuesta[[#This Row],[Siento que mi trabajo es reconocido por mi supervisor o jefe directo.]],#REF!,#REF!)</f>
        <v>#REF!</v>
      </c>
      <c r="P725" t="s">
        <v>31</v>
      </c>
      <c r="Q725" t="e">
        <f xml:space="preserve">
_xlfn.XLOOKUP(
tbl_encuesta[[#This Row],[Mi supervisor o jefe directo nos brinda charlas de 5 minutos y comunica las novedades relevantes a mi puesto de trabajo]],#REF!,#REF!
)</f>
        <v>#REF!</v>
      </c>
      <c r="R725" t="s">
        <v>17</v>
      </c>
      <c r="S725" t="s">
        <v>18</v>
      </c>
      <c r="W725" t="s">
        <v>25</v>
      </c>
      <c r="X725" t="s">
        <v>23</v>
      </c>
      <c r="Y725" t="e">
        <f>+_xlfn.XLOOKUP(tbl_encuesta[[#This Row],[Considero a Limtek como un buen lugar para trabajar]],#REF!,#REF!)</f>
        <v>#REF!</v>
      </c>
      <c r="Z725" t="s">
        <v>605</v>
      </c>
      <c r="AA725" t="s">
        <v>1841</v>
      </c>
      <c r="AB725" t="s">
        <v>28</v>
      </c>
      <c r="AC725" s="3" t="s">
        <v>3733</v>
      </c>
      <c r="AD725" s="3" t="s">
        <v>3734</v>
      </c>
      <c r="AE725" t="s">
        <v>61</v>
      </c>
    </row>
    <row r="726" spans="1:31" x14ac:dyDescent="0.25">
      <c r="A726">
        <v>119028343584</v>
      </c>
      <c r="B726">
        <v>462598545</v>
      </c>
      <c r="C726" s="1">
        <v>46021.494375000002</v>
      </c>
      <c r="D726" s="1">
        <v>46021.49659722222</v>
      </c>
      <c r="E726" t="s">
        <v>1864</v>
      </c>
      <c r="F726" t="s">
        <v>23</v>
      </c>
      <c r="G726" t="e">
        <f>+_xlfn.XLOOKUP(tbl_encuesta[[#This Row],[Me siento a gusto con el ambiente de trabajo que se genera en mi equipo.]],#REF!,#REF!)</f>
        <v>#REF!</v>
      </c>
      <c r="H726" t="s">
        <v>23</v>
      </c>
      <c r="I726" t="e">
        <f>+_xlfn.XLOOKUP(tbl_encuesta[[#This Row],[Me siento motivado a dar lo mejor de mí y hacer un buen trabajo]],#REF!,#REF!)</f>
        <v>#REF!</v>
      </c>
      <c r="J726" t="s">
        <v>22</v>
      </c>
      <c r="K726" t="e">
        <f>+_xlfn.XLOOKUP(tbl_encuesta[[#This Row],[Mi supervisor o jefe directo me otorga el soporte que necesito para afrontar cualquier problema que afecte mi trabajo]],#REF!,#REF!)</f>
        <v>#REF!</v>
      </c>
      <c r="L726" t="s">
        <v>22</v>
      </c>
      <c r="M726" t="e">
        <f>+_xlfn.XLOOKUP(tbl_encuesta[[#This Row],[Mi supervisor o jefe directo fomenta que nos apoyemos entre todos en el equipo]],#REF!,#REF!)</f>
        <v>#REF!</v>
      </c>
      <c r="N726" t="s">
        <v>22</v>
      </c>
      <c r="O726" t="e">
        <f>+_xlfn.XLOOKUP(tbl_encuesta[[#This Row],[Siento que mi trabajo es reconocido por mi supervisor o jefe directo.]],#REF!,#REF!)</f>
        <v>#REF!</v>
      </c>
      <c r="P726" t="s">
        <v>31</v>
      </c>
      <c r="Q726" t="e">
        <f xml:space="preserve">
_xlfn.XLOOKUP(
tbl_encuesta[[#This Row],[Mi supervisor o jefe directo nos brinda charlas de 5 minutos y comunica las novedades relevantes a mi puesto de trabajo]],#REF!,#REF!
)</f>
        <v>#REF!</v>
      </c>
      <c r="R726" t="s">
        <v>17</v>
      </c>
      <c r="S726" t="s">
        <v>18</v>
      </c>
      <c r="W726" t="s">
        <v>25</v>
      </c>
      <c r="X726" t="s">
        <v>23</v>
      </c>
      <c r="Y726" t="e">
        <f>+_xlfn.XLOOKUP(tbl_encuesta[[#This Row],[Considero a Limtek como un buen lugar para trabajar]],#REF!,#REF!)</f>
        <v>#REF!</v>
      </c>
      <c r="Z726" t="s">
        <v>1865</v>
      </c>
      <c r="AA726" t="s">
        <v>1866</v>
      </c>
      <c r="AB726" t="s">
        <v>28</v>
      </c>
      <c r="AC726" s="3" t="s">
        <v>3856</v>
      </c>
      <c r="AD726" s="3" t="s">
        <v>3856</v>
      </c>
      <c r="AE726" t="s">
        <v>34</v>
      </c>
    </row>
    <row r="727" spans="1:31" x14ac:dyDescent="0.25">
      <c r="A727">
        <v>119028343152</v>
      </c>
      <c r="B727">
        <v>462598545</v>
      </c>
      <c r="C727" s="1">
        <v>46021.492349537039</v>
      </c>
      <c r="D727" s="1">
        <v>46021.496053240742</v>
      </c>
      <c r="E727" t="s">
        <v>1868</v>
      </c>
      <c r="F727" t="s">
        <v>23</v>
      </c>
      <c r="G727" t="e">
        <f>+_xlfn.XLOOKUP(tbl_encuesta[[#This Row],[Me siento a gusto con el ambiente de trabajo que se genera en mi equipo.]],#REF!,#REF!)</f>
        <v>#REF!</v>
      </c>
      <c r="H727" t="s">
        <v>23</v>
      </c>
      <c r="I727" t="e">
        <f>+_xlfn.XLOOKUP(tbl_encuesta[[#This Row],[Me siento motivado a dar lo mejor de mí y hacer un buen trabajo]],#REF!,#REF!)</f>
        <v>#REF!</v>
      </c>
      <c r="J727" t="s">
        <v>23</v>
      </c>
      <c r="K727" t="e">
        <f>+_xlfn.XLOOKUP(tbl_encuesta[[#This Row],[Mi supervisor o jefe directo me otorga el soporte que necesito para afrontar cualquier problema que afecte mi trabajo]],#REF!,#REF!)</f>
        <v>#REF!</v>
      </c>
      <c r="L727" t="s">
        <v>23</v>
      </c>
      <c r="M727" t="e">
        <f>+_xlfn.XLOOKUP(tbl_encuesta[[#This Row],[Mi supervisor o jefe directo fomenta que nos apoyemos entre todos en el equipo]],#REF!,#REF!)</f>
        <v>#REF!</v>
      </c>
      <c r="N727" t="s">
        <v>22</v>
      </c>
      <c r="O727" t="e">
        <f>+_xlfn.XLOOKUP(tbl_encuesta[[#This Row],[Siento que mi trabajo es reconocido por mi supervisor o jefe directo.]],#REF!,#REF!)</f>
        <v>#REF!</v>
      </c>
      <c r="P727" t="s">
        <v>31</v>
      </c>
      <c r="Q727" t="e">
        <f xml:space="preserve">
_xlfn.XLOOKUP(
tbl_encuesta[[#This Row],[Mi supervisor o jefe directo nos brinda charlas de 5 minutos y comunica las novedades relevantes a mi puesto de trabajo]],#REF!,#REF!
)</f>
        <v>#REF!</v>
      </c>
      <c r="R727" t="s">
        <v>17</v>
      </c>
      <c r="T727" t="s">
        <v>19</v>
      </c>
      <c r="W727" t="s">
        <v>25</v>
      </c>
      <c r="X727" t="s">
        <v>23</v>
      </c>
      <c r="Y727" t="e">
        <f>+_xlfn.XLOOKUP(tbl_encuesta[[#This Row],[Considero a Limtek como un buen lugar para trabajar]],#REF!,#REF!)</f>
        <v>#REF!</v>
      </c>
      <c r="Z727" t="s">
        <v>1869</v>
      </c>
      <c r="AA727" t="s">
        <v>1870</v>
      </c>
      <c r="AB727" t="s">
        <v>28</v>
      </c>
      <c r="AC727" t="s">
        <v>3744</v>
      </c>
      <c r="AD727" t="s">
        <v>3744</v>
      </c>
      <c r="AE727" t="s">
        <v>29</v>
      </c>
    </row>
    <row r="728" spans="1:31" x14ac:dyDescent="0.25">
      <c r="A728">
        <v>119028341261</v>
      </c>
      <c r="B728">
        <v>462598545</v>
      </c>
      <c r="C728" s="1">
        <v>46021.489803240744</v>
      </c>
      <c r="D728" s="1">
        <v>46021.493726851855</v>
      </c>
      <c r="E728" t="s">
        <v>1871</v>
      </c>
      <c r="F728" t="s">
        <v>23</v>
      </c>
      <c r="G728" t="e">
        <f>+_xlfn.XLOOKUP(tbl_encuesta[[#This Row],[Me siento a gusto con el ambiente de trabajo que se genera en mi equipo.]],#REF!,#REF!)</f>
        <v>#REF!</v>
      </c>
      <c r="H728" t="s">
        <v>23</v>
      </c>
      <c r="I728" t="e">
        <f>+_xlfn.XLOOKUP(tbl_encuesta[[#This Row],[Me siento motivado a dar lo mejor de mí y hacer un buen trabajo]],#REF!,#REF!)</f>
        <v>#REF!</v>
      </c>
      <c r="J728" t="s">
        <v>23</v>
      </c>
      <c r="K728" t="e">
        <f>+_xlfn.XLOOKUP(tbl_encuesta[[#This Row],[Mi supervisor o jefe directo me otorga el soporte que necesito para afrontar cualquier problema que afecte mi trabajo]],#REF!,#REF!)</f>
        <v>#REF!</v>
      </c>
      <c r="L728" t="s">
        <v>23</v>
      </c>
      <c r="M728" t="e">
        <f>+_xlfn.XLOOKUP(tbl_encuesta[[#This Row],[Mi supervisor o jefe directo fomenta que nos apoyemos entre todos en el equipo]],#REF!,#REF!)</f>
        <v>#REF!</v>
      </c>
      <c r="N728" t="s">
        <v>23</v>
      </c>
      <c r="O728" t="e">
        <f>+_xlfn.XLOOKUP(tbl_encuesta[[#This Row],[Siento que mi trabajo es reconocido por mi supervisor o jefe directo.]],#REF!,#REF!)</f>
        <v>#REF!</v>
      </c>
      <c r="P728" t="s">
        <v>31</v>
      </c>
      <c r="Q728" t="e">
        <f xml:space="preserve">
_xlfn.XLOOKUP(
tbl_encuesta[[#This Row],[Mi supervisor o jefe directo nos brinda charlas de 5 minutos y comunica las novedades relevantes a mi puesto de trabajo]],#REF!,#REF!
)</f>
        <v>#REF!</v>
      </c>
      <c r="R728" t="s">
        <v>17</v>
      </c>
      <c r="S728" t="s">
        <v>18</v>
      </c>
      <c r="W728" t="s">
        <v>25</v>
      </c>
      <c r="X728" t="s">
        <v>23</v>
      </c>
      <c r="Y728" t="e">
        <f>+_xlfn.XLOOKUP(tbl_encuesta[[#This Row],[Considero a Limtek como un buen lugar para trabajar]],#REF!,#REF!)</f>
        <v>#REF!</v>
      </c>
      <c r="Z728" t="s">
        <v>1872</v>
      </c>
      <c r="AA728" t="s">
        <v>1873</v>
      </c>
      <c r="AB728" t="s">
        <v>28</v>
      </c>
      <c r="AC728" t="s">
        <v>3744</v>
      </c>
      <c r="AD728" t="s">
        <v>3744</v>
      </c>
      <c r="AE728" t="s">
        <v>55</v>
      </c>
    </row>
    <row r="729" spans="1:31" x14ac:dyDescent="0.25">
      <c r="A729">
        <v>119028339425</v>
      </c>
      <c r="B729">
        <v>462598545</v>
      </c>
      <c r="C729" s="1">
        <v>46021.488067129627</v>
      </c>
      <c r="D729" s="1">
        <v>46021.491388888891</v>
      </c>
      <c r="E729" t="s">
        <v>1874</v>
      </c>
      <c r="F729" t="s">
        <v>23</v>
      </c>
      <c r="G729" t="e">
        <f>+_xlfn.XLOOKUP(tbl_encuesta[[#This Row],[Me siento a gusto con el ambiente de trabajo que se genera en mi equipo.]],#REF!,#REF!)</f>
        <v>#REF!</v>
      </c>
      <c r="H729" t="s">
        <v>23</v>
      </c>
      <c r="I729" t="e">
        <f>+_xlfn.XLOOKUP(tbl_encuesta[[#This Row],[Me siento motivado a dar lo mejor de mí y hacer un buen trabajo]],#REF!,#REF!)</f>
        <v>#REF!</v>
      </c>
      <c r="J729" t="s">
        <v>22</v>
      </c>
      <c r="K729" t="e">
        <f>+_xlfn.XLOOKUP(tbl_encuesta[[#This Row],[Mi supervisor o jefe directo me otorga el soporte que necesito para afrontar cualquier problema que afecte mi trabajo]],#REF!,#REF!)</f>
        <v>#REF!</v>
      </c>
      <c r="L729" t="s">
        <v>22</v>
      </c>
      <c r="M729" t="e">
        <f>+_xlfn.XLOOKUP(tbl_encuesta[[#This Row],[Mi supervisor o jefe directo fomenta que nos apoyemos entre todos en el equipo]],#REF!,#REF!)</f>
        <v>#REF!</v>
      </c>
      <c r="N729" t="s">
        <v>22</v>
      </c>
      <c r="O729" t="e">
        <f>+_xlfn.XLOOKUP(tbl_encuesta[[#This Row],[Siento que mi trabajo es reconocido por mi supervisor o jefe directo.]],#REF!,#REF!)</f>
        <v>#REF!</v>
      </c>
      <c r="P729" t="s">
        <v>67</v>
      </c>
      <c r="Q729" t="e">
        <f xml:space="preserve">
_xlfn.XLOOKUP(
tbl_encuesta[[#This Row],[Mi supervisor o jefe directo nos brinda charlas de 5 minutos y comunica las novedades relevantes a mi puesto de trabajo]],#REF!,#REF!
)</f>
        <v>#REF!</v>
      </c>
      <c r="R729" t="s">
        <v>17</v>
      </c>
      <c r="W729" t="s">
        <v>25</v>
      </c>
      <c r="X729" t="s">
        <v>23</v>
      </c>
      <c r="Y729" t="e">
        <f>+_xlfn.XLOOKUP(tbl_encuesta[[#This Row],[Considero a Limtek como un buen lugar para trabajar]],#REF!,#REF!)</f>
        <v>#REF!</v>
      </c>
      <c r="Z729" t="s">
        <v>1875</v>
      </c>
      <c r="AA729" t="s">
        <v>1622</v>
      </c>
      <c r="AB729" t="s">
        <v>28</v>
      </c>
      <c r="AC729" s="3" t="s">
        <v>3716</v>
      </c>
      <c r="AD729" s="3" t="s">
        <v>3726</v>
      </c>
      <c r="AE729" t="s">
        <v>69</v>
      </c>
    </row>
    <row r="730" spans="1:31" x14ac:dyDescent="0.25">
      <c r="A730">
        <v>119028337404</v>
      </c>
      <c r="B730">
        <v>462598545</v>
      </c>
      <c r="C730" s="1">
        <v>46021.487592592595</v>
      </c>
      <c r="D730" s="1">
        <v>46021.48877314815</v>
      </c>
      <c r="E730" t="s">
        <v>1876</v>
      </c>
      <c r="F730" t="s">
        <v>22</v>
      </c>
      <c r="G730" t="e">
        <f>+_xlfn.XLOOKUP(tbl_encuesta[[#This Row],[Me siento a gusto con el ambiente de trabajo que se genera en mi equipo.]],#REF!,#REF!)</f>
        <v>#REF!</v>
      </c>
      <c r="H730" t="s">
        <v>97</v>
      </c>
      <c r="I730" t="e">
        <f>+_xlfn.XLOOKUP(tbl_encuesta[[#This Row],[Me siento motivado a dar lo mejor de mí y hacer un buen trabajo]],#REF!,#REF!)</f>
        <v>#REF!</v>
      </c>
      <c r="J730" t="s">
        <v>22</v>
      </c>
      <c r="K730" t="e">
        <f>+_xlfn.XLOOKUP(tbl_encuesta[[#This Row],[Mi supervisor o jefe directo me otorga el soporte que necesito para afrontar cualquier problema que afecte mi trabajo]],#REF!,#REF!)</f>
        <v>#REF!</v>
      </c>
      <c r="L730" t="s">
        <v>22</v>
      </c>
      <c r="M730" t="e">
        <f>+_xlfn.XLOOKUP(tbl_encuesta[[#This Row],[Mi supervisor o jefe directo fomenta que nos apoyemos entre todos en el equipo]],#REF!,#REF!)</f>
        <v>#REF!</v>
      </c>
      <c r="N730" t="s">
        <v>22</v>
      </c>
      <c r="O730" t="e">
        <f>+_xlfn.XLOOKUP(tbl_encuesta[[#This Row],[Siento que mi trabajo es reconocido por mi supervisor o jefe directo.]],#REF!,#REF!)</f>
        <v>#REF!</v>
      </c>
      <c r="P730" t="s">
        <v>67</v>
      </c>
      <c r="Q730" t="e">
        <f xml:space="preserve">
_xlfn.XLOOKUP(
tbl_encuesta[[#This Row],[Mi supervisor o jefe directo nos brinda charlas de 5 minutos y comunica las novedades relevantes a mi puesto de trabajo]],#REF!,#REF!
)</f>
        <v>#REF!</v>
      </c>
      <c r="R730" t="s">
        <v>17</v>
      </c>
      <c r="S730" t="s">
        <v>18</v>
      </c>
      <c r="W730" t="s">
        <v>25</v>
      </c>
      <c r="X730" t="s">
        <v>22</v>
      </c>
      <c r="Y730" t="e">
        <f>+_xlfn.XLOOKUP(tbl_encuesta[[#This Row],[Considero a Limtek como un buen lugar para trabajar]],#REF!,#REF!)</f>
        <v>#REF!</v>
      </c>
      <c r="Z730" t="s">
        <v>641</v>
      </c>
      <c r="AA730" t="s">
        <v>1877</v>
      </c>
      <c r="AB730" t="s">
        <v>28</v>
      </c>
      <c r="AC730" s="3" t="s">
        <v>1867</v>
      </c>
      <c r="AD730" s="3" t="s">
        <v>3757</v>
      </c>
      <c r="AE730" t="s">
        <v>29</v>
      </c>
    </row>
    <row r="731" spans="1:31" x14ac:dyDescent="0.25">
      <c r="A731">
        <v>119028337245</v>
      </c>
      <c r="B731">
        <v>462598545</v>
      </c>
      <c r="C731" s="1">
        <v>46021.485891203702</v>
      </c>
      <c r="D731" s="1">
        <v>46021.488553240742</v>
      </c>
      <c r="E731" t="s">
        <v>1864</v>
      </c>
      <c r="F731" t="s">
        <v>23</v>
      </c>
      <c r="G731" t="e">
        <f>+_xlfn.XLOOKUP(tbl_encuesta[[#This Row],[Me siento a gusto con el ambiente de trabajo que se genera en mi equipo.]],#REF!,#REF!)</f>
        <v>#REF!</v>
      </c>
      <c r="H731" t="s">
        <v>23</v>
      </c>
      <c r="I731" t="e">
        <f>+_xlfn.XLOOKUP(tbl_encuesta[[#This Row],[Me siento motivado a dar lo mejor de mí y hacer un buen trabajo]],#REF!,#REF!)</f>
        <v>#REF!</v>
      </c>
      <c r="J731" t="s">
        <v>22</v>
      </c>
      <c r="K731" t="e">
        <f>+_xlfn.XLOOKUP(tbl_encuesta[[#This Row],[Mi supervisor o jefe directo me otorga el soporte que necesito para afrontar cualquier problema que afecte mi trabajo]],#REF!,#REF!)</f>
        <v>#REF!</v>
      </c>
      <c r="L731" t="s">
        <v>22</v>
      </c>
      <c r="M731" t="e">
        <f>+_xlfn.XLOOKUP(tbl_encuesta[[#This Row],[Mi supervisor o jefe directo fomenta que nos apoyemos entre todos en el equipo]],#REF!,#REF!)</f>
        <v>#REF!</v>
      </c>
      <c r="N731" t="s">
        <v>23</v>
      </c>
      <c r="O731" t="e">
        <f>+_xlfn.XLOOKUP(tbl_encuesta[[#This Row],[Siento que mi trabajo es reconocido por mi supervisor o jefe directo.]],#REF!,#REF!)</f>
        <v>#REF!</v>
      </c>
      <c r="P731" t="s">
        <v>31</v>
      </c>
      <c r="Q731" t="e">
        <f xml:space="preserve">
_xlfn.XLOOKUP(
tbl_encuesta[[#This Row],[Mi supervisor o jefe directo nos brinda charlas de 5 minutos y comunica las novedades relevantes a mi puesto de trabajo]],#REF!,#REF!
)</f>
        <v>#REF!</v>
      </c>
      <c r="S731" t="s">
        <v>18</v>
      </c>
      <c r="T731" t="s">
        <v>19</v>
      </c>
      <c r="W731" t="s">
        <v>25</v>
      </c>
      <c r="X731" t="s">
        <v>23</v>
      </c>
      <c r="Y731" t="e">
        <f>+_xlfn.XLOOKUP(tbl_encuesta[[#This Row],[Considero a Limtek como un buen lugar para trabajar]],#REF!,#REF!)</f>
        <v>#REF!</v>
      </c>
      <c r="Z731" t="s">
        <v>1878</v>
      </c>
      <c r="AA731" t="s">
        <v>1879</v>
      </c>
      <c r="AB731" t="s">
        <v>28</v>
      </c>
      <c r="AC731" s="3" t="s">
        <v>1867</v>
      </c>
      <c r="AD731" s="3" t="s">
        <v>3757</v>
      </c>
      <c r="AE731" t="s">
        <v>34</v>
      </c>
    </row>
    <row r="732" spans="1:31" x14ac:dyDescent="0.25">
      <c r="A732">
        <v>119028335582</v>
      </c>
      <c r="B732">
        <v>462598545</v>
      </c>
      <c r="C732" s="1">
        <v>46021.483206018522</v>
      </c>
      <c r="D732" s="1">
        <v>46021.486319444448</v>
      </c>
      <c r="E732" t="s">
        <v>1880</v>
      </c>
      <c r="F732" t="s">
        <v>23</v>
      </c>
      <c r="G732" t="e">
        <f>+_xlfn.XLOOKUP(tbl_encuesta[[#This Row],[Me siento a gusto con el ambiente de trabajo que se genera en mi equipo.]],#REF!,#REF!)</f>
        <v>#REF!</v>
      </c>
      <c r="H732" t="s">
        <v>23</v>
      </c>
      <c r="I732" t="e">
        <f>+_xlfn.XLOOKUP(tbl_encuesta[[#This Row],[Me siento motivado a dar lo mejor de mí y hacer un buen trabajo]],#REF!,#REF!)</f>
        <v>#REF!</v>
      </c>
      <c r="J732" t="s">
        <v>23</v>
      </c>
      <c r="K732" t="e">
        <f>+_xlfn.XLOOKUP(tbl_encuesta[[#This Row],[Mi supervisor o jefe directo me otorga el soporte que necesito para afrontar cualquier problema que afecte mi trabajo]],#REF!,#REF!)</f>
        <v>#REF!</v>
      </c>
      <c r="L732" t="s">
        <v>23</v>
      </c>
      <c r="M732" t="e">
        <f>+_xlfn.XLOOKUP(tbl_encuesta[[#This Row],[Mi supervisor o jefe directo fomenta que nos apoyemos entre todos en el equipo]],#REF!,#REF!)</f>
        <v>#REF!</v>
      </c>
      <c r="N732" t="s">
        <v>23</v>
      </c>
      <c r="O732" t="e">
        <f>+_xlfn.XLOOKUP(tbl_encuesta[[#This Row],[Siento que mi trabajo es reconocido por mi supervisor o jefe directo.]],#REF!,#REF!)</f>
        <v>#REF!</v>
      </c>
      <c r="P732" t="s">
        <v>31</v>
      </c>
      <c r="Q732" t="e">
        <f xml:space="preserve">
_xlfn.XLOOKUP(
tbl_encuesta[[#This Row],[Mi supervisor o jefe directo nos brinda charlas de 5 minutos y comunica las novedades relevantes a mi puesto de trabajo]],#REF!,#REF!
)</f>
        <v>#REF!</v>
      </c>
      <c r="R732" t="s">
        <v>17</v>
      </c>
      <c r="T732" t="s">
        <v>19</v>
      </c>
      <c r="W732" t="s">
        <v>25</v>
      </c>
      <c r="X732" t="s">
        <v>23</v>
      </c>
      <c r="Y732" t="e">
        <f>+_xlfn.XLOOKUP(tbl_encuesta[[#This Row],[Considero a Limtek como un buen lugar para trabajar]],#REF!,#REF!)</f>
        <v>#REF!</v>
      </c>
      <c r="Z732" t="s">
        <v>1881</v>
      </c>
      <c r="AA732" t="s">
        <v>1882</v>
      </c>
      <c r="AB732" t="s">
        <v>28</v>
      </c>
      <c r="AC732" s="3" t="s">
        <v>3716</v>
      </c>
      <c r="AD732" s="3" t="s">
        <v>3716</v>
      </c>
      <c r="AE732" t="s">
        <v>69</v>
      </c>
    </row>
    <row r="733" spans="1:31" x14ac:dyDescent="0.25">
      <c r="A733">
        <v>119028335231</v>
      </c>
      <c r="B733">
        <v>462598545</v>
      </c>
      <c r="C733" s="1">
        <v>46021.479583333334</v>
      </c>
      <c r="D733" s="1">
        <v>46021.485879629632</v>
      </c>
      <c r="E733" t="s">
        <v>1884</v>
      </c>
      <c r="F733" t="s">
        <v>23</v>
      </c>
      <c r="G733" t="e">
        <f>+_xlfn.XLOOKUP(tbl_encuesta[[#This Row],[Me siento a gusto con el ambiente de trabajo que se genera en mi equipo.]],#REF!,#REF!)</f>
        <v>#REF!</v>
      </c>
      <c r="H733" t="s">
        <v>23</v>
      </c>
      <c r="I733" t="e">
        <f>+_xlfn.XLOOKUP(tbl_encuesta[[#This Row],[Me siento motivado a dar lo mejor de mí y hacer un buen trabajo]],#REF!,#REF!)</f>
        <v>#REF!</v>
      </c>
      <c r="J733" t="s">
        <v>23</v>
      </c>
      <c r="K733" t="e">
        <f>+_xlfn.XLOOKUP(tbl_encuesta[[#This Row],[Mi supervisor o jefe directo me otorga el soporte que necesito para afrontar cualquier problema que afecte mi trabajo]],#REF!,#REF!)</f>
        <v>#REF!</v>
      </c>
      <c r="L733" t="s">
        <v>23</v>
      </c>
      <c r="M733" t="e">
        <f>+_xlfn.XLOOKUP(tbl_encuesta[[#This Row],[Mi supervisor o jefe directo fomenta que nos apoyemos entre todos en el equipo]],#REF!,#REF!)</f>
        <v>#REF!</v>
      </c>
      <c r="N733" t="s">
        <v>97</v>
      </c>
      <c r="O733" t="e">
        <f>+_xlfn.XLOOKUP(tbl_encuesta[[#This Row],[Siento que mi trabajo es reconocido por mi supervisor o jefe directo.]],#REF!,#REF!)</f>
        <v>#REF!</v>
      </c>
      <c r="P733" t="s">
        <v>31</v>
      </c>
      <c r="Q733" t="e">
        <f xml:space="preserve">
_xlfn.XLOOKUP(
tbl_encuesta[[#This Row],[Mi supervisor o jefe directo nos brinda charlas de 5 minutos y comunica las novedades relevantes a mi puesto de trabajo]],#REF!,#REF!
)</f>
        <v>#REF!</v>
      </c>
      <c r="R733" t="s">
        <v>17</v>
      </c>
      <c r="T733" t="s">
        <v>19</v>
      </c>
      <c r="W733" t="s">
        <v>46</v>
      </c>
      <c r="X733" t="s">
        <v>23</v>
      </c>
      <c r="Y733" t="e">
        <f>+_xlfn.XLOOKUP(tbl_encuesta[[#This Row],[Considero a Limtek como un buen lugar para trabajar]],#REF!,#REF!)</f>
        <v>#REF!</v>
      </c>
      <c r="Z733" t="s">
        <v>1885</v>
      </c>
      <c r="AA733" t="s">
        <v>1886</v>
      </c>
      <c r="AB733" t="s">
        <v>28</v>
      </c>
      <c r="AC733" s="3" t="s">
        <v>1867</v>
      </c>
      <c r="AD733" s="3" t="s">
        <v>3757</v>
      </c>
      <c r="AE733" t="s">
        <v>61</v>
      </c>
    </row>
    <row r="734" spans="1:31" x14ac:dyDescent="0.25">
      <c r="A734">
        <v>119028332711</v>
      </c>
      <c r="B734">
        <v>462598545</v>
      </c>
      <c r="C734" s="1">
        <v>46021.473854166667</v>
      </c>
      <c r="D734" s="1">
        <v>46021.482800925929</v>
      </c>
      <c r="E734" t="s">
        <v>1887</v>
      </c>
      <c r="F734" t="s">
        <v>23</v>
      </c>
      <c r="G734" t="e">
        <f>+_xlfn.XLOOKUP(tbl_encuesta[[#This Row],[Me siento a gusto con el ambiente de trabajo que se genera en mi equipo.]],#REF!,#REF!)</f>
        <v>#REF!</v>
      </c>
      <c r="H734" t="s">
        <v>23</v>
      </c>
      <c r="I734" t="e">
        <f>+_xlfn.XLOOKUP(tbl_encuesta[[#This Row],[Me siento motivado a dar lo mejor de mí y hacer un buen trabajo]],#REF!,#REF!)</f>
        <v>#REF!</v>
      </c>
      <c r="J734" t="s">
        <v>23</v>
      </c>
      <c r="K734" t="e">
        <f>+_xlfn.XLOOKUP(tbl_encuesta[[#This Row],[Mi supervisor o jefe directo me otorga el soporte que necesito para afrontar cualquier problema que afecte mi trabajo]],#REF!,#REF!)</f>
        <v>#REF!</v>
      </c>
      <c r="L734" t="s">
        <v>23</v>
      </c>
      <c r="M734" t="e">
        <f>+_xlfn.XLOOKUP(tbl_encuesta[[#This Row],[Mi supervisor o jefe directo fomenta que nos apoyemos entre todos en el equipo]],#REF!,#REF!)</f>
        <v>#REF!</v>
      </c>
      <c r="N734" t="s">
        <v>23</v>
      </c>
      <c r="O734" t="e">
        <f>+_xlfn.XLOOKUP(tbl_encuesta[[#This Row],[Siento que mi trabajo es reconocido por mi supervisor o jefe directo.]],#REF!,#REF!)</f>
        <v>#REF!</v>
      </c>
      <c r="P734" t="s">
        <v>31</v>
      </c>
      <c r="Q734" t="e">
        <f xml:space="preserve">
_xlfn.XLOOKUP(
tbl_encuesta[[#This Row],[Mi supervisor o jefe directo nos brinda charlas de 5 minutos y comunica las novedades relevantes a mi puesto de trabajo]],#REF!,#REF!
)</f>
        <v>#REF!</v>
      </c>
      <c r="R734" t="s">
        <v>17</v>
      </c>
      <c r="S734" t="s">
        <v>18</v>
      </c>
      <c r="W734" t="s">
        <v>25</v>
      </c>
      <c r="X734" t="s">
        <v>23</v>
      </c>
      <c r="Y734" t="e">
        <f>+_xlfn.XLOOKUP(tbl_encuesta[[#This Row],[Considero a Limtek como un buen lugar para trabajar]],#REF!,#REF!)</f>
        <v>#REF!</v>
      </c>
      <c r="Z734" t="s">
        <v>1888</v>
      </c>
      <c r="AA734" t="s">
        <v>122</v>
      </c>
      <c r="AB734" t="s">
        <v>28</v>
      </c>
      <c r="AC734" s="3" t="s">
        <v>3716</v>
      </c>
      <c r="AD734" s="3" t="s">
        <v>3726</v>
      </c>
      <c r="AE734" t="s">
        <v>69</v>
      </c>
    </row>
    <row r="735" spans="1:31" x14ac:dyDescent="0.25">
      <c r="A735">
        <v>119028329394</v>
      </c>
      <c r="B735">
        <v>462598545</v>
      </c>
      <c r="C735" s="1">
        <v>46021.476423611108</v>
      </c>
      <c r="D735" s="1">
        <v>46021.478726851848</v>
      </c>
      <c r="E735" t="s">
        <v>1889</v>
      </c>
      <c r="F735" t="s">
        <v>23</v>
      </c>
      <c r="G735" t="e">
        <f>+_xlfn.XLOOKUP(tbl_encuesta[[#This Row],[Me siento a gusto con el ambiente de trabajo que se genera en mi equipo.]],#REF!,#REF!)</f>
        <v>#REF!</v>
      </c>
      <c r="H735" t="s">
        <v>23</v>
      </c>
      <c r="I735" t="e">
        <f>+_xlfn.XLOOKUP(tbl_encuesta[[#This Row],[Me siento motivado a dar lo mejor de mí y hacer un buen trabajo]],#REF!,#REF!)</f>
        <v>#REF!</v>
      </c>
      <c r="J735" t="s">
        <v>23</v>
      </c>
      <c r="K735" t="e">
        <f>+_xlfn.XLOOKUP(tbl_encuesta[[#This Row],[Mi supervisor o jefe directo me otorga el soporte que necesito para afrontar cualquier problema que afecte mi trabajo]],#REF!,#REF!)</f>
        <v>#REF!</v>
      </c>
      <c r="L735" t="s">
        <v>23</v>
      </c>
      <c r="M735" t="e">
        <f>+_xlfn.XLOOKUP(tbl_encuesta[[#This Row],[Mi supervisor o jefe directo fomenta que nos apoyemos entre todos en el equipo]],#REF!,#REF!)</f>
        <v>#REF!</v>
      </c>
      <c r="N735" t="s">
        <v>23</v>
      </c>
      <c r="O735" t="e">
        <f>+_xlfn.XLOOKUP(tbl_encuesta[[#This Row],[Siento que mi trabajo es reconocido por mi supervisor o jefe directo.]],#REF!,#REF!)</f>
        <v>#REF!</v>
      </c>
      <c r="P735" t="s">
        <v>31</v>
      </c>
      <c r="Q735" t="e">
        <f xml:space="preserve">
_xlfn.XLOOKUP(
tbl_encuesta[[#This Row],[Mi supervisor o jefe directo nos brinda charlas de 5 minutos y comunica las novedades relevantes a mi puesto de trabajo]],#REF!,#REF!
)</f>
        <v>#REF!</v>
      </c>
      <c r="R735" t="s">
        <v>17</v>
      </c>
      <c r="T735" t="s">
        <v>19</v>
      </c>
      <c r="W735" t="s">
        <v>25</v>
      </c>
      <c r="X735" t="s">
        <v>23</v>
      </c>
      <c r="Y735" t="e">
        <f>+_xlfn.XLOOKUP(tbl_encuesta[[#This Row],[Considero a Limtek como un buen lugar para trabajar]],#REF!,#REF!)</f>
        <v>#REF!</v>
      </c>
      <c r="Z735" t="s">
        <v>1890</v>
      </c>
      <c r="AA735" t="s">
        <v>1891</v>
      </c>
      <c r="AB735" t="s">
        <v>28</v>
      </c>
      <c r="AC735" s="3" t="s">
        <v>3716</v>
      </c>
      <c r="AD735" s="3" t="s">
        <v>3716</v>
      </c>
      <c r="AE735" t="s">
        <v>69</v>
      </c>
    </row>
    <row r="736" spans="1:31" x14ac:dyDescent="0.25">
      <c r="A736">
        <v>119028326862</v>
      </c>
      <c r="B736">
        <v>462598545</v>
      </c>
      <c r="C736" s="1">
        <v>46021.470949074072</v>
      </c>
      <c r="D736" s="1">
        <v>46021.475810185184</v>
      </c>
      <c r="E736" t="s">
        <v>1842</v>
      </c>
      <c r="F736" t="s">
        <v>23</v>
      </c>
      <c r="G736" t="e">
        <f>+_xlfn.XLOOKUP(tbl_encuesta[[#This Row],[Me siento a gusto con el ambiente de trabajo que se genera en mi equipo.]],#REF!,#REF!)</f>
        <v>#REF!</v>
      </c>
      <c r="H736" t="s">
        <v>23</v>
      </c>
      <c r="I736" t="e">
        <f>+_xlfn.XLOOKUP(tbl_encuesta[[#This Row],[Me siento motivado a dar lo mejor de mí y hacer un buen trabajo]],#REF!,#REF!)</f>
        <v>#REF!</v>
      </c>
      <c r="J736" t="s">
        <v>23</v>
      </c>
      <c r="K736" t="e">
        <f>+_xlfn.XLOOKUP(tbl_encuesta[[#This Row],[Mi supervisor o jefe directo me otorga el soporte que necesito para afrontar cualquier problema que afecte mi trabajo]],#REF!,#REF!)</f>
        <v>#REF!</v>
      </c>
      <c r="L736" t="s">
        <v>23</v>
      </c>
      <c r="M736" t="e">
        <f>+_xlfn.XLOOKUP(tbl_encuesta[[#This Row],[Mi supervisor o jefe directo fomenta que nos apoyemos entre todos en el equipo]],#REF!,#REF!)</f>
        <v>#REF!</v>
      </c>
      <c r="N736" t="s">
        <v>23</v>
      </c>
      <c r="O736" t="e">
        <f>+_xlfn.XLOOKUP(tbl_encuesta[[#This Row],[Siento que mi trabajo es reconocido por mi supervisor o jefe directo.]],#REF!,#REF!)</f>
        <v>#REF!</v>
      </c>
      <c r="P736" t="s">
        <v>31</v>
      </c>
      <c r="Q736" t="e">
        <f xml:space="preserve">
_xlfn.XLOOKUP(
tbl_encuesta[[#This Row],[Mi supervisor o jefe directo nos brinda charlas de 5 minutos y comunica las novedades relevantes a mi puesto de trabajo]],#REF!,#REF!
)</f>
        <v>#REF!</v>
      </c>
      <c r="R736" t="s">
        <v>17</v>
      </c>
      <c r="T736" t="s">
        <v>19</v>
      </c>
      <c r="W736" t="s">
        <v>25</v>
      </c>
      <c r="X736" t="s">
        <v>23</v>
      </c>
      <c r="Y736" t="e">
        <f>+_xlfn.XLOOKUP(tbl_encuesta[[#This Row],[Considero a Limtek como un buen lugar para trabajar]],#REF!,#REF!)</f>
        <v>#REF!</v>
      </c>
      <c r="Z736" t="s">
        <v>1892</v>
      </c>
      <c r="AA736" t="s">
        <v>1893</v>
      </c>
      <c r="AB736" t="s">
        <v>28</v>
      </c>
      <c r="AC736" s="3" t="s">
        <v>3716</v>
      </c>
      <c r="AD736" s="3" t="s">
        <v>3723</v>
      </c>
      <c r="AE736" t="s">
        <v>29</v>
      </c>
    </row>
    <row r="737" spans="1:31" x14ac:dyDescent="0.25">
      <c r="A737">
        <v>119028326586</v>
      </c>
      <c r="B737">
        <v>462598545</v>
      </c>
      <c r="C737" s="1">
        <v>46021.472546296296</v>
      </c>
      <c r="D737" s="1">
        <v>46021.475462962961</v>
      </c>
      <c r="E737" t="s">
        <v>1894</v>
      </c>
      <c r="F737" t="s">
        <v>22</v>
      </c>
      <c r="G737" t="e">
        <f>+_xlfn.XLOOKUP(tbl_encuesta[[#This Row],[Me siento a gusto con el ambiente de trabajo que se genera en mi equipo.]],#REF!,#REF!)</f>
        <v>#REF!</v>
      </c>
      <c r="H737" t="s">
        <v>22</v>
      </c>
      <c r="I737" t="e">
        <f>+_xlfn.XLOOKUP(tbl_encuesta[[#This Row],[Me siento motivado a dar lo mejor de mí y hacer un buen trabajo]],#REF!,#REF!)</f>
        <v>#REF!</v>
      </c>
      <c r="J737" t="s">
        <v>22</v>
      </c>
      <c r="K737" t="e">
        <f>+_xlfn.XLOOKUP(tbl_encuesta[[#This Row],[Mi supervisor o jefe directo me otorga el soporte que necesito para afrontar cualquier problema que afecte mi trabajo]],#REF!,#REF!)</f>
        <v>#REF!</v>
      </c>
      <c r="L737" t="s">
        <v>22</v>
      </c>
      <c r="M737" t="e">
        <f>+_xlfn.XLOOKUP(tbl_encuesta[[#This Row],[Mi supervisor o jefe directo fomenta que nos apoyemos entre todos en el equipo]],#REF!,#REF!)</f>
        <v>#REF!</v>
      </c>
      <c r="N737" t="s">
        <v>22</v>
      </c>
      <c r="O737" t="e">
        <f>+_xlfn.XLOOKUP(tbl_encuesta[[#This Row],[Siento que mi trabajo es reconocido por mi supervisor o jefe directo.]],#REF!,#REF!)</f>
        <v>#REF!</v>
      </c>
      <c r="P737" t="s">
        <v>67</v>
      </c>
      <c r="Q737" t="e">
        <f xml:space="preserve">
_xlfn.XLOOKUP(
tbl_encuesta[[#This Row],[Mi supervisor o jefe directo nos brinda charlas de 5 minutos y comunica las novedades relevantes a mi puesto de trabajo]],#REF!,#REF!
)</f>
        <v>#REF!</v>
      </c>
      <c r="R737" t="s">
        <v>17</v>
      </c>
      <c r="W737" t="s">
        <v>25</v>
      </c>
      <c r="X737" t="s">
        <v>22</v>
      </c>
      <c r="Y737" t="e">
        <f>+_xlfn.XLOOKUP(tbl_encuesta[[#This Row],[Considero a Limtek como un buen lugar para trabajar]],#REF!,#REF!)</f>
        <v>#REF!</v>
      </c>
      <c r="Z737" t="s">
        <v>1895</v>
      </c>
      <c r="AA737" t="s">
        <v>1896</v>
      </c>
      <c r="AB737" t="s">
        <v>28</v>
      </c>
      <c r="AC737" s="3" t="s">
        <v>3716</v>
      </c>
      <c r="AD737" s="3" t="s">
        <v>3716</v>
      </c>
      <c r="AE737" t="s">
        <v>29</v>
      </c>
    </row>
    <row r="738" spans="1:31" x14ac:dyDescent="0.25">
      <c r="A738">
        <v>119028325594</v>
      </c>
      <c r="B738">
        <v>462598545</v>
      </c>
      <c r="C738" s="1">
        <v>46021.470196759263</v>
      </c>
      <c r="D738" s="1">
        <v>46021.474212962959</v>
      </c>
      <c r="E738" t="s">
        <v>1620</v>
      </c>
      <c r="F738" t="s">
        <v>22</v>
      </c>
      <c r="G738" t="e">
        <f>+_xlfn.XLOOKUP(tbl_encuesta[[#This Row],[Me siento a gusto con el ambiente de trabajo que se genera en mi equipo.]],#REF!,#REF!)</f>
        <v>#REF!</v>
      </c>
      <c r="H738" t="s">
        <v>22</v>
      </c>
      <c r="I738" t="e">
        <f>+_xlfn.XLOOKUP(tbl_encuesta[[#This Row],[Me siento motivado a dar lo mejor de mí y hacer un buen trabajo]],#REF!,#REF!)</f>
        <v>#REF!</v>
      </c>
      <c r="J738" t="s">
        <v>22</v>
      </c>
      <c r="K738" t="e">
        <f>+_xlfn.XLOOKUP(tbl_encuesta[[#This Row],[Mi supervisor o jefe directo me otorga el soporte que necesito para afrontar cualquier problema que afecte mi trabajo]],#REF!,#REF!)</f>
        <v>#REF!</v>
      </c>
      <c r="L738" t="s">
        <v>23</v>
      </c>
      <c r="M738" t="e">
        <f>+_xlfn.XLOOKUP(tbl_encuesta[[#This Row],[Mi supervisor o jefe directo fomenta que nos apoyemos entre todos en el equipo]],#REF!,#REF!)</f>
        <v>#REF!</v>
      </c>
      <c r="N738" t="s">
        <v>22</v>
      </c>
      <c r="O738" t="e">
        <f>+_xlfn.XLOOKUP(tbl_encuesta[[#This Row],[Siento que mi trabajo es reconocido por mi supervisor o jefe directo.]],#REF!,#REF!)</f>
        <v>#REF!</v>
      </c>
      <c r="P738" t="s">
        <v>31</v>
      </c>
      <c r="Q738" t="e">
        <f xml:space="preserve">
_xlfn.XLOOKUP(
tbl_encuesta[[#This Row],[Mi supervisor o jefe directo nos brinda charlas de 5 minutos y comunica las novedades relevantes a mi puesto de trabajo]],#REF!,#REF!
)</f>
        <v>#REF!</v>
      </c>
      <c r="S738" t="s">
        <v>18</v>
      </c>
      <c r="W738" t="s">
        <v>25</v>
      </c>
      <c r="X738" t="s">
        <v>22</v>
      </c>
      <c r="Y738" t="e">
        <f>+_xlfn.XLOOKUP(tbl_encuesta[[#This Row],[Considero a Limtek como un buen lugar para trabajar]],#REF!,#REF!)</f>
        <v>#REF!</v>
      </c>
      <c r="Z738" t="s">
        <v>1170</v>
      </c>
      <c r="AA738" t="s">
        <v>1898</v>
      </c>
      <c r="AB738" t="s">
        <v>28</v>
      </c>
      <c r="AC738" s="3" t="s">
        <v>3716</v>
      </c>
      <c r="AD738" s="3" t="s">
        <v>3716</v>
      </c>
      <c r="AE738" t="s">
        <v>69</v>
      </c>
    </row>
    <row r="739" spans="1:31" x14ac:dyDescent="0.25">
      <c r="A739">
        <v>119028302707</v>
      </c>
      <c r="B739">
        <v>462598545</v>
      </c>
      <c r="C739" s="1">
        <v>46021.441099537034</v>
      </c>
      <c r="D739" s="1">
        <v>46021.443819444445</v>
      </c>
      <c r="E739" t="s">
        <v>1899</v>
      </c>
      <c r="F739" t="s">
        <v>23</v>
      </c>
      <c r="G739" t="e">
        <f>+_xlfn.XLOOKUP(tbl_encuesta[[#This Row],[Me siento a gusto con el ambiente de trabajo que se genera en mi equipo.]],#REF!,#REF!)</f>
        <v>#REF!</v>
      </c>
      <c r="H739" t="s">
        <v>23</v>
      </c>
      <c r="I739" t="e">
        <f>+_xlfn.XLOOKUP(tbl_encuesta[[#This Row],[Me siento motivado a dar lo mejor de mí y hacer un buen trabajo]],#REF!,#REF!)</f>
        <v>#REF!</v>
      </c>
      <c r="J739" t="s">
        <v>23</v>
      </c>
      <c r="K739" t="e">
        <f>+_xlfn.XLOOKUP(tbl_encuesta[[#This Row],[Mi supervisor o jefe directo me otorga el soporte que necesito para afrontar cualquier problema que afecte mi trabajo]],#REF!,#REF!)</f>
        <v>#REF!</v>
      </c>
      <c r="L739" t="s">
        <v>23</v>
      </c>
      <c r="M739" t="e">
        <f>+_xlfn.XLOOKUP(tbl_encuesta[[#This Row],[Mi supervisor o jefe directo fomenta que nos apoyemos entre todos en el equipo]],#REF!,#REF!)</f>
        <v>#REF!</v>
      </c>
      <c r="N739" t="s">
        <v>23</v>
      </c>
      <c r="O739" t="e">
        <f>+_xlfn.XLOOKUP(tbl_encuesta[[#This Row],[Siento que mi trabajo es reconocido por mi supervisor o jefe directo.]],#REF!,#REF!)</f>
        <v>#REF!</v>
      </c>
      <c r="P739" t="s">
        <v>175</v>
      </c>
      <c r="Q739" t="e">
        <f xml:space="preserve">
_xlfn.XLOOKUP(
tbl_encuesta[[#This Row],[Mi supervisor o jefe directo nos brinda charlas de 5 minutos y comunica las novedades relevantes a mi puesto de trabajo]],#REF!,#REF!
)</f>
        <v>#REF!</v>
      </c>
      <c r="R739" t="s">
        <v>17</v>
      </c>
      <c r="T739" t="s">
        <v>19</v>
      </c>
      <c r="W739" t="s">
        <v>25</v>
      </c>
      <c r="X739" t="s">
        <v>23</v>
      </c>
      <c r="Y739" t="e">
        <f>+_xlfn.XLOOKUP(tbl_encuesta[[#This Row],[Considero a Limtek como un buen lugar para trabajar]],#REF!,#REF!)</f>
        <v>#REF!</v>
      </c>
      <c r="Z739" t="s">
        <v>1900</v>
      </c>
      <c r="AA739" t="s">
        <v>1901</v>
      </c>
      <c r="AB739" t="s">
        <v>1902</v>
      </c>
      <c r="AC739" s="3" t="s">
        <v>3610</v>
      </c>
      <c r="AD739" s="3" t="s">
        <v>3610</v>
      </c>
      <c r="AE739" t="s">
        <v>61</v>
      </c>
    </row>
    <row r="740" spans="1:31" x14ac:dyDescent="0.25">
      <c r="A740">
        <v>119028246545</v>
      </c>
      <c r="B740">
        <v>462598545</v>
      </c>
      <c r="C740" s="1">
        <v>46021.35434027778</v>
      </c>
      <c r="D740" s="1">
        <v>46021.358935185184</v>
      </c>
      <c r="E740" t="s">
        <v>1903</v>
      </c>
      <c r="F740" t="s">
        <v>23</v>
      </c>
      <c r="G740" t="e">
        <f>+_xlfn.XLOOKUP(tbl_encuesta[[#This Row],[Me siento a gusto con el ambiente de trabajo que se genera en mi equipo.]],#REF!,#REF!)</f>
        <v>#REF!</v>
      </c>
      <c r="H740" t="s">
        <v>23</v>
      </c>
      <c r="I740" t="e">
        <f>+_xlfn.XLOOKUP(tbl_encuesta[[#This Row],[Me siento motivado a dar lo mejor de mí y hacer un buen trabajo]],#REF!,#REF!)</f>
        <v>#REF!</v>
      </c>
      <c r="J740" t="s">
        <v>23</v>
      </c>
      <c r="K740" t="e">
        <f>+_xlfn.XLOOKUP(tbl_encuesta[[#This Row],[Mi supervisor o jefe directo me otorga el soporte que necesito para afrontar cualquier problema que afecte mi trabajo]],#REF!,#REF!)</f>
        <v>#REF!</v>
      </c>
      <c r="L740" t="s">
        <v>23</v>
      </c>
      <c r="M740" t="e">
        <f>+_xlfn.XLOOKUP(tbl_encuesta[[#This Row],[Mi supervisor o jefe directo fomenta que nos apoyemos entre todos en el equipo]],#REF!,#REF!)</f>
        <v>#REF!</v>
      </c>
      <c r="N740" t="s">
        <v>23</v>
      </c>
      <c r="O740" t="e">
        <f>+_xlfn.XLOOKUP(tbl_encuesta[[#This Row],[Siento que mi trabajo es reconocido por mi supervisor o jefe directo.]],#REF!,#REF!)</f>
        <v>#REF!</v>
      </c>
      <c r="P740" t="s">
        <v>31</v>
      </c>
      <c r="Q740" t="e">
        <f xml:space="preserve">
_xlfn.XLOOKUP(
tbl_encuesta[[#This Row],[Mi supervisor o jefe directo nos brinda charlas de 5 minutos y comunica las novedades relevantes a mi puesto de trabajo]],#REF!,#REF!
)</f>
        <v>#REF!</v>
      </c>
      <c r="S740" t="s">
        <v>18</v>
      </c>
      <c r="W740" t="s">
        <v>25</v>
      </c>
      <c r="X740" t="s">
        <v>23</v>
      </c>
      <c r="Y740" t="e">
        <f>+_xlfn.XLOOKUP(tbl_encuesta[[#This Row],[Considero a Limtek como un buen lugar para trabajar]],#REF!,#REF!)</f>
        <v>#REF!</v>
      </c>
      <c r="Z740" t="s">
        <v>1904</v>
      </c>
      <c r="AA740" t="s">
        <v>1905</v>
      </c>
      <c r="AB740" t="s">
        <v>559</v>
      </c>
      <c r="AC740" s="3" t="s">
        <v>3716</v>
      </c>
      <c r="AD740" s="3" t="s">
        <v>1431</v>
      </c>
      <c r="AE740" t="s">
        <v>29</v>
      </c>
    </row>
    <row r="741" spans="1:31" x14ac:dyDescent="0.25">
      <c r="A741">
        <v>119028049627</v>
      </c>
      <c r="B741">
        <v>462598545</v>
      </c>
      <c r="C741" s="1">
        <v>46020.870451388888</v>
      </c>
      <c r="D741" s="1">
        <v>46020.874282407407</v>
      </c>
      <c r="E741" t="s">
        <v>1906</v>
      </c>
      <c r="F741" t="s">
        <v>23</v>
      </c>
      <c r="G741" t="e">
        <f>+_xlfn.XLOOKUP(tbl_encuesta[[#This Row],[Me siento a gusto con el ambiente de trabajo que se genera en mi equipo.]],#REF!,#REF!)</f>
        <v>#REF!</v>
      </c>
      <c r="H741" t="s">
        <v>23</v>
      </c>
      <c r="I741" t="e">
        <f>+_xlfn.XLOOKUP(tbl_encuesta[[#This Row],[Me siento motivado a dar lo mejor de mí y hacer un buen trabajo]],#REF!,#REF!)</f>
        <v>#REF!</v>
      </c>
      <c r="J741" t="s">
        <v>23</v>
      </c>
      <c r="K741" t="e">
        <f>+_xlfn.XLOOKUP(tbl_encuesta[[#This Row],[Mi supervisor o jefe directo me otorga el soporte que necesito para afrontar cualquier problema que afecte mi trabajo]],#REF!,#REF!)</f>
        <v>#REF!</v>
      </c>
      <c r="L741" t="s">
        <v>23</v>
      </c>
      <c r="M741" t="e">
        <f>+_xlfn.XLOOKUP(tbl_encuesta[[#This Row],[Mi supervisor o jefe directo fomenta que nos apoyemos entre todos en el equipo]],#REF!,#REF!)</f>
        <v>#REF!</v>
      </c>
      <c r="N741" t="s">
        <v>23</v>
      </c>
      <c r="O741" t="e">
        <f>+_xlfn.XLOOKUP(tbl_encuesta[[#This Row],[Siento que mi trabajo es reconocido por mi supervisor o jefe directo.]],#REF!,#REF!)</f>
        <v>#REF!</v>
      </c>
      <c r="P741" t="s">
        <v>31</v>
      </c>
      <c r="Q741" t="e">
        <f xml:space="preserve">
_xlfn.XLOOKUP(
tbl_encuesta[[#This Row],[Mi supervisor o jefe directo nos brinda charlas de 5 minutos y comunica las novedades relevantes a mi puesto de trabajo]],#REF!,#REF!
)</f>
        <v>#REF!</v>
      </c>
      <c r="R741" t="s">
        <v>17</v>
      </c>
      <c r="S741" t="s">
        <v>18</v>
      </c>
      <c r="W741" t="s">
        <v>25</v>
      </c>
      <c r="X741" t="s">
        <v>23</v>
      </c>
      <c r="Y741" t="e">
        <f>+_xlfn.XLOOKUP(tbl_encuesta[[#This Row],[Considero a Limtek como un buen lugar para trabajar]],#REF!,#REF!)</f>
        <v>#REF!</v>
      </c>
      <c r="Z741" t="s">
        <v>1907</v>
      </c>
      <c r="AA741" t="s">
        <v>1908</v>
      </c>
      <c r="AB741" t="s">
        <v>559</v>
      </c>
      <c r="AC741" t="s">
        <v>3744</v>
      </c>
      <c r="AD741" t="s">
        <v>3744</v>
      </c>
      <c r="AE741" t="s">
        <v>29</v>
      </c>
    </row>
    <row r="742" spans="1:31" x14ac:dyDescent="0.25">
      <c r="A742">
        <v>119028036613</v>
      </c>
      <c r="B742">
        <v>462598545</v>
      </c>
      <c r="C742" s="1">
        <v>46020.822581018518</v>
      </c>
      <c r="D742" s="1">
        <v>46020.84003472222</v>
      </c>
      <c r="E742" t="s">
        <v>1909</v>
      </c>
      <c r="F742" t="s">
        <v>22</v>
      </c>
      <c r="G742" t="e">
        <f>+_xlfn.XLOOKUP(tbl_encuesta[[#This Row],[Me siento a gusto con el ambiente de trabajo que se genera en mi equipo.]],#REF!,#REF!)</f>
        <v>#REF!</v>
      </c>
      <c r="H742" t="s">
        <v>23</v>
      </c>
      <c r="I742" t="e">
        <f>+_xlfn.XLOOKUP(tbl_encuesta[[#This Row],[Me siento motivado a dar lo mejor de mí y hacer un buen trabajo]],#REF!,#REF!)</f>
        <v>#REF!</v>
      </c>
      <c r="J742" t="s">
        <v>22</v>
      </c>
      <c r="K742" t="e">
        <f>+_xlfn.XLOOKUP(tbl_encuesta[[#This Row],[Mi supervisor o jefe directo me otorga el soporte que necesito para afrontar cualquier problema que afecte mi trabajo]],#REF!,#REF!)</f>
        <v>#REF!</v>
      </c>
      <c r="L742" t="s">
        <v>22</v>
      </c>
      <c r="M742" t="e">
        <f>+_xlfn.XLOOKUP(tbl_encuesta[[#This Row],[Mi supervisor o jefe directo fomenta que nos apoyemos entre todos en el equipo]],#REF!,#REF!)</f>
        <v>#REF!</v>
      </c>
      <c r="N742" t="s">
        <v>22</v>
      </c>
      <c r="O742" t="e">
        <f>+_xlfn.XLOOKUP(tbl_encuesta[[#This Row],[Siento que mi trabajo es reconocido por mi supervisor o jefe directo.]],#REF!,#REF!)</f>
        <v>#REF!</v>
      </c>
      <c r="P742" t="s">
        <v>31</v>
      </c>
      <c r="Q742" t="e">
        <f xml:space="preserve">
_xlfn.XLOOKUP(
tbl_encuesta[[#This Row],[Mi supervisor o jefe directo nos brinda charlas de 5 minutos y comunica las novedades relevantes a mi puesto de trabajo]],#REF!,#REF!
)</f>
        <v>#REF!</v>
      </c>
      <c r="R742" t="s">
        <v>17</v>
      </c>
      <c r="S742" t="s">
        <v>18</v>
      </c>
      <c r="W742" t="s">
        <v>25</v>
      </c>
      <c r="X742" t="s">
        <v>22</v>
      </c>
      <c r="Y742" t="e">
        <f>+_xlfn.XLOOKUP(tbl_encuesta[[#This Row],[Considero a Limtek como un buen lugar para trabajar]],#REF!,#REF!)</f>
        <v>#REF!</v>
      </c>
      <c r="Z742" t="s">
        <v>1910</v>
      </c>
      <c r="AA742" t="s">
        <v>1911</v>
      </c>
      <c r="AB742" t="s">
        <v>559</v>
      </c>
      <c r="AC742" s="3" t="s">
        <v>3716</v>
      </c>
      <c r="AD742" s="3" t="s">
        <v>1431</v>
      </c>
      <c r="AE742" t="s">
        <v>29</v>
      </c>
    </row>
    <row r="743" spans="1:31" x14ac:dyDescent="0.25">
      <c r="A743">
        <v>119028020500</v>
      </c>
      <c r="B743">
        <v>462598545</v>
      </c>
      <c r="C743" s="1">
        <v>46020.792395833334</v>
      </c>
      <c r="D743" s="1">
        <v>46020.801180555558</v>
      </c>
      <c r="E743" t="s">
        <v>1912</v>
      </c>
      <c r="F743" t="s">
        <v>23</v>
      </c>
      <c r="G743" t="e">
        <f>+_xlfn.XLOOKUP(tbl_encuesta[[#This Row],[Me siento a gusto con el ambiente de trabajo que se genera en mi equipo.]],#REF!,#REF!)</f>
        <v>#REF!</v>
      </c>
      <c r="H743" t="s">
        <v>23</v>
      </c>
      <c r="I743" t="e">
        <f>+_xlfn.XLOOKUP(tbl_encuesta[[#This Row],[Me siento motivado a dar lo mejor de mí y hacer un buen trabajo]],#REF!,#REF!)</f>
        <v>#REF!</v>
      </c>
      <c r="J743" t="s">
        <v>23</v>
      </c>
      <c r="K743" t="e">
        <f>+_xlfn.XLOOKUP(tbl_encuesta[[#This Row],[Mi supervisor o jefe directo me otorga el soporte que necesito para afrontar cualquier problema que afecte mi trabajo]],#REF!,#REF!)</f>
        <v>#REF!</v>
      </c>
      <c r="L743" t="s">
        <v>23</v>
      </c>
      <c r="M743" t="e">
        <f>+_xlfn.XLOOKUP(tbl_encuesta[[#This Row],[Mi supervisor o jefe directo fomenta que nos apoyemos entre todos en el equipo]],#REF!,#REF!)</f>
        <v>#REF!</v>
      </c>
      <c r="N743" t="s">
        <v>23</v>
      </c>
      <c r="O743" t="e">
        <f>+_xlfn.XLOOKUP(tbl_encuesta[[#This Row],[Siento que mi trabajo es reconocido por mi supervisor o jefe directo.]],#REF!,#REF!)</f>
        <v>#REF!</v>
      </c>
      <c r="P743" t="s">
        <v>31</v>
      </c>
      <c r="Q743" t="e">
        <f xml:space="preserve">
_xlfn.XLOOKUP(
tbl_encuesta[[#This Row],[Mi supervisor o jefe directo nos brinda charlas de 5 minutos y comunica las novedades relevantes a mi puesto de trabajo]],#REF!,#REF!
)</f>
        <v>#REF!</v>
      </c>
      <c r="R743" t="s">
        <v>17</v>
      </c>
      <c r="T743" t="s">
        <v>19</v>
      </c>
      <c r="W743" t="s">
        <v>25</v>
      </c>
      <c r="X743" t="s">
        <v>23</v>
      </c>
      <c r="Y743" t="e">
        <f>+_xlfn.XLOOKUP(tbl_encuesta[[#This Row],[Considero a Limtek como un buen lugar para trabajar]],#REF!,#REF!)</f>
        <v>#REF!</v>
      </c>
      <c r="Z743" t="s">
        <v>1913</v>
      </c>
      <c r="AA743" t="s">
        <v>1914</v>
      </c>
      <c r="AB743" t="s">
        <v>559</v>
      </c>
      <c r="AC743" s="3" t="s">
        <v>3794</v>
      </c>
      <c r="AD743" s="3" t="s">
        <v>3794</v>
      </c>
      <c r="AE743" t="s">
        <v>34</v>
      </c>
    </row>
    <row r="744" spans="1:31" x14ac:dyDescent="0.25">
      <c r="A744">
        <v>119028015715</v>
      </c>
      <c r="B744">
        <v>462598545</v>
      </c>
      <c r="C744" s="1">
        <v>46020.780578703707</v>
      </c>
      <c r="D744" s="1">
        <v>46020.791134259256</v>
      </c>
      <c r="E744" t="s">
        <v>1915</v>
      </c>
      <c r="F744" t="s">
        <v>22</v>
      </c>
      <c r="G744" t="e">
        <f>+_xlfn.XLOOKUP(tbl_encuesta[[#This Row],[Me siento a gusto con el ambiente de trabajo que se genera en mi equipo.]],#REF!,#REF!)</f>
        <v>#REF!</v>
      </c>
      <c r="H744" t="s">
        <v>22</v>
      </c>
      <c r="I744" t="e">
        <f>+_xlfn.XLOOKUP(tbl_encuesta[[#This Row],[Me siento motivado a dar lo mejor de mí y hacer un buen trabajo]],#REF!,#REF!)</f>
        <v>#REF!</v>
      </c>
      <c r="J744" t="s">
        <v>22</v>
      </c>
      <c r="K744" t="e">
        <f>+_xlfn.XLOOKUP(tbl_encuesta[[#This Row],[Mi supervisor o jefe directo me otorga el soporte que necesito para afrontar cualquier problema que afecte mi trabajo]],#REF!,#REF!)</f>
        <v>#REF!</v>
      </c>
      <c r="L744" t="s">
        <v>22</v>
      </c>
      <c r="M744" t="e">
        <f>+_xlfn.XLOOKUP(tbl_encuesta[[#This Row],[Mi supervisor o jefe directo fomenta que nos apoyemos entre todos en el equipo]],#REF!,#REF!)</f>
        <v>#REF!</v>
      </c>
      <c r="N744" t="s">
        <v>22</v>
      </c>
      <c r="O744" t="e">
        <f>+_xlfn.XLOOKUP(tbl_encuesta[[#This Row],[Siento que mi trabajo es reconocido por mi supervisor o jefe directo.]],#REF!,#REF!)</f>
        <v>#REF!</v>
      </c>
      <c r="P744" t="s">
        <v>31</v>
      </c>
      <c r="Q744" t="e">
        <f xml:space="preserve">
_xlfn.XLOOKUP(
tbl_encuesta[[#This Row],[Mi supervisor o jefe directo nos brinda charlas de 5 minutos y comunica las novedades relevantes a mi puesto de trabajo]],#REF!,#REF!
)</f>
        <v>#REF!</v>
      </c>
      <c r="R744" t="s">
        <v>17</v>
      </c>
      <c r="T744" t="s">
        <v>19</v>
      </c>
      <c r="W744" t="s">
        <v>46</v>
      </c>
      <c r="X744" t="s">
        <v>23</v>
      </c>
      <c r="Y744" t="e">
        <f>+_xlfn.XLOOKUP(tbl_encuesta[[#This Row],[Considero a Limtek como un buen lugar para trabajar]],#REF!,#REF!)</f>
        <v>#REF!</v>
      </c>
      <c r="Z744" t="s">
        <v>1916</v>
      </c>
      <c r="AA744" t="s">
        <v>1917</v>
      </c>
      <c r="AB744" t="s">
        <v>28</v>
      </c>
      <c r="AC744" s="3" t="s">
        <v>3862</v>
      </c>
      <c r="AD744" s="3" t="s">
        <v>3863</v>
      </c>
      <c r="AE744" t="s">
        <v>34</v>
      </c>
    </row>
    <row r="745" spans="1:31" x14ac:dyDescent="0.25">
      <c r="A745">
        <v>119028014684</v>
      </c>
      <c r="B745">
        <v>462598545</v>
      </c>
      <c r="C745" s="1">
        <v>46020.783043981479</v>
      </c>
      <c r="D745" s="1">
        <v>46020.788807870369</v>
      </c>
      <c r="E745" t="s">
        <v>1918</v>
      </c>
      <c r="F745" t="s">
        <v>22</v>
      </c>
      <c r="G745" t="e">
        <f>+_xlfn.XLOOKUP(tbl_encuesta[[#This Row],[Me siento a gusto con el ambiente de trabajo que se genera en mi equipo.]],#REF!,#REF!)</f>
        <v>#REF!</v>
      </c>
      <c r="H745" t="s">
        <v>23</v>
      </c>
      <c r="I745" t="e">
        <f>+_xlfn.XLOOKUP(tbl_encuesta[[#This Row],[Me siento motivado a dar lo mejor de mí y hacer un buen trabajo]],#REF!,#REF!)</f>
        <v>#REF!</v>
      </c>
      <c r="J745" t="s">
        <v>23</v>
      </c>
      <c r="K745" t="e">
        <f>+_xlfn.XLOOKUP(tbl_encuesta[[#This Row],[Mi supervisor o jefe directo me otorga el soporte que necesito para afrontar cualquier problema que afecte mi trabajo]],#REF!,#REF!)</f>
        <v>#REF!</v>
      </c>
      <c r="L745" t="s">
        <v>23</v>
      </c>
      <c r="M745" t="e">
        <f>+_xlfn.XLOOKUP(tbl_encuesta[[#This Row],[Mi supervisor o jefe directo fomenta que nos apoyemos entre todos en el equipo]],#REF!,#REF!)</f>
        <v>#REF!</v>
      </c>
      <c r="N745" t="s">
        <v>23</v>
      </c>
      <c r="O745" t="e">
        <f>+_xlfn.XLOOKUP(tbl_encuesta[[#This Row],[Siento que mi trabajo es reconocido por mi supervisor o jefe directo.]],#REF!,#REF!)</f>
        <v>#REF!</v>
      </c>
      <c r="P745" t="s">
        <v>31</v>
      </c>
      <c r="Q745" t="e">
        <f xml:space="preserve">
_xlfn.XLOOKUP(
tbl_encuesta[[#This Row],[Mi supervisor o jefe directo nos brinda charlas de 5 minutos y comunica las novedades relevantes a mi puesto de trabajo]],#REF!,#REF!
)</f>
        <v>#REF!</v>
      </c>
      <c r="S745" t="s">
        <v>18</v>
      </c>
      <c r="W745" t="s">
        <v>25</v>
      </c>
      <c r="X745" t="s">
        <v>23</v>
      </c>
      <c r="Y745" t="e">
        <f>+_xlfn.XLOOKUP(tbl_encuesta[[#This Row],[Considero a Limtek como un buen lugar para trabajar]],#REF!,#REF!)</f>
        <v>#REF!</v>
      </c>
      <c r="Z745" t="s">
        <v>1919</v>
      </c>
      <c r="AA745" t="s">
        <v>1920</v>
      </c>
      <c r="AB745" t="s">
        <v>559</v>
      </c>
      <c r="AC745" s="3" t="s">
        <v>3716</v>
      </c>
      <c r="AD745" s="3" t="s">
        <v>1431</v>
      </c>
      <c r="AE745" t="s">
        <v>29</v>
      </c>
    </row>
    <row r="746" spans="1:31" x14ac:dyDescent="0.25">
      <c r="A746">
        <v>119027993997</v>
      </c>
      <c r="B746">
        <v>462598545</v>
      </c>
      <c r="C746" s="1">
        <v>46020.720277777778</v>
      </c>
      <c r="D746" s="1">
        <v>46020.746053240742</v>
      </c>
      <c r="E746" t="s">
        <v>1921</v>
      </c>
      <c r="F746" t="s">
        <v>22</v>
      </c>
      <c r="G746" t="e">
        <f>+_xlfn.XLOOKUP(tbl_encuesta[[#This Row],[Me siento a gusto con el ambiente de trabajo que se genera en mi equipo.]],#REF!,#REF!)</f>
        <v>#REF!</v>
      </c>
      <c r="H746" t="s">
        <v>23</v>
      </c>
      <c r="I746" t="e">
        <f>+_xlfn.XLOOKUP(tbl_encuesta[[#This Row],[Me siento motivado a dar lo mejor de mí y hacer un buen trabajo]],#REF!,#REF!)</f>
        <v>#REF!</v>
      </c>
      <c r="J746" t="s">
        <v>22</v>
      </c>
      <c r="K746" t="e">
        <f>+_xlfn.XLOOKUP(tbl_encuesta[[#This Row],[Mi supervisor o jefe directo me otorga el soporte que necesito para afrontar cualquier problema que afecte mi trabajo]],#REF!,#REF!)</f>
        <v>#REF!</v>
      </c>
      <c r="L746" t="s">
        <v>22</v>
      </c>
      <c r="M746" t="e">
        <f>+_xlfn.XLOOKUP(tbl_encuesta[[#This Row],[Mi supervisor o jefe directo fomenta que nos apoyemos entre todos en el equipo]],#REF!,#REF!)</f>
        <v>#REF!</v>
      </c>
      <c r="N746" t="s">
        <v>22</v>
      </c>
      <c r="O746" t="e">
        <f>+_xlfn.XLOOKUP(tbl_encuesta[[#This Row],[Siento que mi trabajo es reconocido por mi supervisor o jefe directo.]],#REF!,#REF!)</f>
        <v>#REF!</v>
      </c>
      <c r="P746" t="s">
        <v>31</v>
      </c>
      <c r="Q746" t="e">
        <f xml:space="preserve">
_xlfn.XLOOKUP(
tbl_encuesta[[#This Row],[Mi supervisor o jefe directo nos brinda charlas de 5 minutos y comunica las novedades relevantes a mi puesto de trabajo]],#REF!,#REF!
)</f>
        <v>#REF!</v>
      </c>
      <c r="R746" t="s">
        <v>17</v>
      </c>
      <c r="S746" t="s">
        <v>18</v>
      </c>
      <c r="W746" t="s">
        <v>25</v>
      </c>
      <c r="X746" t="s">
        <v>23</v>
      </c>
      <c r="Y746" t="e">
        <f>+_xlfn.XLOOKUP(tbl_encuesta[[#This Row],[Considero a Limtek como un buen lugar para trabajar]],#REF!,#REF!)</f>
        <v>#REF!</v>
      </c>
      <c r="Z746" t="s">
        <v>1922</v>
      </c>
      <c r="AA746" t="s">
        <v>1923</v>
      </c>
      <c r="AB746" t="s">
        <v>38</v>
      </c>
      <c r="AC746" s="3" t="s">
        <v>3610</v>
      </c>
      <c r="AD746" s="3" t="s">
        <v>3685</v>
      </c>
      <c r="AE746" t="s">
        <v>34</v>
      </c>
    </row>
    <row r="747" spans="1:31" x14ac:dyDescent="0.25">
      <c r="A747">
        <v>119027934571</v>
      </c>
      <c r="B747">
        <v>462598545</v>
      </c>
      <c r="C747" s="1">
        <v>46020.638148148151</v>
      </c>
      <c r="D747" s="1">
        <v>46020.643182870372</v>
      </c>
      <c r="E747" t="s">
        <v>1924</v>
      </c>
      <c r="F747" t="s">
        <v>43</v>
      </c>
      <c r="G747" t="e">
        <f>+_xlfn.XLOOKUP(tbl_encuesta[[#This Row],[Me siento a gusto con el ambiente de trabajo que se genera en mi equipo.]],#REF!,#REF!)</f>
        <v>#REF!</v>
      </c>
      <c r="H747" t="s">
        <v>23</v>
      </c>
      <c r="I747" t="e">
        <f>+_xlfn.XLOOKUP(tbl_encuesta[[#This Row],[Me siento motivado a dar lo mejor de mí y hacer un buen trabajo]],#REF!,#REF!)</f>
        <v>#REF!</v>
      </c>
      <c r="J747" t="s">
        <v>22</v>
      </c>
      <c r="K747" t="e">
        <f>+_xlfn.XLOOKUP(tbl_encuesta[[#This Row],[Mi supervisor o jefe directo me otorga el soporte que necesito para afrontar cualquier problema que afecte mi trabajo]],#REF!,#REF!)</f>
        <v>#REF!</v>
      </c>
      <c r="L747" t="s">
        <v>23</v>
      </c>
      <c r="M747" t="e">
        <f>+_xlfn.XLOOKUP(tbl_encuesta[[#This Row],[Mi supervisor o jefe directo fomenta que nos apoyemos entre todos en el equipo]],#REF!,#REF!)</f>
        <v>#REF!</v>
      </c>
      <c r="N747" t="s">
        <v>23</v>
      </c>
      <c r="O747" t="e">
        <f>+_xlfn.XLOOKUP(tbl_encuesta[[#This Row],[Siento que mi trabajo es reconocido por mi supervisor o jefe directo.]],#REF!,#REF!)</f>
        <v>#REF!</v>
      </c>
      <c r="P747" t="s">
        <v>67</v>
      </c>
      <c r="Q747" t="e">
        <f xml:space="preserve">
_xlfn.XLOOKUP(
tbl_encuesta[[#This Row],[Mi supervisor o jefe directo nos brinda charlas de 5 minutos y comunica las novedades relevantes a mi puesto de trabajo]],#REF!,#REF!
)</f>
        <v>#REF!</v>
      </c>
      <c r="S747" t="s">
        <v>18</v>
      </c>
      <c r="V747" t="s">
        <v>1925</v>
      </c>
      <c r="W747" t="s">
        <v>25</v>
      </c>
      <c r="X747" t="s">
        <v>23</v>
      </c>
      <c r="Y747" t="e">
        <f>+_xlfn.XLOOKUP(tbl_encuesta[[#This Row],[Considero a Limtek como un buen lugar para trabajar]],#REF!,#REF!)</f>
        <v>#REF!</v>
      </c>
      <c r="Z747" t="s">
        <v>1926</v>
      </c>
      <c r="AA747" t="s">
        <v>1927</v>
      </c>
      <c r="AB747" t="s">
        <v>559</v>
      </c>
      <c r="AC747" s="3" t="s">
        <v>3748</v>
      </c>
      <c r="AD747" s="3" t="s">
        <v>3748</v>
      </c>
      <c r="AE747" t="s">
        <v>69</v>
      </c>
    </row>
    <row r="748" spans="1:31" x14ac:dyDescent="0.25">
      <c r="A748">
        <v>119027930833</v>
      </c>
      <c r="B748">
        <v>462598545</v>
      </c>
      <c r="C748" s="1">
        <v>46020.632534722223</v>
      </c>
      <c r="D748" s="1">
        <v>46020.637569444443</v>
      </c>
      <c r="E748" t="s">
        <v>1928</v>
      </c>
      <c r="F748" t="s">
        <v>22</v>
      </c>
      <c r="G748" t="e">
        <f>+_xlfn.XLOOKUP(tbl_encuesta[[#This Row],[Me siento a gusto con el ambiente de trabajo que se genera en mi equipo.]],#REF!,#REF!)</f>
        <v>#REF!</v>
      </c>
      <c r="H748" t="s">
        <v>23</v>
      </c>
      <c r="I748" t="e">
        <f>+_xlfn.XLOOKUP(tbl_encuesta[[#This Row],[Me siento motivado a dar lo mejor de mí y hacer un buen trabajo]],#REF!,#REF!)</f>
        <v>#REF!</v>
      </c>
      <c r="J748" t="s">
        <v>22</v>
      </c>
      <c r="K748" t="e">
        <f>+_xlfn.XLOOKUP(tbl_encuesta[[#This Row],[Mi supervisor o jefe directo me otorga el soporte que necesito para afrontar cualquier problema que afecte mi trabajo]],#REF!,#REF!)</f>
        <v>#REF!</v>
      </c>
      <c r="L748" t="s">
        <v>23</v>
      </c>
      <c r="M748" t="e">
        <f>+_xlfn.XLOOKUP(tbl_encuesta[[#This Row],[Mi supervisor o jefe directo fomenta que nos apoyemos entre todos en el equipo]],#REF!,#REF!)</f>
        <v>#REF!</v>
      </c>
      <c r="N748" t="s">
        <v>22</v>
      </c>
      <c r="O748" t="e">
        <f>+_xlfn.XLOOKUP(tbl_encuesta[[#This Row],[Siento que mi trabajo es reconocido por mi supervisor o jefe directo.]],#REF!,#REF!)</f>
        <v>#REF!</v>
      </c>
      <c r="P748" t="s">
        <v>67</v>
      </c>
      <c r="Q748" t="e">
        <f xml:space="preserve">
_xlfn.XLOOKUP(
tbl_encuesta[[#This Row],[Mi supervisor o jefe directo nos brinda charlas de 5 minutos y comunica las novedades relevantes a mi puesto de trabajo]],#REF!,#REF!
)</f>
        <v>#REF!</v>
      </c>
      <c r="R748" t="s">
        <v>17</v>
      </c>
      <c r="W748" t="s">
        <v>25</v>
      </c>
      <c r="X748" t="s">
        <v>22</v>
      </c>
      <c r="Y748" t="e">
        <f>+_xlfn.XLOOKUP(tbl_encuesta[[#This Row],[Considero a Limtek como un buen lugar para trabajar]],#REF!,#REF!)</f>
        <v>#REF!</v>
      </c>
      <c r="Z748" t="s">
        <v>1929</v>
      </c>
      <c r="AA748" t="s">
        <v>1930</v>
      </c>
      <c r="AB748" t="s">
        <v>28</v>
      </c>
      <c r="AC748" s="3" t="s">
        <v>3761</v>
      </c>
      <c r="AD748" s="3" t="s">
        <v>3763</v>
      </c>
      <c r="AE748" t="s">
        <v>34</v>
      </c>
    </row>
    <row r="749" spans="1:31" x14ac:dyDescent="0.25">
      <c r="A749">
        <v>119027919294</v>
      </c>
      <c r="B749">
        <v>462598545</v>
      </c>
      <c r="C749" s="1">
        <v>46020.595381944448</v>
      </c>
      <c r="D749" s="1">
        <v>46020.619085648148</v>
      </c>
      <c r="E749" t="s">
        <v>1924</v>
      </c>
      <c r="F749" t="s">
        <v>43</v>
      </c>
      <c r="G749" t="e">
        <f>+_xlfn.XLOOKUP(tbl_encuesta[[#This Row],[Me siento a gusto con el ambiente de trabajo que se genera en mi equipo.]],#REF!,#REF!)</f>
        <v>#REF!</v>
      </c>
      <c r="H749" t="s">
        <v>23</v>
      </c>
      <c r="I749" t="e">
        <f>+_xlfn.XLOOKUP(tbl_encuesta[[#This Row],[Me siento motivado a dar lo mejor de mí y hacer un buen trabajo]],#REF!,#REF!)</f>
        <v>#REF!</v>
      </c>
      <c r="J749" t="s">
        <v>22</v>
      </c>
      <c r="K749" t="e">
        <f>+_xlfn.XLOOKUP(tbl_encuesta[[#This Row],[Mi supervisor o jefe directo me otorga el soporte que necesito para afrontar cualquier problema que afecte mi trabajo]],#REF!,#REF!)</f>
        <v>#REF!</v>
      </c>
      <c r="L749" t="s">
        <v>23</v>
      </c>
      <c r="M749" t="e">
        <f>+_xlfn.XLOOKUP(tbl_encuesta[[#This Row],[Mi supervisor o jefe directo fomenta que nos apoyemos entre todos en el equipo]],#REF!,#REF!)</f>
        <v>#REF!</v>
      </c>
      <c r="N749" t="s">
        <v>23</v>
      </c>
      <c r="O749" t="e">
        <f>+_xlfn.XLOOKUP(tbl_encuesta[[#This Row],[Siento que mi trabajo es reconocido por mi supervisor o jefe directo.]],#REF!,#REF!)</f>
        <v>#REF!</v>
      </c>
      <c r="P749" t="s">
        <v>67</v>
      </c>
      <c r="Q749" t="e">
        <f xml:space="preserve">
_xlfn.XLOOKUP(
tbl_encuesta[[#This Row],[Mi supervisor o jefe directo nos brinda charlas de 5 minutos y comunica las novedades relevantes a mi puesto de trabajo]],#REF!,#REF!
)</f>
        <v>#REF!</v>
      </c>
      <c r="S749" t="s">
        <v>18</v>
      </c>
      <c r="V749" t="s">
        <v>1925</v>
      </c>
      <c r="W749" t="s">
        <v>25</v>
      </c>
      <c r="X749" t="s">
        <v>23</v>
      </c>
      <c r="Y749" t="e">
        <f>+_xlfn.XLOOKUP(tbl_encuesta[[#This Row],[Considero a Limtek como un buen lugar para trabajar]],#REF!,#REF!)</f>
        <v>#REF!</v>
      </c>
      <c r="Z749" t="s">
        <v>1926</v>
      </c>
      <c r="AA749" t="s">
        <v>1927</v>
      </c>
      <c r="AB749" t="s">
        <v>559</v>
      </c>
      <c r="AC749" s="3" t="s">
        <v>3748</v>
      </c>
      <c r="AD749" s="3" t="s">
        <v>3748</v>
      </c>
      <c r="AE749" t="s">
        <v>69</v>
      </c>
    </row>
    <row r="750" spans="1:31" x14ac:dyDescent="0.25">
      <c r="A750">
        <v>119027900588</v>
      </c>
      <c r="B750">
        <v>462598545</v>
      </c>
      <c r="C750" s="1">
        <v>46020.584664351853</v>
      </c>
      <c r="D750" s="1">
        <v>46020.589236111111</v>
      </c>
      <c r="E750" t="s">
        <v>1931</v>
      </c>
      <c r="F750" t="s">
        <v>23</v>
      </c>
      <c r="G750" t="e">
        <f>+_xlfn.XLOOKUP(tbl_encuesta[[#This Row],[Me siento a gusto con el ambiente de trabajo que se genera en mi equipo.]],#REF!,#REF!)</f>
        <v>#REF!</v>
      </c>
      <c r="H750" t="s">
        <v>23</v>
      </c>
      <c r="I750" t="e">
        <f>+_xlfn.XLOOKUP(tbl_encuesta[[#This Row],[Me siento motivado a dar lo mejor de mí y hacer un buen trabajo]],#REF!,#REF!)</f>
        <v>#REF!</v>
      </c>
      <c r="J750" t="s">
        <v>23</v>
      </c>
      <c r="K750" t="e">
        <f>+_xlfn.XLOOKUP(tbl_encuesta[[#This Row],[Mi supervisor o jefe directo me otorga el soporte que necesito para afrontar cualquier problema que afecte mi trabajo]],#REF!,#REF!)</f>
        <v>#REF!</v>
      </c>
      <c r="L750" t="s">
        <v>23</v>
      </c>
      <c r="M750" t="e">
        <f>+_xlfn.XLOOKUP(tbl_encuesta[[#This Row],[Mi supervisor o jefe directo fomenta que nos apoyemos entre todos en el equipo]],#REF!,#REF!)</f>
        <v>#REF!</v>
      </c>
      <c r="N750" t="s">
        <v>23</v>
      </c>
      <c r="O750" t="e">
        <f>+_xlfn.XLOOKUP(tbl_encuesta[[#This Row],[Siento que mi trabajo es reconocido por mi supervisor o jefe directo.]],#REF!,#REF!)</f>
        <v>#REF!</v>
      </c>
      <c r="P750" t="s">
        <v>31</v>
      </c>
      <c r="Q750" t="e">
        <f xml:space="preserve">
_xlfn.XLOOKUP(
tbl_encuesta[[#This Row],[Mi supervisor o jefe directo nos brinda charlas de 5 minutos y comunica las novedades relevantes a mi puesto de trabajo]],#REF!,#REF!
)</f>
        <v>#REF!</v>
      </c>
      <c r="R750" t="s">
        <v>17</v>
      </c>
      <c r="W750" t="s">
        <v>25</v>
      </c>
      <c r="X750" t="s">
        <v>23</v>
      </c>
      <c r="Y750" t="e">
        <f>+_xlfn.XLOOKUP(tbl_encuesta[[#This Row],[Considero a Limtek como un buen lugar para trabajar]],#REF!,#REF!)</f>
        <v>#REF!</v>
      </c>
      <c r="Z750" t="s">
        <v>1932</v>
      </c>
      <c r="AA750" t="s">
        <v>1933</v>
      </c>
      <c r="AB750" t="s">
        <v>28</v>
      </c>
      <c r="AC750" s="3" t="s">
        <v>3705</v>
      </c>
      <c r="AD750" s="3" t="s">
        <v>3709</v>
      </c>
      <c r="AE750" t="s">
        <v>34</v>
      </c>
    </row>
    <row r="751" spans="1:31" x14ac:dyDescent="0.25">
      <c r="A751">
        <v>119027886505</v>
      </c>
      <c r="B751">
        <v>462598545</v>
      </c>
      <c r="C751" s="1">
        <v>46020.543668981481</v>
      </c>
      <c r="D751" s="1">
        <v>46020.567754629628</v>
      </c>
      <c r="E751" t="s">
        <v>1934</v>
      </c>
      <c r="F751" t="s">
        <v>22</v>
      </c>
      <c r="G751" t="e">
        <f>+_xlfn.XLOOKUP(tbl_encuesta[[#This Row],[Me siento a gusto con el ambiente de trabajo que se genera en mi equipo.]],#REF!,#REF!)</f>
        <v>#REF!</v>
      </c>
      <c r="H751" t="s">
        <v>22</v>
      </c>
      <c r="I751" t="e">
        <f>+_xlfn.XLOOKUP(tbl_encuesta[[#This Row],[Me siento motivado a dar lo mejor de mí y hacer un buen trabajo]],#REF!,#REF!)</f>
        <v>#REF!</v>
      </c>
      <c r="J751" t="s">
        <v>23</v>
      </c>
      <c r="K751" t="e">
        <f>+_xlfn.XLOOKUP(tbl_encuesta[[#This Row],[Mi supervisor o jefe directo me otorga el soporte que necesito para afrontar cualquier problema que afecte mi trabajo]],#REF!,#REF!)</f>
        <v>#REF!</v>
      </c>
      <c r="L751" t="s">
        <v>22</v>
      </c>
      <c r="M751" t="e">
        <f>+_xlfn.XLOOKUP(tbl_encuesta[[#This Row],[Mi supervisor o jefe directo fomenta que nos apoyemos entre todos en el equipo]],#REF!,#REF!)</f>
        <v>#REF!</v>
      </c>
      <c r="N751" t="s">
        <v>22</v>
      </c>
      <c r="O751" t="e">
        <f>+_xlfn.XLOOKUP(tbl_encuesta[[#This Row],[Siento que mi trabajo es reconocido por mi supervisor o jefe directo.]],#REF!,#REF!)</f>
        <v>#REF!</v>
      </c>
      <c r="P751" t="s">
        <v>67</v>
      </c>
      <c r="Q751" t="e">
        <f xml:space="preserve">
_xlfn.XLOOKUP(
tbl_encuesta[[#This Row],[Mi supervisor o jefe directo nos brinda charlas de 5 minutos y comunica las novedades relevantes a mi puesto de trabajo]],#REF!,#REF!
)</f>
        <v>#REF!</v>
      </c>
      <c r="R751" t="s">
        <v>17</v>
      </c>
      <c r="W751" t="s">
        <v>25</v>
      </c>
      <c r="X751" t="s">
        <v>22</v>
      </c>
      <c r="Y751" t="e">
        <f>+_xlfn.XLOOKUP(tbl_encuesta[[#This Row],[Considero a Limtek como un buen lugar para trabajar]],#REF!,#REF!)</f>
        <v>#REF!</v>
      </c>
      <c r="Z751" t="s">
        <v>1935</v>
      </c>
      <c r="AA751" t="s">
        <v>1936</v>
      </c>
      <c r="AB751" t="s">
        <v>28</v>
      </c>
      <c r="AC751" t="s">
        <v>3744</v>
      </c>
      <c r="AD751" t="s">
        <v>3744</v>
      </c>
      <c r="AE751" t="s">
        <v>29</v>
      </c>
    </row>
    <row r="752" spans="1:31" x14ac:dyDescent="0.25">
      <c r="A752">
        <v>119027881459</v>
      </c>
      <c r="B752">
        <v>462598545</v>
      </c>
      <c r="C752" s="1">
        <v>46020.550011574072</v>
      </c>
      <c r="D752" s="1">
        <v>46020.560578703706</v>
      </c>
      <c r="E752" t="s">
        <v>1937</v>
      </c>
      <c r="F752" t="s">
        <v>23</v>
      </c>
      <c r="G752" t="e">
        <f>+_xlfn.XLOOKUP(tbl_encuesta[[#This Row],[Me siento a gusto con el ambiente de trabajo que se genera en mi equipo.]],#REF!,#REF!)</f>
        <v>#REF!</v>
      </c>
      <c r="H752" t="s">
        <v>23</v>
      </c>
      <c r="I752" t="e">
        <f>+_xlfn.XLOOKUP(tbl_encuesta[[#This Row],[Me siento motivado a dar lo mejor de mí y hacer un buen trabajo]],#REF!,#REF!)</f>
        <v>#REF!</v>
      </c>
      <c r="J752" t="s">
        <v>22</v>
      </c>
      <c r="K752" t="e">
        <f>+_xlfn.XLOOKUP(tbl_encuesta[[#This Row],[Mi supervisor o jefe directo me otorga el soporte que necesito para afrontar cualquier problema que afecte mi trabajo]],#REF!,#REF!)</f>
        <v>#REF!</v>
      </c>
      <c r="L752" t="s">
        <v>23</v>
      </c>
      <c r="M752" t="e">
        <f>+_xlfn.XLOOKUP(tbl_encuesta[[#This Row],[Mi supervisor o jefe directo fomenta que nos apoyemos entre todos en el equipo]],#REF!,#REF!)</f>
        <v>#REF!</v>
      </c>
      <c r="N752" t="s">
        <v>23</v>
      </c>
      <c r="O752" t="e">
        <f>+_xlfn.XLOOKUP(tbl_encuesta[[#This Row],[Siento que mi trabajo es reconocido por mi supervisor o jefe directo.]],#REF!,#REF!)</f>
        <v>#REF!</v>
      </c>
      <c r="P752" t="s">
        <v>31</v>
      </c>
      <c r="Q752" t="e">
        <f xml:space="preserve">
_xlfn.XLOOKUP(
tbl_encuesta[[#This Row],[Mi supervisor o jefe directo nos brinda charlas de 5 minutos y comunica las novedades relevantes a mi puesto de trabajo]],#REF!,#REF!
)</f>
        <v>#REF!</v>
      </c>
      <c r="R752" t="s">
        <v>17</v>
      </c>
      <c r="U752" t="s">
        <v>20</v>
      </c>
      <c r="W752" t="s">
        <v>25</v>
      </c>
      <c r="X752" t="s">
        <v>23</v>
      </c>
      <c r="Y752" t="e">
        <f>+_xlfn.XLOOKUP(tbl_encuesta[[#This Row],[Considero a Limtek como un buen lugar para trabajar]],#REF!,#REF!)</f>
        <v>#REF!</v>
      </c>
      <c r="Z752" t="s">
        <v>1938</v>
      </c>
      <c r="AA752" t="s">
        <v>1232</v>
      </c>
      <c r="AB752" t="s">
        <v>28</v>
      </c>
      <c r="AC752" s="3" t="s">
        <v>3857</v>
      </c>
      <c r="AD752" s="3" t="s">
        <v>3858</v>
      </c>
      <c r="AE752" t="s">
        <v>61</v>
      </c>
    </row>
    <row r="753" spans="1:31" x14ac:dyDescent="0.25">
      <c r="A753">
        <v>119027862005</v>
      </c>
      <c r="B753">
        <v>462598545</v>
      </c>
      <c r="C753" s="1">
        <v>46020.532268518517</v>
      </c>
      <c r="D753" s="1">
        <v>46020.533831018518</v>
      </c>
      <c r="E753" t="s">
        <v>1937</v>
      </c>
      <c r="F753" t="s">
        <v>23</v>
      </c>
      <c r="G753" t="e">
        <f>+_xlfn.XLOOKUP(tbl_encuesta[[#This Row],[Me siento a gusto con el ambiente de trabajo que se genera en mi equipo.]],#REF!,#REF!)</f>
        <v>#REF!</v>
      </c>
      <c r="H753" t="s">
        <v>23</v>
      </c>
      <c r="I753" t="e">
        <f>+_xlfn.XLOOKUP(tbl_encuesta[[#This Row],[Me siento motivado a dar lo mejor de mí y hacer un buen trabajo]],#REF!,#REF!)</f>
        <v>#REF!</v>
      </c>
      <c r="J753" t="s">
        <v>23</v>
      </c>
      <c r="K753" t="e">
        <f>+_xlfn.XLOOKUP(tbl_encuesta[[#This Row],[Mi supervisor o jefe directo me otorga el soporte que necesito para afrontar cualquier problema que afecte mi trabajo]],#REF!,#REF!)</f>
        <v>#REF!</v>
      </c>
      <c r="L753" t="s">
        <v>23</v>
      </c>
      <c r="M753" t="e">
        <f>+_xlfn.XLOOKUP(tbl_encuesta[[#This Row],[Mi supervisor o jefe directo fomenta que nos apoyemos entre todos en el equipo]],#REF!,#REF!)</f>
        <v>#REF!</v>
      </c>
      <c r="N753" t="s">
        <v>23</v>
      </c>
      <c r="O753" t="e">
        <f>+_xlfn.XLOOKUP(tbl_encuesta[[#This Row],[Siento que mi trabajo es reconocido por mi supervisor o jefe directo.]],#REF!,#REF!)</f>
        <v>#REF!</v>
      </c>
      <c r="P753" t="s">
        <v>31</v>
      </c>
      <c r="Q753" t="e">
        <f xml:space="preserve">
_xlfn.XLOOKUP(
tbl_encuesta[[#This Row],[Mi supervisor o jefe directo nos brinda charlas de 5 minutos y comunica las novedades relevantes a mi puesto de trabajo]],#REF!,#REF!
)</f>
        <v>#REF!</v>
      </c>
      <c r="S753" t="s">
        <v>18</v>
      </c>
      <c r="W753" t="s">
        <v>25</v>
      </c>
      <c r="X753" t="s">
        <v>23</v>
      </c>
      <c r="Y753" t="e">
        <f>+_xlfn.XLOOKUP(tbl_encuesta[[#This Row],[Considero a Limtek como un buen lugar para trabajar]],#REF!,#REF!)</f>
        <v>#REF!</v>
      </c>
      <c r="Z753" t="s">
        <v>576</v>
      </c>
      <c r="AA753" t="s">
        <v>1939</v>
      </c>
      <c r="AB753" t="s">
        <v>28</v>
      </c>
      <c r="AC753" s="3" t="s">
        <v>3857</v>
      </c>
      <c r="AD753" s="3" t="s">
        <v>3858</v>
      </c>
      <c r="AE753" t="s">
        <v>29</v>
      </c>
    </row>
    <row r="754" spans="1:31" x14ac:dyDescent="0.25">
      <c r="A754">
        <v>119027861040</v>
      </c>
      <c r="B754">
        <v>462598545</v>
      </c>
      <c r="C754" s="1">
        <v>46020.525879629633</v>
      </c>
      <c r="D754" s="1">
        <v>46020.532442129632</v>
      </c>
      <c r="E754" t="s">
        <v>1940</v>
      </c>
      <c r="F754" t="s">
        <v>23</v>
      </c>
      <c r="G754" t="e">
        <f>+_xlfn.XLOOKUP(tbl_encuesta[[#This Row],[Me siento a gusto con el ambiente de trabajo que se genera en mi equipo.]],#REF!,#REF!)</f>
        <v>#REF!</v>
      </c>
      <c r="H754" t="s">
        <v>23</v>
      </c>
      <c r="I754" t="e">
        <f>+_xlfn.XLOOKUP(tbl_encuesta[[#This Row],[Me siento motivado a dar lo mejor de mí y hacer un buen trabajo]],#REF!,#REF!)</f>
        <v>#REF!</v>
      </c>
      <c r="J754" t="s">
        <v>23</v>
      </c>
      <c r="K754" t="e">
        <f>+_xlfn.XLOOKUP(tbl_encuesta[[#This Row],[Mi supervisor o jefe directo me otorga el soporte que necesito para afrontar cualquier problema que afecte mi trabajo]],#REF!,#REF!)</f>
        <v>#REF!</v>
      </c>
      <c r="L754" t="s">
        <v>23</v>
      </c>
      <c r="M754" t="e">
        <f>+_xlfn.XLOOKUP(tbl_encuesta[[#This Row],[Mi supervisor o jefe directo fomenta que nos apoyemos entre todos en el equipo]],#REF!,#REF!)</f>
        <v>#REF!</v>
      </c>
      <c r="N754" t="s">
        <v>23</v>
      </c>
      <c r="O754" t="e">
        <f>+_xlfn.XLOOKUP(tbl_encuesta[[#This Row],[Siento que mi trabajo es reconocido por mi supervisor o jefe directo.]],#REF!,#REF!)</f>
        <v>#REF!</v>
      </c>
      <c r="P754" t="s">
        <v>31</v>
      </c>
      <c r="Q754" t="e">
        <f xml:space="preserve">
_xlfn.XLOOKUP(
tbl_encuesta[[#This Row],[Mi supervisor o jefe directo nos brinda charlas de 5 minutos y comunica las novedades relevantes a mi puesto de trabajo]],#REF!,#REF!
)</f>
        <v>#REF!</v>
      </c>
      <c r="R754" t="s">
        <v>17</v>
      </c>
      <c r="U754" t="s">
        <v>20</v>
      </c>
      <c r="W754" t="s">
        <v>25</v>
      </c>
      <c r="X754" t="s">
        <v>23</v>
      </c>
      <c r="Y754" t="e">
        <f>+_xlfn.XLOOKUP(tbl_encuesta[[#This Row],[Considero a Limtek como un buen lugar para trabajar]],#REF!,#REF!)</f>
        <v>#REF!</v>
      </c>
      <c r="Z754" t="s">
        <v>1941</v>
      </c>
      <c r="AA754" t="s">
        <v>1942</v>
      </c>
      <c r="AB754" t="s">
        <v>28</v>
      </c>
      <c r="AC754" s="3" t="s">
        <v>3857</v>
      </c>
      <c r="AD754" s="3" t="s">
        <v>3858</v>
      </c>
      <c r="AE754" t="s">
        <v>29</v>
      </c>
    </row>
    <row r="755" spans="1:31" x14ac:dyDescent="0.25">
      <c r="A755">
        <v>119027861000</v>
      </c>
      <c r="B755">
        <v>462598545</v>
      </c>
      <c r="C755" s="1">
        <v>46020.525902777779</v>
      </c>
      <c r="D755" s="1">
        <v>46020.532384259262</v>
      </c>
      <c r="E755" t="s">
        <v>1937</v>
      </c>
      <c r="F755" t="s">
        <v>23</v>
      </c>
      <c r="G755" t="e">
        <f>+_xlfn.XLOOKUP(tbl_encuesta[[#This Row],[Me siento a gusto con el ambiente de trabajo que se genera en mi equipo.]],#REF!,#REF!)</f>
        <v>#REF!</v>
      </c>
      <c r="H755" t="s">
        <v>23</v>
      </c>
      <c r="I755" t="e">
        <f>+_xlfn.XLOOKUP(tbl_encuesta[[#This Row],[Me siento motivado a dar lo mejor de mí y hacer un buen trabajo]],#REF!,#REF!)</f>
        <v>#REF!</v>
      </c>
      <c r="J755" t="s">
        <v>23</v>
      </c>
      <c r="K755" t="e">
        <f>+_xlfn.XLOOKUP(tbl_encuesta[[#This Row],[Mi supervisor o jefe directo me otorga el soporte que necesito para afrontar cualquier problema que afecte mi trabajo]],#REF!,#REF!)</f>
        <v>#REF!</v>
      </c>
      <c r="L755" t="s">
        <v>23</v>
      </c>
      <c r="M755" t="e">
        <f>+_xlfn.XLOOKUP(tbl_encuesta[[#This Row],[Mi supervisor o jefe directo fomenta que nos apoyemos entre todos en el equipo]],#REF!,#REF!)</f>
        <v>#REF!</v>
      </c>
      <c r="N755" t="s">
        <v>23</v>
      </c>
      <c r="O755" t="e">
        <f>+_xlfn.XLOOKUP(tbl_encuesta[[#This Row],[Siento que mi trabajo es reconocido por mi supervisor o jefe directo.]],#REF!,#REF!)</f>
        <v>#REF!</v>
      </c>
      <c r="P755" t="s">
        <v>31</v>
      </c>
      <c r="Q755" t="e">
        <f xml:space="preserve">
_xlfn.XLOOKUP(
tbl_encuesta[[#This Row],[Mi supervisor o jefe directo nos brinda charlas de 5 minutos y comunica las novedades relevantes a mi puesto de trabajo]],#REF!,#REF!
)</f>
        <v>#REF!</v>
      </c>
      <c r="T755" t="s">
        <v>19</v>
      </c>
      <c r="W755" t="s">
        <v>25</v>
      </c>
      <c r="X755" t="s">
        <v>23</v>
      </c>
      <c r="Y755" t="e">
        <f>+_xlfn.XLOOKUP(tbl_encuesta[[#This Row],[Considero a Limtek como un buen lugar para trabajar]],#REF!,#REF!)</f>
        <v>#REF!</v>
      </c>
      <c r="Z755" t="s">
        <v>1943</v>
      </c>
      <c r="AA755" t="s">
        <v>1944</v>
      </c>
      <c r="AB755" t="s">
        <v>28</v>
      </c>
      <c r="AC755" s="3" t="s">
        <v>3857</v>
      </c>
      <c r="AD755" s="3" t="s">
        <v>3858</v>
      </c>
      <c r="AE755" t="s">
        <v>34</v>
      </c>
    </row>
    <row r="756" spans="1:31" x14ac:dyDescent="0.25">
      <c r="A756">
        <v>119027860759</v>
      </c>
      <c r="B756">
        <v>462598545</v>
      </c>
      <c r="C756" s="1">
        <v>46020.526388888888</v>
      </c>
      <c r="D756" s="1">
        <v>46020.532025462962</v>
      </c>
      <c r="E756" t="s">
        <v>1945</v>
      </c>
      <c r="F756" t="s">
        <v>23</v>
      </c>
      <c r="G756" t="e">
        <f>+_xlfn.XLOOKUP(tbl_encuesta[[#This Row],[Me siento a gusto con el ambiente de trabajo que se genera en mi equipo.]],#REF!,#REF!)</f>
        <v>#REF!</v>
      </c>
      <c r="H756" t="s">
        <v>23</v>
      </c>
      <c r="I756" t="e">
        <f>+_xlfn.XLOOKUP(tbl_encuesta[[#This Row],[Me siento motivado a dar lo mejor de mí y hacer un buen trabajo]],#REF!,#REF!)</f>
        <v>#REF!</v>
      </c>
      <c r="J756" t="s">
        <v>23</v>
      </c>
      <c r="K756" t="e">
        <f>+_xlfn.XLOOKUP(tbl_encuesta[[#This Row],[Mi supervisor o jefe directo me otorga el soporte que necesito para afrontar cualquier problema que afecte mi trabajo]],#REF!,#REF!)</f>
        <v>#REF!</v>
      </c>
      <c r="L756" t="s">
        <v>23</v>
      </c>
      <c r="M756" t="e">
        <f>+_xlfn.XLOOKUP(tbl_encuesta[[#This Row],[Mi supervisor o jefe directo fomenta que nos apoyemos entre todos en el equipo]],#REF!,#REF!)</f>
        <v>#REF!</v>
      </c>
      <c r="N756" t="s">
        <v>23</v>
      </c>
      <c r="O756" t="e">
        <f>+_xlfn.XLOOKUP(tbl_encuesta[[#This Row],[Siento que mi trabajo es reconocido por mi supervisor o jefe directo.]],#REF!,#REF!)</f>
        <v>#REF!</v>
      </c>
      <c r="P756" t="s">
        <v>31</v>
      </c>
      <c r="Q756" t="e">
        <f xml:space="preserve">
_xlfn.XLOOKUP(
tbl_encuesta[[#This Row],[Mi supervisor o jefe directo nos brinda charlas de 5 minutos y comunica las novedades relevantes a mi puesto de trabajo]],#REF!,#REF!
)</f>
        <v>#REF!</v>
      </c>
      <c r="R756" t="s">
        <v>17</v>
      </c>
      <c r="W756" t="s">
        <v>25</v>
      </c>
      <c r="X756" t="s">
        <v>23</v>
      </c>
      <c r="Y756" t="e">
        <f>+_xlfn.XLOOKUP(tbl_encuesta[[#This Row],[Considero a Limtek como un buen lugar para trabajar]],#REF!,#REF!)</f>
        <v>#REF!</v>
      </c>
      <c r="Z756" t="s">
        <v>1010</v>
      </c>
      <c r="AA756" t="s">
        <v>522</v>
      </c>
      <c r="AB756" t="s">
        <v>28</v>
      </c>
      <c r="AC756" s="3" t="s">
        <v>3857</v>
      </c>
      <c r="AD756" s="3" t="s">
        <v>3858</v>
      </c>
      <c r="AE756" t="s">
        <v>29</v>
      </c>
    </row>
    <row r="757" spans="1:31" x14ac:dyDescent="0.25">
      <c r="A757">
        <v>119027860443</v>
      </c>
      <c r="B757">
        <v>462598545</v>
      </c>
      <c r="C757" s="1">
        <v>46020.525868055556</v>
      </c>
      <c r="D757" s="1">
        <v>46020.531574074077</v>
      </c>
      <c r="E757" t="s">
        <v>1937</v>
      </c>
      <c r="F757" t="s">
        <v>23</v>
      </c>
      <c r="G757" t="e">
        <f>+_xlfn.XLOOKUP(tbl_encuesta[[#This Row],[Me siento a gusto con el ambiente de trabajo que se genera en mi equipo.]],#REF!,#REF!)</f>
        <v>#REF!</v>
      </c>
      <c r="H757" t="s">
        <v>23</v>
      </c>
      <c r="I757" t="e">
        <f>+_xlfn.XLOOKUP(tbl_encuesta[[#This Row],[Me siento motivado a dar lo mejor de mí y hacer un buen trabajo]],#REF!,#REF!)</f>
        <v>#REF!</v>
      </c>
      <c r="J757" t="s">
        <v>23</v>
      </c>
      <c r="K757" t="e">
        <f>+_xlfn.XLOOKUP(tbl_encuesta[[#This Row],[Mi supervisor o jefe directo me otorga el soporte que necesito para afrontar cualquier problema que afecte mi trabajo]],#REF!,#REF!)</f>
        <v>#REF!</v>
      </c>
      <c r="L757" t="s">
        <v>23</v>
      </c>
      <c r="M757" t="e">
        <f>+_xlfn.XLOOKUP(tbl_encuesta[[#This Row],[Mi supervisor o jefe directo fomenta que nos apoyemos entre todos en el equipo]],#REF!,#REF!)</f>
        <v>#REF!</v>
      </c>
      <c r="N757" t="s">
        <v>22</v>
      </c>
      <c r="O757" t="e">
        <f>+_xlfn.XLOOKUP(tbl_encuesta[[#This Row],[Siento que mi trabajo es reconocido por mi supervisor o jefe directo.]],#REF!,#REF!)</f>
        <v>#REF!</v>
      </c>
      <c r="P757" t="s">
        <v>31</v>
      </c>
      <c r="Q757" t="e">
        <f xml:space="preserve">
_xlfn.XLOOKUP(
tbl_encuesta[[#This Row],[Mi supervisor o jefe directo nos brinda charlas de 5 minutos y comunica las novedades relevantes a mi puesto de trabajo]],#REF!,#REF!
)</f>
        <v>#REF!</v>
      </c>
      <c r="S757" t="s">
        <v>18</v>
      </c>
      <c r="W757" t="s">
        <v>25</v>
      </c>
      <c r="X757" t="s">
        <v>23</v>
      </c>
      <c r="Y757" t="e">
        <f>+_xlfn.XLOOKUP(tbl_encuesta[[#This Row],[Considero a Limtek como un buen lugar para trabajar]],#REF!,#REF!)</f>
        <v>#REF!</v>
      </c>
      <c r="Z757" t="s">
        <v>1939</v>
      </c>
      <c r="AA757" t="s">
        <v>1946</v>
      </c>
      <c r="AB757" t="s">
        <v>28</v>
      </c>
      <c r="AC757" s="3" t="s">
        <v>3857</v>
      </c>
      <c r="AD757" s="3" t="s">
        <v>3858</v>
      </c>
      <c r="AE757" t="s">
        <v>29</v>
      </c>
    </row>
    <row r="758" spans="1:31" x14ac:dyDescent="0.25">
      <c r="A758">
        <v>119027858572</v>
      </c>
      <c r="B758">
        <v>462598545</v>
      </c>
      <c r="C758" s="1">
        <v>46020.526747685188</v>
      </c>
      <c r="D758" s="1">
        <v>46020.528784722221</v>
      </c>
      <c r="E758" t="s">
        <v>1947</v>
      </c>
      <c r="F758" t="s">
        <v>97</v>
      </c>
      <c r="G758" t="e">
        <f>+_xlfn.XLOOKUP(tbl_encuesta[[#This Row],[Me siento a gusto con el ambiente de trabajo que se genera en mi equipo.]],#REF!,#REF!)</f>
        <v>#REF!</v>
      </c>
      <c r="H758" t="s">
        <v>22</v>
      </c>
      <c r="I758" t="e">
        <f>+_xlfn.XLOOKUP(tbl_encuesta[[#This Row],[Me siento motivado a dar lo mejor de mí y hacer un buen trabajo]],#REF!,#REF!)</f>
        <v>#REF!</v>
      </c>
      <c r="J758" t="s">
        <v>97</v>
      </c>
      <c r="K758" t="e">
        <f>+_xlfn.XLOOKUP(tbl_encuesta[[#This Row],[Mi supervisor o jefe directo me otorga el soporte que necesito para afrontar cualquier problema que afecte mi trabajo]],#REF!,#REF!)</f>
        <v>#REF!</v>
      </c>
      <c r="L758" t="s">
        <v>97</v>
      </c>
      <c r="M758" t="e">
        <f>+_xlfn.XLOOKUP(tbl_encuesta[[#This Row],[Mi supervisor o jefe directo fomenta que nos apoyemos entre todos en el equipo]],#REF!,#REF!)</f>
        <v>#REF!</v>
      </c>
      <c r="N758" t="s">
        <v>97</v>
      </c>
      <c r="O758" t="e">
        <f>+_xlfn.XLOOKUP(tbl_encuesta[[#This Row],[Siento que mi trabajo es reconocido por mi supervisor o jefe directo.]],#REF!,#REF!)</f>
        <v>#REF!</v>
      </c>
      <c r="P758" t="s">
        <v>24</v>
      </c>
      <c r="Q758" t="e">
        <f xml:space="preserve">
_xlfn.XLOOKUP(
tbl_encuesta[[#This Row],[Mi supervisor o jefe directo nos brinda charlas de 5 minutos y comunica las novedades relevantes a mi puesto de trabajo]],#REF!,#REF!
)</f>
        <v>#REF!</v>
      </c>
      <c r="T758" t="s">
        <v>19</v>
      </c>
      <c r="U758" t="s">
        <v>20</v>
      </c>
      <c r="W758" t="s">
        <v>25</v>
      </c>
      <c r="X758" t="s">
        <v>22</v>
      </c>
      <c r="Y758" t="e">
        <f>+_xlfn.XLOOKUP(tbl_encuesta[[#This Row],[Considero a Limtek como un buen lugar para trabajar]],#REF!,#REF!)</f>
        <v>#REF!</v>
      </c>
      <c r="Z758" t="s">
        <v>351</v>
      </c>
      <c r="AA758" t="s">
        <v>1948</v>
      </c>
      <c r="AB758" t="s">
        <v>28</v>
      </c>
      <c r="AC758" s="3" t="s">
        <v>3857</v>
      </c>
      <c r="AD758" s="3" t="s">
        <v>3858</v>
      </c>
      <c r="AE758" t="s">
        <v>69</v>
      </c>
    </row>
    <row r="759" spans="1:31" x14ac:dyDescent="0.25">
      <c r="A759">
        <v>119027858547</v>
      </c>
      <c r="B759">
        <v>462598545</v>
      </c>
      <c r="C759" s="1">
        <v>46020.525833333333</v>
      </c>
      <c r="D759" s="1">
        <v>46020.528749999998</v>
      </c>
      <c r="E759" t="s">
        <v>403</v>
      </c>
      <c r="F759" t="s">
        <v>23</v>
      </c>
      <c r="G759" t="e">
        <f>+_xlfn.XLOOKUP(tbl_encuesta[[#This Row],[Me siento a gusto con el ambiente de trabajo que se genera en mi equipo.]],#REF!,#REF!)</f>
        <v>#REF!</v>
      </c>
      <c r="H759" t="s">
        <v>23</v>
      </c>
      <c r="I759" t="e">
        <f>+_xlfn.XLOOKUP(tbl_encuesta[[#This Row],[Me siento motivado a dar lo mejor de mí y hacer un buen trabajo]],#REF!,#REF!)</f>
        <v>#REF!</v>
      </c>
      <c r="J759" t="s">
        <v>22</v>
      </c>
      <c r="K759" t="e">
        <f>+_xlfn.XLOOKUP(tbl_encuesta[[#This Row],[Mi supervisor o jefe directo me otorga el soporte que necesito para afrontar cualquier problema que afecte mi trabajo]],#REF!,#REF!)</f>
        <v>#REF!</v>
      </c>
      <c r="L759" t="s">
        <v>22</v>
      </c>
      <c r="M759" t="e">
        <f>+_xlfn.XLOOKUP(tbl_encuesta[[#This Row],[Mi supervisor o jefe directo fomenta que nos apoyemos entre todos en el equipo]],#REF!,#REF!)</f>
        <v>#REF!</v>
      </c>
      <c r="N759" t="s">
        <v>23</v>
      </c>
      <c r="O759" t="e">
        <f>+_xlfn.XLOOKUP(tbl_encuesta[[#This Row],[Siento que mi trabajo es reconocido por mi supervisor o jefe directo.]],#REF!,#REF!)</f>
        <v>#REF!</v>
      </c>
      <c r="P759" t="s">
        <v>31</v>
      </c>
      <c r="Q759" t="e">
        <f xml:space="preserve">
_xlfn.XLOOKUP(
tbl_encuesta[[#This Row],[Mi supervisor o jefe directo nos brinda charlas de 5 minutos y comunica las novedades relevantes a mi puesto de trabajo]],#REF!,#REF!
)</f>
        <v>#REF!</v>
      </c>
      <c r="R759" t="s">
        <v>17</v>
      </c>
      <c r="W759" t="s">
        <v>25</v>
      </c>
      <c r="X759" t="s">
        <v>23</v>
      </c>
      <c r="Y759" t="e">
        <f>+_xlfn.XLOOKUP(tbl_encuesta[[#This Row],[Considero a Limtek como un buen lugar para trabajar]],#REF!,#REF!)</f>
        <v>#REF!</v>
      </c>
      <c r="Z759" t="s">
        <v>1949</v>
      </c>
      <c r="AA759" t="s">
        <v>31</v>
      </c>
      <c r="AB759" t="s">
        <v>28</v>
      </c>
      <c r="AC759" t="s">
        <v>3744</v>
      </c>
      <c r="AD759" t="s">
        <v>3744</v>
      </c>
      <c r="AE759" t="s">
        <v>69</v>
      </c>
    </row>
    <row r="760" spans="1:31" x14ac:dyDescent="0.25">
      <c r="A760">
        <v>119027858231</v>
      </c>
      <c r="B760">
        <v>462598545</v>
      </c>
      <c r="C760" s="1">
        <v>46020.526574074072</v>
      </c>
      <c r="D760" s="1">
        <v>46020.528287037036</v>
      </c>
      <c r="E760" t="s">
        <v>1937</v>
      </c>
      <c r="F760" t="s">
        <v>97</v>
      </c>
      <c r="G760" t="e">
        <f>+_xlfn.XLOOKUP(tbl_encuesta[[#This Row],[Me siento a gusto con el ambiente de trabajo que se genera en mi equipo.]],#REF!,#REF!)</f>
        <v>#REF!</v>
      </c>
      <c r="H760" t="s">
        <v>22</v>
      </c>
      <c r="I760" t="e">
        <f>+_xlfn.XLOOKUP(tbl_encuesta[[#This Row],[Me siento motivado a dar lo mejor de mí y hacer un buen trabajo]],#REF!,#REF!)</f>
        <v>#REF!</v>
      </c>
      <c r="J760" t="s">
        <v>97</v>
      </c>
      <c r="K760" t="e">
        <f>+_xlfn.XLOOKUP(tbl_encuesta[[#This Row],[Mi supervisor o jefe directo me otorga el soporte que necesito para afrontar cualquier problema que afecte mi trabajo]],#REF!,#REF!)</f>
        <v>#REF!</v>
      </c>
      <c r="L760" t="s">
        <v>22</v>
      </c>
      <c r="M760" t="e">
        <f>+_xlfn.XLOOKUP(tbl_encuesta[[#This Row],[Mi supervisor o jefe directo fomenta que nos apoyemos entre todos en el equipo]],#REF!,#REF!)</f>
        <v>#REF!</v>
      </c>
      <c r="N760" t="s">
        <v>97</v>
      </c>
      <c r="O760" t="e">
        <f>+_xlfn.XLOOKUP(tbl_encuesta[[#This Row],[Siento que mi trabajo es reconocido por mi supervisor o jefe directo.]],#REF!,#REF!)</f>
        <v>#REF!</v>
      </c>
      <c r="P760" t="s">
        <v>31</v>
      </c>
      <c r="Q760" t="e">
        <f xml:space="preserve">
_xlfn.XLOOKUP(
tbl_encuesta[[#This Row],[Mi supervisor o jefe directo nos brinda charlas de 5 minutos y comunica las novedades relevantes a mi puesto de trabajo]],#REF!,#REF!
)</f>
        <v>#REF!</v>
      </c>
      <c r="S760" t="s">
        <v>18</v>
      </c>
      <c r="W760" t="s">
        <v>25</v>
      </c>
      <c r="X760" t="s">
        <v>22</v>
      </c>
      <c r="Y760" t="e">
        <f>+_xlfn.XLOOKUP(tbl_encuesta[[#This Row],[Considero a Limtek como un buen lugar para trabajar]],#REF!,#REF!)</f>
        <v>#REF!</v>
      </c>
      <c r="Z760" t="s">
        <v>1155</v>
      </c>
      <c r="AA760" t="s">
        <v>1950</v>
      </c>
      <c r="AB760" t="s">
        <v>28</v>
      </c>
      <c r="AC760" s="3" t="s">
        <v>3857</v>
      </c>
      <c r="AD760" s="3" t="s">
        <v>3858</v>
      </c>
      <c r="AE760" t="s">
        <v>61</v>
      </c>
    </row>
    <row r="761" spans="1:31" x14ac:dyDescent="0.25">
      <c r="A761">
        <v>119027819795</v>
      </c>
      <c r="B761">
        <v>462598545</v>
      </c>
      <c r="C761" s="1">
        <v>46020.471689814818</v>
      </c>
      <c r="D761" s="1">
        <v>46020.476006944446</v>
      </c>
      <c r="E761" t="s">
        <v>1951</v>
      </c>
      <c r="F761" t="s">
        <v>23</v>
      </c>
      <c r="G761" t="e">
        <f>+_xlfn.XLOOKUP(tbl_encuesta[[#This Row],[Me siento a gusto con el ambiente de trabajo que se genera en mi equipo.]],#REF!,#REF!)</f>
        <v>#REF!</v>
      </c>
      <c r="H761" t="s">
        <v>23</v>
      </c>
      <c r="I761" t="e">
        <f>+_xlfn.XLOOKUP(tbl_encuesta[[#This Row],[Me siento motivado a dar lo mejor de mí y hacer un buen trabajo]],#REF!,#REF!)</f>
        <v>#REF!</v>
      </c>
      <c r="J761" t="s">
        <v>23</v>
      </c>
      <c r="K761" t="e">
        <f>+_xlfn.XLOOKUP(tbl_encuesta[[#This Row],[Mi supervisor o jefe directo me otorga el soporte que necesito para afrontar cualquier problema que afecte mi trabajo]],#REF!,#REF!)</f>
        <v>#REF!</v>
      </c>
      <c r="L761" t="s">
        <v>23</v>
      </c>
      <c r="M761" t="e">
        <f>+_xlfn.XLOOKUP(tbl_encuesta[[#This Row],[Mi supervisor o jefe directo fomenta que nos apoyemos entre todos en el equipo]],#REF!,#REF!)</f>
        <v>#REF!</v>
      </c>
      <c r="N761" t="s">
        <v>22</v>
      </c>
      <c r="O761" t="e">
        <f>+_xlfn.XLOOKUP(tbl_encuesta[[#This Row],[Siento que mi trabajo es reconocido por mi supervisor o jefe directo.]],#REF!,#REF!)</f>
        <v>#REF!</v>
      </c>
      <c r="P761" t="s">
        <v>31</v>
      </c>
      <c r="Q761" t="e">
        <f xml:space="preserve">
_xlfn.XLOOKUP(
tbl_encuesta[[#This Row],[Mi supervisor o jefe directo nos brinda charlas de 5 minutos y comunica las novedades relevantes a mi puesto de trabajo]],#REF!,#REF!
)</f>
        <v>#REF!</v>
      </c>
      <c r="R761" t="s">
        <v>17</v>
      </c>
      <c r="S761" t="s">
        <v>18</v>
      </c>
      <c r="W761" t="s">
        <v>25</v>
      </c>
      <c r="X761" t="s">
        <v>23</v>
      </c>
      <c r="Y761" t="e">
        <f>+_xlfn.XLOOKUP(tbl_encuesta[[#This Row],[Considero a Limtek como un buen lugar para trabajar]],#REF!,#REF!)</f>
        <v>#REF!</v>
      </c>
      <c r="Z761" t="s">
        <v>1952</v>
      </c>
      <c r="AA761" t="s">
        <v>1953</v>
      </c>
      <c r="AB761" t="s">
        <v>559</v>
      </c>
      <c r="AC761" t="s">
        <v>3744</v>
      </c>
      <c r="AD761" t="s">
        <v>3744</v>
      </c>
      <c r="AE761" t="s">
        <v>34</v>
      </c>
    </row>
    <row r="762" spans="1:31" x14ac:dyDescent="0.25">
      <c r="A762">
        <v>119027803387</v>
      </c>
      <c r="B762">
        <v>462598545</v>
      </c>
      <c r="C762" s="1">
        <v>46020.448425925926</v>
      </c>
      <c r="D762" s="1">
        <v>46020.453518518516</v>
      </c>
      <c r="E762" t="s">
        <v>1954</v>
      </c>
      <c r="F762" t="s">
        <v>22</v>
      </c>
      <c r="G762" t="e">
        <f>+_xlfn.XLOOKUP(tbl_encuesta[[#This Row],[Me siento a gusto con el ambiente de trabajo que se genera en mi equipo.]],#REF!,#REF!)</f>
        <v>#REF!</v>
      </c>
      <c r="H762" t="s">
        <v>22</v>
      </c>
      <c r="I762" t="e">
        <f>+_xlfn.XLOOKUP(tbl_encuesta[[#This Row],[Me siento motivado a dar lo mejor de mí y hacer un buen trabajo]],#REF!,#REF!)</f>
        <v>#REF!</v>
      </c>
      <c r="J762" t="s">
        <v>22</v>
      </c>
      <c r="K762" t="e">
        <f>+_xlfn.XLOOKUP(tbl_encuesta[[#This Row],[Mi supervisor o jefe directo me otorga el soporte que necesito para afrontar cualquier problema que afecte mi trabajo]],#REF!,#REF!)</f>
        <v>#REF!</v>
      </c>
      <c r="L762" t="s">
        <v>22</v>
      </c>
      <c r="M762" t="e">
        <f>+_xlfn.XLOOKUP(tbl_encuesta[[#This Row],[Mi supervisor o jefe directo fomenta que nos apoyemos entre todos en el equipo]],#REF!,#REF!)</f>
        <v>#REF!</v>
      </c>
      <c r="N762" t="s">
        <v>22</v>
      </c>
      <c r="O762" t="e">
        <f>+_xlfn.XLOOKUP(tbl_encuesta[[#This Row],[Siento que mi trabajo es reconocido por mi supervisor o jefe directo.]],#REF!,#REF!)</f>
        <v>#REF!</v>
      </c>
      <c r="P762" t="s">
        <v>67</v>
      </c>
      <c r="Q762" t="e">
        <f xml:space="preserve">
_xlfn.XLOOKUP(
tbl_encuesta[[#This Row],[Mi supervisor o jefe directo nos brinda charlas de 5 minutos y comunica las novedades relevantes a mi puesto de trabajo]],#REF!,#REF!
)</f>
        <v>#REF!</v>
      </c>
      <c r="R762" t="s">
        <v>17</v>
      </c>
      <c r="W762" t="s">
        <v>25</v>
      </c>
      <c r="X762" t="s">
        <v>22</v>
      </c>
      <c r="Y762" t="e">
        <f>+_xlfn.XLOOKUP(tbl_encuesta[[#This Row],[Considero a Limtek como un buen lugar para trabajar]],#REF!,#REF!)</f>
        <v>#REF!</v>
      </c>
      <c r="Z762" t="s">
        <v>1955</v>
      </c>
      <c r="AA762" t="s">
        <v>1956</v>
      </c>
      <c r="AB762" t="s">
        <v>28</v>
      </c>
      <c r="AC762" t="s">
        <v>3744</v>
      </c>
      <c r="AD762" t="s">
        <v>3744</v>
      </c>
      <c r="AE762" t="s">
        <v>34</v>
      </c>
    </row>
    <row r="763" spans="1:31" x14ac:dyDescent="0.25">
      <c r="A763">
        <v>119027770729</v>
      </c>
      <c r="B763">
        <v>462598545</v>
      </c>
      <c r="C763" s="1">
        <v>46020.406342592592</v>
      </c>
      <c r="D763" s="1">
        <v>46020.409768518519</v>
      </c>
      <c r="E763" t="s">
        <v>1957</v>
      </c>
      <c r="F763" t="s">
        <v>23</v>
      </c>
      <c r="G763" t="e">
        <f>+_xlfn.XLOOKUP(tbl_encuesta[[#This Row],[Me siento a gusto con el ambiente de trabajo que se genera en mi equipo.]],#REF!,#REF!)</f>
        <v>#REF!</v>
      </c>
      <c r="H763" t="s">
        <v>23</v>
      </c>
      <c r="I763" t="e">
        <f>+_xlfn.XLOOKUP(tbl_encuesta[[#This Row],[Me siento motivado a dar lo mejor de mí y hacer un buen trabajo]],#REF!,#REF!)</f>
        <v>#REF!</v>
      </c>
      <c r="J763" t="s">
        <v>23</v>
      </c>
      <c r="K763" t="e">
        <f>+_xlfn.XLOOKUP(tbl_encuesta[[#This Row],[Mi supervisor o jefe directo me otorga el soporte que necesito para afrontar cualquier problema que afecte mi trabajo]],#REF!,#REF!)</f>
        <v>#REF!</v>
      </c>
      <c r="L763" t="s">
        <v>23</v>
      </c>
      <c r="M763" t="e">
        <f>+_xlfn.XLOOKUP(tbl_encuesta[[#This Row],[Mi supervisor o jefe directo fomenta que nos apoyemos entre todos en el equipo]],#REF!,#REF!)</f>
        <v>#REF!</v>
      </c>
      <c r="N763" t="s">
        <v>23</v>
      </c>
      <c r="O763" t="e">
        <f>+_xlfn.XLOOKUP(tbl_encuesta[[#This Row],[Siento que mi trabajo es reconocido por mi supervisor o jefe directo.]],#REF!,#REF!)</f>
        <v>#REF!</v>
      </c>
      <c r="P763" t="s">
        <v>31</v>
      </c>
      <c r="Q763" t="e">
        <f xml:space="preserve">
_xlfn.XLOOKUP(
tbl_encuesta[[#This Row],[Mi supervisor o jefe directo nos brinda charlas de 5 minutos y comunica las novedades relevantes a mi puesto de trabajo]],#REF!,#REF!
)</f>
        <v>#REF!</v>
      </c>
      <c r="R763" t="s">
        <v>17</v>
      </c>
      <c r="S763" t="s">
        <v>18</v>
      </c>
      <c r="W763" t="s">
        <v>25</v>
      </c>
      <c r="X763" t="s">
        <v>23</v>
      </c>
      <c r="Y763" t="e">
        <f>+_xlfn.XLOOKUP(tbl_encuesta[[#This Row],[Considero a Limtek como un buen lugar para trabajar]],#REF!,#REF!)</f>
        <v>#REF!</v>
      </c>
      <c r="Z763" t="s">
        <v>1958</v>
      </c>
      <c r="AA763" t="s">
        <v>1959</v>
      </c>
      <c r="AB763" t="s">
        <v>28</v>
      </c>
      <c r="AC763" t="s">
        <v>3744</v>
      </c>
      <c r="AD763" t="s">
        <v>3744</v>
      </c>
      <c r="AE763" t="s">
        <v>69</v>
      </c>
    </row>
    <row r="764" spans="1:31" x14ac:dyDescent="0.25">
      <c r="A764">
        <v>119027761789</v>
      </c>
      <c r="B764">
        <v>462598545</v>
      </c>
      <c r="C764" s="1">
        <v>46020.394803240742</v>
      </c>
      <c r="D764" s="1">
        <v>46020.399444444447</v>
      </c>
      <c r="E764" t="s">
        <v>1960</v>
      </c>
      <c r="F764" t="s">
        <v>43</v>
      </c>
      <c r="G764" t="e">
        <f>+_xlfn.XLOOKUP(tbl_encuesta[[#This Row],[Me siento a gusto con el ambiente de trabajo que se genera en mi equipo.]],#REF!,#REF!)</f>
        <v>#REF!</v>
      </c>
      <c r="H764" t="s">
        <v>43</v>
      </c>
      <c r="I764" t="e">
        <f>+_xlfn.XLOOKUP(tbl_encuesta[[#This Row],[Me siento motivado a dar lo mejor de mí y hacer un buen trabajo]],#REF!,#REF!)</f>
        <v>#REF!</v>
      </c>
      <c r="J764" t="s">
        <v>43</v>
      </c>
      <c r="K764" t="e">
        <f>+_xlfn.XLOOKUP(tbl_encuesta[[#This Row],[Mi supervisor o jefe directo me otorga el soporte que necesito para afrontar cualquier problema que afecte mi trabajo]],#REF!,#REF!)</f>
        <v>#REF!</v>
      </c>
      <c r="L764" t="s">
        <v>43</v>
      </c>
      <c r="M764" t="e">
        <f>+_xlfn.XLOOKUP(tbl_encuesta[[#This Row],[Mi supervisor o jefe directo fomenta que nos apoyemos entre todos en el equipo]],#REF!,#REF!)</f>
        <v>#REF!</v>
      </c>
      <c r="N764" t="s">
        <v>43</v>
      </c>
      <c r="O764" t="e">
        <f>+_xlfn.XLOOKUP(tbl_encuesta[[#This Row],[Siento que mi trabajo es reconocido por mi supervisor o jefe directo.]],#REF!,#REF!)</f>
        <v>#REF!</v>
      </c>
      <c r="P764" t="s">
        <v>175</v>
      </c>
      <c r="Q764" t="e">
        <f xml:space="preserve">
_xlfn.XLOOKUP(
tbl_encuesta[[#This Row],[Mi supervisor o jefe directo nos brinda charlas de 5 minutos y comunica las novedades relevantes a mi puesto de trabajo]],#REF!,#REF!
)</f>
        <v>#REF!</v>
      </c>
      <c r="R764" t="s">
        <v>17</v>
      </c>
      <c r="W764" t="s">
        <v>25</v>
      </c>
      <c r="X764" t="s">
        <v>43</v>
      </c>
      <c r="Y764" t="e">
        <f>+_xlfn.XLOOKUP(tbl_encuesta[[#This Row],[Considero a Limtek como un buen lugar para trabajar]],#REF!,#REF!)</f>
        <v>#REF!</v>
      </c>
      <c r="Z764" t="s">
        <v>1961</v>
      </c>
      <c r="AA764" t="s">
        <v>1962</v>
      </c>
      <c r="AB764" t="s">
        <v>559</v>
      </c>
      <c r="AC764" s="3" t="s">
        <v>3794</v>
      </c>
      <c r="AD764" s="3" t="s">
        <v>3794</v>
      </c>
      <c r="AE764" t="s">
        <v>29</v>
      </c>
    </row>
    <row r="765" spans="1:31" x14ac:dyDescent="0.25">
      <c r="A765">
        <v>119027757986</v>
      </c>
      <c r="B765">
        <v>462598545</v>
      </c>
      <c r="C765" s="1">
        <v>46020.392175925925</v>
      </c>
      <c r="D765" s="1">
        <v>46020.395150462966</v>
      </c>
      <c r="E765" t="s">
        <v>1963</v>
      </c>
      <c r="F765" t="s">
        <v>22</v>
      </c>
      <c r="G765" t="e">
        <f>+_xlfn.XLOOKUP(tbl_encuesta[[#This Row],[Me siento a gusto con el ambiente de trabajo que se genera en mi equipo.]],#REF!,#REF!)</f>
        <v>#REF!</v>
      </c>
      <c r="H765" t="s">
        <v>22</v>
      </c>
      <c r="I765" t="e">
        <f>+_xlfn.XLOOKUP(tbl_encuesta[[#This Row],[Me siento motivado a dar lo mejor de mí y hacer un buen trabajo]],#REF!,#REF!)</f>
        <v>#REF!</v>
      </c>
      <c r="J765" t="s">
        <v>22</v>
      </c>
      <c r="K765" t="e">
        <f>+_xlfn.XLOOKUP(tbl_encuesta[[#This Row],[Mi supervisor o jefe directo me otorga el soporte que necesito para afrontar cualquier problema que afecte mi trabajo]],#REF!,#REF!)</f>
        <v>#REF!</v>
      </c>
      <c r="L765" t="s">
        <v>22</v>
      </c>
      <c r="M765" t="e">
        <f>+_xlfn.XLOOKUP(tbl_encuesta[[#This Row],[Mi supervisor o jefe directo fomenta que nos apoyemos entre todos en el equipo]],#REF!,#REF!)</f>
        <v>#REF!</v>
      </c>
      <c r="N765" t="s">
        <v>22</v>
      </c>
      <c r="O765" t="e">
        <f>+_xlfn.XLOOKUP(tbl_encuesta[[#This Row],[Siento que mi trabajo es reconocido por mi supervisor o jefe directo.]],#REF!,#REF!)</f>
        <v>#REF!</v>
      </c>
      <c r="P765" t="s">
        <v>67</v>
      </c>
      <c r="Q765" t="e">
        <f xml:space="preserve">
_xlfn.XLOOKUP(
tbl_encuesta[[#This Row],[Mi supervisor o jefe directo nos brinda charlas de 5 minutos y comunica las novedades relevantes a mi puesto de trabajo]],#REF!,#REF!
)</f>
        <v>#REF!</v>
      </c>
      <c r="R765" t="s">
        <v>17</v>
      </c>
      <c r="W765" t="s">
        <v>25</v>
      </c>
      <c r="X765" t="s">
        <v>22</v>
      </c>
      <c r="Y765" t="e">
        <f>+_xlfn.XLOOKUP(tbl_encuesta[[#This Row],[Considero a Limtek como un buen lugar para trabajar]],#REF!,#REF!)</f>
        <v>#REF!</v>
      </c>
      <c r="Z765" t="s">
        <v>1964</v>
      </c>
      <c r="AA765" t="s">
        <v>1965</v>
      </c>
      <c r="AB765" t="s">
        <v>28</v>
      </c>
      <c r="AC765" s="3" t="s">
        <v>3705</v>
      </c>
      <c r="AD765" s="3" t="s">
        <v>3706</v>
      </c>
      <c r="AE765" t="s">
        <v>69</v>
      </c>
    </row>
    <row r="766" spans="1:31" x14ac:dyDescent="0.25">
      <c r="A766">
        <v>119027735198</v>
      </c>
      <c r="B766">
        <v>462598545</v>
      </c>
      <c r="C766" s="1">
        <v>46020.357812499999</v>
      </c>
      <c r="D766" s="1">
        <v>46020.360775462963</v>
      </c>
      <c r="E766" t="s">
        <v>1966</v>
      </c>
      <c r="F766" t="s">
        <v>22</v>
      </c>
      <c r="G766" t="e">
        <f>+_xlfn.XLOOKUP(tbl_encuesta[[#This Row],[Me siento a gusto con el ambiente de trabajo que se genera en mi equipo.]],#REF!,#REF!)</f>
        <v>#REF!</v>
      </c>
      <c r="H766" t="s">
        <v>23</v>
      </c>
      <c r="I766" t="e">
        <f>+_xlfn.XLOOKUP(tbl_encuesta[[#This Row],[Me siento motivado a dar lo mejor de mí y hacer un buen trabajo]],#REF!,#REF!)</f>
        <v>#REF!</v>
      </c>
      <c r="J766" t="s">
        <v>23</v>
      </c>
      <c r="K766" t="e">
        <f>+_xlfn.XLOOKUP(tbl_encuesta[[#This Row],[Mi supervisor o jefe directo me otorga el soporte que necesito para afrontar cualquier problema que afecte mi trabajo]],#REF!,#REF!)</f>
        <v>#REF!</v>
      </c>
      <c r="L766" t="s">
        <v>23</v>
      </c>
      <c r="M766" t="e">
        <f>+_xlfn.XLOOKUP(tbl_encuesta[[#This Row],[Mi supervisor o jefe directo fomenta que nos apoyemos entre todos en el equipo]],#REF!,#REF!)</f>
        <v>#REF!</v>
      </c>
      <c r="N766" t="s">
        <v>97</v>
      </c>
      <c r="O766" t="e">
        <f>+_xlfn.XLOOKUP(tbl_encuesta[[#This Row],[Siento que mi trabajo es reconocido por mi supervisor o jefe directo.]],#REF!,#REF!)</f>
        <v>#REF!</v>
      </c>
      <c r="P766" t="s">
        <v>31</v>
      </c>
      <c r="Q766" t="e">
        <f xml:space="preserve">
_xlfn.XLOOKUP(
tbl_encuesta[[#This Row],[Mi supervisor o jefe directo nos brinda charlas de 5 minutos y comunica las novedades relevantes a mi puesto de trabajo]],#REF!,#REF!
)</f>
        <v>#REF!</v>
      </c>
      <c r="S766" t="s">
        <v>18</v>
      </c>
      <c r="W766" t="s">
        <v>25</v>
      </c>
      <c r="X766" t="s">
        <v>23</v>
      </c>
      <c r="Y766" t="e">
        <f>+_xlfn.XLOOKUP(tbl_encuesta[[#This Row],[Considero a Limtek como un buen lugar para trabajar]],#REF!,#REF!)</f>
        <v>#REF!</v>
      </c>
      <c r="Z766" t="s">
        <v>1967</v>
      </c>
      <c r="AA766" t="s">
        <v>1968</v>
      </c>
      <c r="AB766" t="s">
        <v>559</v>
      </c>
      <c r="AC766" s="3" t="s">
        <v>3794</v>
      </c>
      <c r="AD766" s="3" t="s">
        <v>3794</v>
      </c>
      <c r="AE766" t="s">
        <v>69</v>
      </c>
    </row>
    <row r="767" spans="1:31" x14ac:dyDescent="0.25">
      <c r="A767">
        <v>119027732989</v>
      </c>
      <c r="B767">
        <v>462598545</v>
      </c>
      <c r="C767" s="1">
        <v>46020.347025462965</v>
      </c>
      <c r="D767" s="1">
        <v>46020.356932870367</v>
      </c>
      <c r="E767" t="s">
        <v>1966</v>
      </c>
      <c r="F767" t="s">
        <v>23</v>
      </c>
      <c r="G767" t="e">
        <f>+_xlfn.XLOOKUP(tbl_encuesta[[#This Row],[Me siento a gusto con el ambiente de trabajo que se genera en mi equipo.]],#REF!,#REF!)</f>
        <v>#REF!</v>
      </c>
      <c r="H767" t="s">
        <v>23</v>
      </c>
      <c r="I767" t="e">
        <f>+_xlfn.XLOOKUP(tbl_encuesta[[#This Row],[Me siento motivado a dar lo mejor de mí y hacer un buen trabajo]],#REF!,#REF!)</f>
        <v>#REF!</v>
      </c>
      <c r="J767" t="s">
        <v>23</v>
      </c>
      <c r="K767" t="e">
        <f>+_xlfn.XLOOKUP(tbl_encuesta[[#This Row],[Mi supervisor o jefe directo me otorga el soporte que necesito para afrontar cualquier problema que afecte mi trabajo]],#REF!,#REF!)</f>
        <v>#REF!</v>
      </c>
      <c r="L767" t="s">
        <v>23</v>
      </c>
      <c r="M767" t="e">
        <f>+_xlfn.XLOOKUP(tbl_encuesta[[#This Row],[Mi supervisor o jefe directo fomenta que nos apoyemos entre todos en el equipo]],#REF!,#REF!)</f>
        <v>#REF!</v>
      </c>
      <c r="N767" t="s">
        <v>97</v>
      </c>
      <c r="O767" t="e">
        <f>+_xlfn.XLOOKUP(tbl_encuesta[[#This Row],[Siento que mi trabajo es reconocido por mi supervisor o jefe directo.]],#REF!,#REF!)</f>
        <v>#REF!</v>
      </c>
      <c r="P767" t="s">
        <v>31</v>
      </c>
      <c r="Q767" t="e">
        <f xml:space="preserve">
_xlfn.XLOOKUP(
tbl_encuesta[[#This Row],[Mi supervisor o jefe directo nos brinda charlas de 5 minutos y comunica las novedades relevantes a mi puesto de trabajo]],#REF!,#REF!
)</f>
        <v>#REF!</v>
      </c>
      <c r="S767" t="s">
        <v>18</v>
      </c>
      <c r="W767" t="s">
        <v>25</v>
      </c>
      <c r="X767" t="s">
        <v>23</v>
      </c>
      <c r="Y767" t="e">
        <f>+_xlfn.XLOOKUP(tbl_encuesta[[#This Row],[Considero a Limtek como un buen lugar para trabajar]],#REF!,#REF!)</f>
        <v>#REF!</v>
      </c>
      <c r="Z767" t="s">
        <v>1967</v>
      </c>
      <c r="AA767" t="s">
        <v>1969</v>
      </c>
      <c r="AB767" t="s">
        <v>559</v>
      </c>
      <c r="AC767" s="3" t="s">
        <v>3794</v>
      </c>
      <c r="AD767" s="3" t="s">
        <v>3794</v>
      </c>
      <c r="AE767" t="s">
        <v>69</v>
      </c>
    </row>
    <row r="768" spans="1:31" x14ac:dyDescent="0.25">
      <c r="A768">
        <v>119027731306</v>
      </c>
      <c r="B768">
        <v>462598545</v>
      </c>
      <c r="C768" s="1">
        <v>46020.348749999997</v>
      </c>
      <c r="D768" s="1">
        <v>46020.354016203702</v>
      </c>
      <c r="E768" t="s">
        <v>1970</v>
      </c>
      <c r="F768" t="s">
        <v>23</v>
      </c>
      <c r="G768" t="e">
        <f>+_xlfn.XLOOKUP(tbl_encuesta[[#This Row],[Me siento a gusto con el ambiente de trabajo que se genera en mi equipo.]],#REF!,#REF!)</f>
        <v>#REF!</v>
      </c>
      <c r="H768" t="s">
        <v>97</v>
      </c>
      <c r="I768" t="e">
        <f>+_xlfn.XLOOKUP(tbl_encuesta[[#This Row],[Me siento motivado a dar lo mejor de mí y hacer un buen trabajo]],#REF!,#REF!)</f>
        <v>#REF!</v>
      </c>
      <c r="J768" t="s">
        <v>43</v>
      </c>
      <c r="K768" t="e">
        <f>+_xlfn.XLOOKUP(tbl_encuesta[[#This Row],[Mi supervisor o jefe directo me otorga el soporte que necesito para afrontar cualquier problema que afecte mi trabajo]],#REF!,#REF!)</f>
        <v>#REF!</v>
      </c>
      <c r="L768" t="s">
        <v>97</v>
      </c>
      <c r="M768" t="e">
        <f>+_xlfn.XLOOKUP(tbl_encuesta[[#This Row],[Mi supervisor o jefe directo fomenta que nos apoyemos entre todos en el equipo]],#REF!,#REF!)</f>
        <v>#REF!</v>
      </c>
      <c r="N768" t="s">
        <v>43</v>
      </c>
      <c r="O768" t="e">
        <f>+_xlfn.XLOOKUP(tbl_encuesta[[#This Row],[Siento que mi trabajo es reconocido por mi supervisor o jefe directo.]],#REF!,#REF!)</f>
        <v>#REF!</v>
      </c>
      <c r="P768" t="s">
        <v>67</v>
      </c>
      <c r="Q768" t="e">
        <f xml:space="preserve">
_xlfn.XLOOKUP(
tbl_encuesta[[#This Row],[Mi supervisor o jefe directo nos brinda charlas de 5 minutos y comunica las novedades relevantes a mi puesto de trabajo]],#REF!,#REF!
)</f>
        <v>#REF!</v>
      </c>
      <c r="R768" t="s">
        <v>17</v>
      </c>
      <c r="U768" t="s">
        <v>20</v>
      </c>
      <c r="W768" t="s">
        <v>25</v>
      </c>
      <c r="X768" t="s">
        <v>22</v>
      </c>
      <c r="Y768" t="e">
        <f>+_xlfn.XLOOKUP(tbl_encuesta[[#This Row],[Considero a Limtek como un buen lugar para trabajar]],#REF!,#REF!)</f>
        <v>#REF!</v>
      </c>
      <c r="Z768" t="s">
        <v>1971</v>
      </c>
      <c r="AA768" t="s">
        <v>1972</v>
      </c>
      <c r="AB768" t="s">
        <v>559</v>
      </c>
      <c r="AC768" s="3" t="s">
        <v>3794</v>
      </c>
      <c r="AD768" s="3" t="s">
        <v>3794</v>
      </c>
      <c r="AE768" t="s">
        <v>61</v>
      </c>
    </row>
    <row r="769" spans="1:31" x14ac:dyDescent="0.25">
      <c r="A769">
        <v>119027725233</v>
      </c>
      <c r="B769">
        <v>462598545</v>
      </c>
      <c r="C769" s="1">
        <v>46020.337337962963</v>
      </c>
      <c r="D769" s="1">
        <v>46020.34447916667</v>
      </c>
      <c r="E769" t="s">
        <v>1973</v>
      </c>
      <c r="F769" t="s">
        <v>22</v>
      </c>
      <c r="G769" t="e">
        <f>+_xlfn.XLOOKUP(tbl_encuesta[[#This Row],[Me siento a gusto con el ambiente de trabajo que se genera en mi equipo.]],#REF!,#REF!)</f>
        <v>#REF!</v>
      </c>
      <c r="H769" t="s">
        <v>43</v>
      </c>
      <c r="I769" t="e">
        <f>+_xlfn.XLOOKUP(tbl_encuesta[[#This Row],[Me siento motivado a dar lo mejor de mí y hacer un buen trabajo]],#REF!,#REF!)</f>
        <v>#REF!</v>
      </c>
      <c r="J769" t="s">
        <v>97</v>
      </c>
      <c r="K769" t="e">
        <f>+_xlfn.XLOOKUP(tbl_encuesta[[#This Row],[Mi supervisor o jefe directo me otorga el soporte que necesito para afrontar cualquier problema que afecte mi trabajo]],#REF!,#REF!)</f>
        <v>#REF!</v>
      </c>
      <c r="L769" t="s">
        <v>22</v>
      </c>
      <c r="M769" t="e">
        <f>+_xlfn.XLOOKUP(tbl_encuesta[[#This Row],[Mi supervisor o jefe directo fomenta que nos apoyemos entre todos en el equipo]],#REF!,#REF!)</f>
        <v>#REF!</v>
      </c>
      <c r="N769" t="s">
        <v>43</v>
      </c>
      <c r="O769" t="e">
        <f>+_xlfn.XLOOKUP(tbl_encuesta[[#This Row],[Siento que mi trabajo es reconocido por mi supervisor o jefe directo.]],#REF!,#REF!)</f>
        <v>#REF!</v>
      </c>
      <c r="P769" t="s">
        <v>67</v>
      </c>
      <c r="Q769" t="e">
        <f xml:space="preserve">
_xlfn.XLOOKUP(
tbl_encuesta[[#This Row],[Mi supervisor o jefe directo nos brinda charlas de 5 minutos y comunica las novedades relevantes a mi puesto de trabajo]],#REF!,#REF!
)</f>
        <v>#REF!</v>
      </c>
      <c r="S769" t="s">
        <v>18</v>
      </c>
      <c r="W769" t="s">
        <v>25</v>
      </c>
      <c r="X769" t="s">
        <v>22</v>
      </c>
      <c r="Y769" t="e">
        <f>+_xlfn.XLOOKUP(tbl_encuesta[[#This Row],[Considero a Limtek como un buen lugar para trabajar]],#REF!,#REF!)</f>
        <v>#REF!</v>
      </c>
      <c r="Z769" t="s">
        <v>1974</v>
      </c>
      <c r="AA769" t="s">
        <v>1975</v>
      </c>
      <c r="AB769" t="s">
        <v>559</v>
      </c>
      <c r="AC769" s="3" t="s">
        <v>3794</v>
      </c>
      <c r="AD769" s="3" t="s">
        <v>3794</v>
      </c>
      <c r="AE769" t="s">
        <v>55</v>
      </c>
    </row>
    <row r="770" spans="1:31" x14ac:dyDescent="0.25">
      <c r="A770">
        <v>119027707366</v>
      </c>
      <c r="B770">
        <v>462598545</v>
      </c>
      <c r="C770" s="1">
        <v>46020.30945601852</v>
      </c>
      <c r="D770" s="1">
        <v>46020.313148148147</v>
      </c>
      <c r="E770" t="s">
        <v>1976</v>
      </c>
      <c r="F770" t="s">
        <v>23</v>
      </c>
      <c r="G770" t="e">
        <f>+_xlfn.XLOOKUP(tbl_encuesta[[#This Row],[Me siento a gusto con el ambiente de trabajo que se genera en mi equipo.]],#REF!,#REF!)</f>
        <v>#REF!</v>
      </c>
      <c r="H770" t="s">
        <v>22</v>
      </c>
      <c r="I770" t="e">
        <f>+_xlfn.XLOOKUP(tbl_encuesta[[#This Row],[Me siento motivado a dar lo mejor de mí y hacer un buen trabajo]],#REF!,#REF!)</f>
        <v>#REF!</v>
      </c>
      <c r="J770" t="s">
        <v>22</v>
      </c>
      <c r="K770" t="e">
        <f>+_xlfn.XLOOKUP(tbl_encuesta[[#This Row],[Mi supervisor o jefe directo me otorga el soporte que necesito para afrontar cualquier problema que afecte mi trabajo]],#REF!,#REF!)</f>
        <v>#REF!</v>
      </c>
      <c r="L770" t="s">
        <v>22</v>
      </c>
      <c r="M770" t="e">
        <f>+_xlfn.XLOOKUP(tbl_encuesta[[#This Row],[Mi supervisor o jefe directo fomenta que nos apoyemos entre todos en el equipo]],#REF!,#REF!)</f>
        <v>#REF!</v>
      </c>
      <c r="N770" t="s">
        <v>22</v>
      </c>
      <c r="O770" t="e">
        <f>+_xlfn.XLOOKUP(tbl_encuesta[[#This Row],[Siento que mi trabajo es reconocido por mi supervisor o jefe directo.]],#REF!,#REF!)</f>
        <v>#REF!</v>
      </c>
      <c r="P770" t="s">
        <v>67</v>
      </c>
      <c r="Q770" t="e">
        <f xml:space="preserve">
_xlfn.XLOOKUP(
tbl_encuesta[[#This Row],[Mi supervisor o jefe directo nos brinda charlas de 5 minutos y comunica las novedades relevantes a mi puesto de trabajo]],#REF!,#REF!
)</f>
        <v>#REF!</v>
      </c>
      <c r="R770" t="s">
        <v>17</v>
      </c>
      <c r="S770" t="s">
        <v>18</v>
      </c>
      <c r="W770" t="s">
        <v>25</v>
      </c>
      <c r="X770" t="s">
        <v>22</v>
      </c>
      <c r="Y770" t="e">
        <f>+_xlfn.XLOOKUP(tbl_encuesta[[#This Row],[Considero a Limtek como un buen lugar para trabajar]],#REF!,#REF!)</f>
        <v>#REF!</v>
      </c>
      <c r="Z770" t="s">
        <v>1977</v>
      </c>
      <c r="AA770" t="s">
        <v>1978</v>
      </c>
      <c r="AB770" t="s">
        <v>28</v>
      </c>
      <c r="AC770" s="3" t="s">
        <v>3761</v>
      </c>
      <c r="AD770" s="3" t="s">
        <v>3763</v>
      </c>
      <c r="AE770" t="s">
        <v>61</v>
      </c>
    </row>
    <row r="771" spans="1:31" x14ac:dyDescent="0.25">
      <c r="A771">
        <v>119027678631</v>
      </c>
      <c r="B771">
        <v>462598545</v>
      </c>
      <c r="C771" s="1">
        <v>46020.247488425928</v>
      </c>
      <c r="D771" s="1">
        <v>46020.251504629632</v>
      </c>
      <c r="E771" t="s">
        <v>1979</v>
      </c>
      <c r="F771" t="s">
        <v>23</v>
      </c>
      <c r="G771" t="e">
        <f>+_xlfn.XLOOKUP(tbl_encuesta[[#This Row],[Me siento a gusto con el ambiente de trabajo que se genera en mi equipo.]],#REF!,#REF!)</f>
        <v>#REF!</v>
      </c>
      <c r="H771" t="s">
        <v>23</v>
      </c>
      <c r="I771" t="e">
        <f>+_xlfn.XLOOKUP(tbl_encuesta[[#This Row],[Me siento motivado a dar lo mejor de mí y hacer un buen trabajo]],#REF!,#REF!)</f>
        <v>#REF!</v>
      </c>
      <c r="J771" t="s">
        <v>23</v>
      </c>
      <c r="K771" t="e">
        <f>+_xlfn.XLOOKUP(tbl_encuesta[[#This Row],[Mi supervisor o jefe directo me otorga el soporte que necesito para afrontar cualquier problema que afecte mi trabajo]],#REF!,#REF!)</f>
        <v>#REF!</v>
      </c>
      <c r="L771" t="s">
        <v>23</v>
      </c>
      <c r="M771" t="e">
        <f>+_xlfn.XLOOKUP(tbl_encuesta[[#This Row],[Mi supervisor o jefe directo fomenta que nos apoyemos entre todos en el equipo]],#REF!,#REF!)</f>
        <v>#REF!</v>
      </c>
      <c r="N771" t="s">
        <v>22</v>
      </c>
      <c r="O771" t="e">
        <f>+_xlfn.XLOOKUP(tbl_encuesta[[#This Row],[Siento que mi trabajo es reconocido por mi supervisor o jefe directo.]],#REF!,#REF!)</f>
        <v>#REF!</v>
      </c>
      <c r="P771" t="s">
        <v>31</v>
      </c>
      <c r="Q771" t="e">
        <f xml:space="preserve">
_xlfn.XLOOKUP(
tbl_encuesta[[#This Row],[Mi supervisor o jefe directo nos brinda charlas de 5 minutos y comunica las novedades relevantes a mi puesto de trabajo]],#REF!,#REF!
)</f>
        <v>#REF!</v>
      </c>
      <c r="R771" t="s">
        <v>17</v>
      </c>
      <c r="W771" t="s">
        <v>25</v>
      </c>
      <c r="X771" t="s">
        <v>23</v>
      </c>
      <c r="Y771" t="e">
        <f>+_xlfn.XLOOKUP(tbl_encuesta[[#This Row],[Considero a Limtek como un buen lugar para trabajar]],#REF!,#REF!)</f>
        <v>#REF!</v>
      </c>
      <c r="Z771" t="s">
        <v>576</v>
      </c>
      <c r="AA771" t="s">
        <v>1652</v>
      </c>
      <c r="AB771" t="s">
        <v>559</v>
      </c>
      <c r="AC771" s="3" t="s">
        <v>3716</v>
      </c>
      <c r="AD771" s="3" t="s">
        <v>3716</v>
      </c>
      <c r="AE771" t="s">
        <v>69</v>
      </c>
    </row>
    <row r="772" spans="1:31" x14ac:dyDescent="0.25">
      <c r="A772">
        <v>119027678240</v>
      </c>
      <c r="B772">
        <v>462598545</v>
      </c>
      <c r="C772" s="1">
        <v>46020.247557870367</v>
      </c>
      <c r="D772" s="1">
        <v>46020.250717592593</v>
      </c>
      <c r="E772" t="s">
        <v>1980</v>
      </c>
      <c r="F772" t="s">
        <v>23</v>
      </c>
      <c r="G772" t="e">
        <f>+_xlfn.XLOOKUP(tbl_encuesta[[#This Row],[Me siento a gusto con el ambiente de trabajo que se genera en mi equipo.]],#REF!,#REF!)</f>
        <v>#REF!</v>
      </c>
      <c r="H772" t="s">
        <v>23</v>
      </c>
      <c r="I772" t="e">
        <f>+_xlfn.XLOOKUP(tbl_encuesta[[#This Row],[Me siento motivado a dar lo mejor de mí y hacer un buen trabajo]],#REF!,#REF!)</f>
        <v>#REF!</v>
      </c>
      <c r="J772" t="s">
        <v>23</v>
      </c>
      <c r="K772" t="e">
        <f>+_xlfn.XLOOKUP(tbl_encuesta[[#This Row],[Mi supervisor o jefe directo me otorga el soporte que necesito para afrontar cualquier problema que afecte mi trabajo]],#REF!,#REF!)</f>
        <v>#REF!</v>
      </c>
      <c r="L772" t="s">
        <v>23</v>
      </c>
      <c r="M772" t="e">
        <f>+_xlfn.XLOOKUP(tbl_encuesta[[#This Row],[Mi supervisor o jefe directo fomenta que nos apoyemos entre todos en el equipo]],#REF!,#REF!)</f>
        <v>#REF!</v>
      </c>
      <c r="N772" t="s">
        <v>22</v>
      </c>
      <c r="O772" t="e">
        <f>+_xlfn.XLOOKUP(tbl_encuesta[[#This Row],[Siento que mi trabajo es reconocido por mi supervisor o jefe directo.]],#REF!,#REF!)</f>
        <v>#REF!</v>
      </c>
      <c r="P772" t="s">
        <v>31</v>
      </c>
      <c r="Q772" t="e">
        <f xml:space="preserve">
_xlfn.XLOOKUP(
tbl_encuesta[[#This Row],[Mi supervisor o jefe directo nos brinda charlas de 5 minutos y comunica las novedades relevantes a mi puesto de trabajo]],#REF!,#REF!
)</f>
        <v>#REF!</v>
      </c>
      <c r="R772" t="s">
        <v>17</v>
      </c>
      <c r="W772" t="s">
        <v>25</v>
      </c>
      <c r="X772" t="s">
        <v>23</v>
      </c>
      <c r="Y772" t="e">
        <f>+_xlfn.XLOOKUP(tbl_encuesta[[#This Row],[Considero a Limtek como un buen lugar para trabajar]],#REF!,#REF!)</f>
        <v>#REF!</v>
      </c>
      <c r="Z772" t="s">
        <v>1981</v>
      </c>
      <c r="AA772" t="s">
        <v>1982</v>
      </c>
      <c r="AB772" t="s">
        <v>559</v>
      </c>
      <c r="AC772" s="3" t="s">
        <v>3716</v>
      </c>
      <c r="AD772" s="3" t="s">
        <v>1431</v>
      </c>
      <c r="AE772" t="s">
        <v>29</v>
      </c>
    </row>
    <row r="773" spans="1:31" x14ac:dyDescent="0.25">
      <c r="A773">
        <v>119027656578</v>
      </c>
      <c r="B773">
        <v>462598545</v>
      </c>
      <c r="C773" s="1">
        <v>46020.190381944441</v>
      </c>
      <c r="D773" s="1">
        <v>46020.198483796295</v>
      </c>
      <c r="E773" t="s">
        <v>1983</v>
      </c>
      <c r="F773" t="s">
        <v>22</v>
      </c>
      <c r="G773" t="e">
        <f>+_xlfn.XLOOKUP(tbl_encuesta[[#This Row],[Me siento a gusto con el ambiente de trabajo que se genera en mi equipo.]],#REF!,#REF!)</f>
        <v>#REF!</v>
      </c>
      <c r="H773" t="s">
        <v>23</v>
      </c>
      <c r="I773" t="e">
        <f>+_xlfn.XLOOKUP(tbl_encuesta[[#This Row],[Me siento motivado a dar lo mejor de mí y hacer un buen trabajo]],#REF!,#REF!)</f>
        <v>#REF!</v>
      </c>
      <c r="J773" t="s">
        <v>22</v>
      </c>
      <c r="K773" t="e">
        <f>+_xlfn.XLOOKUP(tbl_encuesta[[#This Row],[Mi supervisor o jefe directo me otorga el soporte que necesito para afrontar cualquier problema que afecte mi trabajo]],#REF!,#REF!)</f>
        <v>#REF!</v>
      </c>
      <c r="L773" t="s">
        <v>22</v>
      </c>
      <c r="M773" t="e">
        <f>+_xlfn.XLOOKUP(tbl_encuesta[[#This Row],[Mi supervisor o jefe directo fomenta que nos apoyemos entre todos en el equipo]],#REF!,#REF!)</f>
        <v>#REF!</v>
      </c>
      <c r="N773" t="s">
        <v>22</v>
      </c>
      <c r="O773" t="e">
        <f>+_xlfn.XLOOKUP(tbl_encuesta[[#This Row],[Siento que mi trabajo es reconocido por mi supervisor o jefe directo.]],#REF!,#REF!)</f>
        <v>#REF!</v>
      </c>
      <c r="P773" t="s">
        <v>67</v>
      </c>
      <c r="Q773" t="e">
        <f xml:space="preserve">
_xlfn.XLOOKUP(
tbl_encuesta[[#This Row],[Mi supervisor o jefe directo nos brinda charlas de 5 minutos y comunica las novedades relevantes a mi puesto de trabajo]],#REF!,#REF!
)</f>
        <v>#REF!</v>
      </c>
      <c r="R773" t="s">
        <v>17</v>
      </c>
      <c r="S773" t="s">
        <v>18</v>
      </c>
      <c r="W773" t="s">
        <v>25</v>
      </c>
      <c r="X773" t="s">
        <v>22</v>
      </c>
      <c r="Y773" t="e">
        <f>+_xlfn.XLOOKUP(tbl_encuesta[[#This Row],[Considero a Limtek como un buen lugar para trabajar]],#REF!,#REF!)</f>
        <v>#REF!</v>
      </c>
      <c r="Z773" t="s">
        <v>1984</v>
      </c>
      <c r="AA773" t="s">
        <v>1985</v>
      </c>
      <c r="AB773" t="s">
        <v>559</v>
      </c>
      <c r="AC773" s="3" t="s">
        <v>3794</v>
      </c>
      <c r="AD773" s="3" t="s">
        <v>3794</v>
      </c>
      <c r="AE773" t="s">
        <v>29</v>
      </c>
    </row>
    <row r="774" spans="1:31" x14ac:dyDescent="0.25">
      <c r="A774">
        <v>119027575466</v>
      </c>
      <c r="B774">
        <v>462598545</v>
      </c>
      <c r="C774" s="1">
        <v>46019.916006944448</v>
      </c>
      <c r="D774" s="1">
        <v>46019.918541666666</v>
      </c>
      <c r="E774" t="s">
        <v>1986</v>
      </c>
      <c r="F774" t="s">
        <v>23</v>
      </c>
      <c r="G774" t="e">
        <f>+_xlfn.XLOOKUP(tbl_encuesta[[#This Row],[Me siento a gusto con el ambiente de trabajo que se genera en mi equipo.]],#REF!,#REF!)</f>
        <v>#REF!</v>
      </c>
      <c r="H774" t="s">
        <v>23</v>
      </c>
      <c r="I774" t="e">
        <f>+_xlfn.XLOOKUP(tbl_encuesta[[#This Row],[Me siento motivado a dar lo mejor de mí y hacer un buen trabajo]],#REF!,#REF!)</f>
        <v>#REF!</v>
      </c>
      <c r="J774" t="s">
        <v>23</v>
      </c>
      <c r="K774" t="e">
        <f>+_xlfn.XLOOKUP(tbl_encuesta[[#This Row],[Mi supervisor o jefe directo me otorga el soporte que necesito para afrontar cualquier problema que afecte mi trabajo]],#REF!,#REF!)</f>
        <v>#REF!</v>
      </c>
      <c r="L774" t="s">
        <v>23</v>
      </c>
      <c r="M774" t="e">
        <f>+_xlfn.XLOOKUP(tbl_encuesta[[#This Row],[Mi supervisor o jefe directo fomenta que nos apoyemos entre todos en el equipo]],#REF!,#REF!)</f>
        <v>#REF!</v>
      </c>
      <c r="N774" t="s">
        <v>23</v>
      </c>
      <c r="O774" t="e">
        <f>+_xlfn.XLOOKUP(tbl_encuesta[[#This Row],[Siento que mi trabajo es reconocido por mi supervisor o jefe directo.]],#REF!,#REF!)</f>
        <v>#REF!</v>
      </c>
      <c r="P774" t="s">
        <v>31</v>
      </c>
      <c r="Q774" t="e">
        <f xml:space="preserve">
_xlfn.XLOOKUP(
tbl_encuesta[[#This Row],[Mi supervisor o jefe directo nos brinda charlas de 5 minutos y comunica las novedades relevantes a mi puesto de trabajo]],#REF!,#REF!
)</f>
        <v>#REF!</v>
      </c>
      <c r="S774" t="s">
        <v>18</v>
      </c>
      <c r="W774" t="s">
        <v>25</v>
      </c>
      <c r="X774" t="s">
        <v>23</v>
      </c>
      <c r="Y774" t="e">
        <f>+_xlfn.XLOOKUP(tbl_encuesta[[#This Row],[Considero a Limtek como un buen lugar para trabajar]],#REF!,#REF!)</f>
        <v>#REF!</v>
      </c>
      <c r="Z774" t="s">
        <v>1987</v>
      </c>
      <c r="AA774" t="s">
        <v>1988</v>
      </c>
      <c r="AB774" t="s">
        <v>28</v>
      </c>
      <c r="AC774" s="3" t="s">
        <v>3749</v>
      </c>
      <c r="AD774" s="3" t="s">
        <v>3750</v>
      </c>
      <c r="AE774" t="s">
        <v>29</v>
      </c>
    </row>
    <row r="775" spans="1:31" x14ac:dyDescent="0.25">
      <c r="A775">
        <v>119027572369</v>
      </c>
      <c r="B775">
        <v>462598545</v>
      </c>
      <c r="C775" s="1">
        <v>46019.901956018519</v>
      </c>
      <c r="D775" s="1">
        <v>46019.907141203701</v>
      </c>
      <c r="E775" t="s">
        <v>1989</v>
      </c>
      <c r="F775" t="s">
        <v>22</v>
      </c>
      <c r="G775" t="e">
        <f>+_xlfn.XLOOKUP(tbl_encuesta[[#This Row],[Me siento a gusto con el ambiente de trabajo que se genera en mi equipo.]],#REF!,#REF!)</f>
        <v>#REF!</v>
      </c>
      <c r="H775" t="s">
        <v>23</v>
      </c>
      <c r="I775" t="e">
        <f>+_xlfn.XLOOKUP(tbl_encuesta[[#This Row],[Me siento motivado a dar lo mejor de mí y hacer un buen trabajo]],#REF!,#REF!)</f>
        <v>#REF!</v>
      </c>
      <c r="J775" t="s">
        <v>23</v>
      </c>
      <c r="K775" t="e">
        <f>+_xlfn.XLOOKUP(tbl_encuesta[[#This Row],[Mi supervisor o jefe directo me otorga el soporte que necesito para afrontar cualquier problema que afecte mi trabajo]],#REF!,#REF!)</f>
        <v>#REF!</v>
      </c>
      <c r="L775" t="s">
        <v>22</v>
      </c>
      <c r="M775" t="e">
        <f>+_xlfn.XLOOKUP(tbl_encuesta[[#This Row],[Mi supervisor o jefe directo fomenta que nos apoyemos entre todos en el equipo]],#REF!,#REF!)</f>
        <v>#REF!</v>
      </c>
      <c r="N775" t="s">
        <v>23</v>
      </c>
      <c r="O775" t="e">
        <f>+_xlfn.XLOOKUP(tbl_encuesta[[#This Row],[Siento que mi trabajo es reconocido por mi supervisor o jefe directo.]],#REF!,#REF!)</f>
        <v>#REF!</v>
      </c>
      <c r="P775" t="s">
        <v>31</v>
      </c>
      <c r="Q775" t="e">
        <f xml:space="preserve">
_xlfn.XLOOKUP(
tbl_encuesta[[#This Row],[Mi supervisor o jefe directo nos brinda charlas de 5 minutos y comunica las novedades relevantes a mi puesto de trabajo]],#REF!,#REF!
)</f>
        <v>#REF!</v>
      </c>
      <c r="S775" t="s">
        <v>18</v>
      </c>
      <c r="W775" t="s">
        <v>25</v>
      </c>
      <c r="X775" t="s">
        <v>22</v>
      </c>
      <c r="Y775" t="e">
        <f>+_xlfn.XLOOKUP(tbl_encuesta[[#This Row],[Considero a Limtek como un buen lugar para trabajar]],#REF!,#REF!)</f>
        <v>#REF!</v>
      </c>
      <c r="Z775" t="s">
        <v>1990</v>
      </c>
      <c r="AA775" t="s">
        <v>1991</v>
      </c>
      <c r="AB775" t="s">
        <v>28</v>
      </c>
      <c r="AC775" s="3" t="s">
        <v>3749</v>
      </c>
      <c r="AD775" s="3" t="s">
        <v>3750</v>
      </c>
      <c r="AE775" t="s">
        <v>29</v>
      </c>
    </row>
    <row r="776" spans="1:31" x14ac:dyDescent="0.25">
      <c r="A776">
        <v>119027571196</v>
      </c>
      <c r="B776">
        <v>462598545</v>
      </c>
      <c r="C776" s="1">
        <v>46019.895821759259</v>
      </c>
      <c r="D776" s="1">
        <v>46019.902905092589</v>
      </c>
      <c r="E776" t="s">
        <v>1992</v>
      </c>
      <c r="F776" t="s">
        <v>23</v>
      </c>
      <c r="G776" t="e">
        <f>+_xlfn.XLOOKUP(tbl_encuesta[[#This Row],[Me siento a gusto con el ambiente de trabajo que se genera en mi equipo.]],#REF!,#REF!)</f>
        <v>#REF!</v>
      </c>
      <c r="H776" t="s">
        <v>23</v>
      </c>
      <c r="I776" t="e">
        <f>+_xlfn.XLOOKUP(tbl_encuesta[[#This Row],[Me siento motivado a dar lo mejor de mí y hacer un buen trabajo]],#REF!,#REF!)</f>
        <v>#REF!</v>
      </c>
      <c r="J776" t="s">
        <v>22</v>
      </c>
      <c r="K776" t="e">
        <f>+_xlfn.XLOOKUP(tbl_encuesta[[#This Row],[Mi supervisor o jefe directo me otorga el soporte que necesito para afrontar cualquier problema que afecte mi trabajo]],#REF!,#REF!)</f>
        <v>#REF!</v>
      </c>
      <c r="L776" t="s">
        <v>23</v>
      </c>
      <c r="M776" t="e">
        <f>+_xlfn.XLOOKUP(tbl_encuesta[[#This Row],[Mi supervisor o jefe directo fomenta que nos apoyemos entre todos en el equipo]],#REF!,#REF!)</f>
        <v>#REF!</v>
      </c>
      <c r="N776" t="s">
        <v>22</v>
      </c>
      <c r="O776" t="e">
        <f>+_xlfn.XLOOKUP(tbl_encuesta[[#This Row],[Siento que mi trabajo es reconocido por mi supervisor o jefe directo.]],#REF!,#REF!)</f>
        <v>#REF!</v>
      </c>
      <c r="P776" t="s">
        <v>31</v>
      </c>
      <c r="Q776" t="e">
        <f xml:space="preserve">
_xlfn.XLOOKUP(
tbl_encuesta[[#This Row],[Mi supervisor o jefe directo nos brinda charlas de 5 minutos y comunica las novedades relevantes a mi puesto de trabajo]],#REF!,#REF!
)</f>
        <v>#REF!</v>
      </c>
      <c r="R776" t="s">
        <v>17</v>
      </c>
      <c r="W776" t="s">
        <v>25</v>
      </c>
      <c r="X776" t="s">
        <v>23</v>
      </c>
      <c r="Y776" t="e">
        <f>+_xlfn.XLOOKUP(tbl_encuesta[[#This Row],[Considero a Limtek como un buen lugar para trabajar]],#REF!,#REF!)</f>
        <v>#REF!</v>
      </c>
      <c r="Z776" t="s">
        <v>1993</v>
      </c>
      <c r="AA776" t="s">
        <v>1994</v>
      </c>
      <c r="AB776" t="s">
        <v>28</v>
      </c>
      <c r="AC776" t="s">
        <v>3744</v>
      </c>
      <c r="AD776" t="s">
        <v>3744</v>
      </c>
      <c r="AE776" t="s">
        <v>69</v>
      </c>
    </row>
    <row r="777" spans="1:31" x14ac:dyDescent="0.25">
      <c r="A777">
        <v>119027571125</v>
      </c>
      <c r="B777">
        <v>462598545</v>
      </c>
      <c r="C777" s="1">
        <v>46019.901064814818</v>
      </c>
      <c r="D777" s="1">
        <v>46019.902685185189</v>
      </c>
      <c r="E777" t="s">
        <v>1995</v>
      </c>
      <c r="F777" t="s">
        <v>22</v>
      </c>
      <c r="G777" t="e">
        <f>+_xlfn.XLOOKUP(tbl_encuesta[[#This Row],[Me siento a gusto con el ambiente de trabajo que se genera en mi equipo.]],#REF!,#REF!)</f>
        <v>#REF!</v>
      </c>
      <c r="H777" t="s">
        <v>23</v>
      </c>
      <c r="I777" t="e">
        <f>+_xlfn.XLOOKUP(tbl_encuesta[[#This Row],[Me siento motivado a dar lo mejor de mí y hacer un buen trabajo]],#REF!,#REF!)</f>
        <v>#REF!</v>
      </c>
      <c r="J777" t="s">
        <v>22</v>
      </c>
      <c r="K777" t="e">
        <f>+_xlfn.XLOOKUP(tbl_encuesta[[#This Row],[Mi supervisor o jefe directo me otorga el soporte que necesito para afrontar cualquier problema que afecte mi trabajo]],#REF!,#REF!)</f>
        <v>#REF!</v>
      </c>
      <c r="L777" t="s">
        <v>23</v>
      </c>
      <c r="M777" t="e">
        <f>+_xlfn.XLOOKUP(tbl_encuesta[[#This Row],[Mi supervisor o jefe directo fomenta que nos apoyemos entre todos en el equipo]],#REF!,#REF!)</f>
        <v>#REF!</v>
      </c>
      <c r="N777" t="s">
        <v>22</v>
      </c>
      <c r="O777" t="e">
        <f>+_xlfn.XLOOKUP(tbl_encuesta[[#This Row],[Siento que mi trabajo es reconocido por mi supervisor o jefe directo.]],#REF!,#REF!)</f>
        <v>#REF!</v>
      </c>
      <c r="P777" t="s">
        <v>31</v>
      </c>
      <c r="Q777" t="e">
        <f xml:space="preserve">
_xlfn.XLOOKUP(
tbl_encuesta[[#This Row],[Mi supervisor o jefe directo nos brinda charlas de 5 minutos y comunica las novedades relevantes a mi puesto de trabajo]],#REF!,#REF!
)</f>
        <v>#REF!</v>
      </c>
      <c r="R777" t="s">
        <v>17</v>
      </c>
      <c r="W777" t="s">
        <v>25</v>
      </c>
      <c r="X777" t="s">
        <v>22</v>
      </c>
      <c r="Y777" t="e">
        <f>+_xlfn.XLOOKUP(tbl_encuesta[[#This Row],[Considero a Limtek como un buen lugar para trabajar]],#REF!,#REF!)</f>
        <v>#REF!</v>
      </c>
      <c r="Z777" t="s">
        <v>1996</v>
      </c>
      <c r="AA777" t="s">
        <v>1997</v>
      </c>
      <c r="AB777" t="s">
        <v>28</v>
      </c>
      <c r="AC777" s="3" t="s">
        <v>3749</v>
      </c>
      <c r="AD777" s="3" t="s">
        <v>3750</v>
      </c>
      <c r="AE777" t="s">
        <v>69</v>
      </c>
    </row>
    <row r="778" spans="1:31" x14ac:dyDescent="0.25">
      <c r="A778">
        <v>119027570611</v>
      </c>
      <c r="B778">
        <v>462598545</v>
      </c>
      <c r="C778" s="1">
        <v>46019.893425925926</v>
      </c>
      <c r="D778" s="1">
        <v>46019.900717592594</v>
      </c>
      <c r="E778" t="s">
        <v>1998</v>
      </c>
      <c r="F778" t="s">
        <v>23</v>
      </c>
      <c r="G778" t="e">
        <f>+_xlfn.XLOOKUP(tbl_encuesta[[#This Row],[Me siento a gusto con el ambiente de trabajo que se genera en mi equipo.]],#REF!,#REF!)</f>
        <v>#REF!</v>
      </c>
      <c r="H778" t="s">
        <v>23</v>
      </c>
      <c r="I778" t="e">
        <f>+_xlfn.XLOOKUP(tbl_encuesta[[#This Row],[Me siento motivado a dar lo mejor de mí y hacer un buen trabajo]],#REF!,#REF!)</f>
        <v>#REF!</v>
      </c>
      <c r="J778" t="s">
        <v>23</v>
      </c>
      <c r="K778" t="e">
        <f>+_xlfn.XLOOKUP(tbl_encuesta[[#This Row],[Mi supervisor o jefe directo me otorga el soporte que necesito para afrontar cualquier problema que afecte mi trabajo]],#REF!,#REF!)</f>
        <v>#REF!</v>
      </c>
      <c r="L778" t="s">
        <v>23</v>
      </c>
      <c r="M778" t="e">
        <f>+_xlfn.XLOOKUP(tbl_encuesta[[#This Row],[Mi supervisor o jefe directo fomenta que nos apoyemos entre todos en el equipo]],#REF!,#REF!)</f>
        <v>#REF!</v>
      </c>
      <c r="N778" t="s">
        <v>23</v>
      </c>
      <c r="O778" t="e">
        <f>+_xlfn.XLOOKUP(tbl_encuesta[[#This Row],[Siento que mi trabajo es reconocido por mi supervisor o jefe directo.]],#REF!,#REF!)</f>
        <v>#REF!</v>
      </c>
      <c r="P778" t="s">
        <v>31</v>
      </c>
      <c r="Q778" t="e">
        <f xml:space="preserve">
_xlfn.XLOOKUP(
tbl_encuesta[[#This Row],[Mi supervisor o jefe directo nos brinda charlas de 5 minutos y comunica las novedades relevantes a mi puesto de trabajo]],#REF!,#REF!
)</f>
        <v>#REF!</v>
      </c>
      <c r="R778" t="s">
        <v>17</v>
      </c>
      <c r="S778" t="s">
        <v>18</v>
      </c>
      <c r="W778" t="s">
        <v>25</v>
      </c>
      <c r="X778" t="s">
        <v>23</v>
      </c>
      <c r="Y778" t="e">
        <f>+_xlfn.XLOOKUP(tbl_encuesta[[#This Row],[Considero a Limtek como un buen lugar para trabajar]],#REF!,#REF!)</f>
        <v>#REF!</v>
      </c>
      <c r="Z778" t="s">
        <v>638</v>
      </c>
      <c r="AA778" t="s">
        <v>1999</v>
      </c>
      <c r="AB778" t="s">
        <v>28</v>
      </c>
      <c r="AC778" s="3" t="s">
        <v>3749</v>
      </c>
      <c r="AD778" s="3" t="s">
        <v>3750</v>
      </c>
      <c r="AE778" t="s">
        <v>69</v>
      </c>
    </row>
    <row r="779" spans="1:31" x14ac:dyDescent="0.25">
      <c r="A779">
        <v>119027570252</v>
      </c>
      <c r="B779">
        <v>462598545</v>
      </c>
      <c r="C779" s="1">
        <v>46019.89702546296</v>
      </c>
      <c r="D779" s="1">
        <v>46019.899340277778</v>
      </c>
      <c r="E779" t="s">
        <v>2000</v>
      </c>
      <c r="F779" t="s">
        <v>23</v>
      </c>
      <c r="G779" t="e">
        <f>+_xlfn.XLOOKUP(tbl_encuesta[[#This Row],[Me siento a gusto con el ambiente de trabajo que se genera en mi equipo.]],#REF!,#REF!)</f>
        <v>#REF!</v>
      </c>
      <c r="H779" t="s">
        <v>23</v>
      </c>
      <c r="I779" t="e">
        <f>+_xlfn.XLOOKUP(tbl_encuesta[[#This Row],[Me siento motivado a dar lo mejor de mí y hacer un buen trabajo]],#REF!,#REF!)</f>
        <v>#REF!</v>
      </c>
      <c r="J779" t="s">
        <v>23</v>
      </c>
      <c r="K779" t="e">
        <f>+_xlfn.XLOOKUP(tbl_encuesta[[#This Row],[Mi supervisor o jefe directo me otorga el soporte que necesito para afrontar cualquier problema que afecte mi trabajo]],#REF!,#REF!)</f>
        <v>#REF!</v>
      </c>
      <c r="L779" t="s">
        <v>23</v>
      </c>
      <c r="M779" t="e">
        <f>+_xlfn.XLOOKUP(tbl_encuesta[[#This Row],[Mi supervisor o jefe directo fomenta que nos apoyemos entre todos en el equipo]],#REF!,#REF!)</f>
        <v>#REF!</v>
      </c>
      <c r="N779" t="s">
        <v>23</v>
      </c>
      <c r="O779" t="e">
        <f>+_xlfn.XLOOKUP(tbl_encuesta[[#This Row],[Siento que mi trabajo es reconocido por mi supervisor o jefe directo.]],#REF!,#REF!)</f>
        <v>#REF!</v>
      </c>
      <c r="P779" t="s">
        <v>31</v>
      </c>
      <c r="Q779" t="e">
        <f xml:space="preserve">
_xlfn.XLOOKUP(
tbl_encuesta[[#This Row],[Mi supervisor o jefe directo nos brinda charlas de 5 minutos y comunica las novedades relevantes a mi puesto de trabajo]],#REF!,#REF!
)</f>
        <v>#REF!</v>
      </c>
      <c r="R779" t="s">
        <v>17</v>
      </c>
      <c r="T779" t="s">
        <v>19</v>
      </c>
      <c r="W779" t="s">
        <v>25</v>
      </c>
      <c r="X779" t="s">
        <v>23</v>
      </c>
      <c r="Y779" t="e">
        <f>+_xlfn.XLOOKUP(tbl_encuesta[[#This Row],[Considero a Limtek como un buen lugar para trabajar]],#REF!,#REF!)</f>
        <v>#REF!</v>
      </c>
      <c r="Z779" t="s">
        <v>2001</v>
      </c>
      <c r="AA779" t="s">
        <v>2002</v>
      </c>
      <c r="AB779" t="s">
        <v>28</v>
      </c>
      <c r="AC779" s="3" t="s">
        <v>3749</v>
      </c>
      <c r="AD779" s="3" t="s">
        <v>3750</v>
      </c>
      <c r="AE779" t="s">
        <v>69</v>
      </c>
    </row>
    <row r="780" spans="1:31" x14ac:dyDescent="0.25">
      <c r="A780">
        <v>119027569418</v>
      </c>
      <c r="B780">
        <v>462598545</v>
      </c>
      <c r="C780" s="1">
        <v>46019.892916666664</v>
      </c>
      <c r="D780" s="1">
        <v>46019.896550925929</v>
      </c>
      <c r="E780" t="s">
        <v>2003</v>
      </c>
      <c r="F780" t="s">
        <v>23</v>
      </c>
      <c r="G780" t="e">
        <f>+_xlfn.XLOOKUP(tbl_encuesta[[#This Row],[Me siento a gusto con el ambiente de trabajo que se genera en mi equipo.]],#REF!,#REF!)</f>
        <v>#REF!</v>
      </c>
      <c r="H780" t="s">
        <v>23</v>
      </c>
      <c r="I780" t="e">
        <f>+_xlfn.XLOOKUP(tbl_encuesta[[#This Row],[Me siento motivado a dar lo mejor de mí y hacer un buen trabajo]],#REF!,#REF!)</f>
        <v>#REF!</v>
      </c>
      <c r="J780" t="s">
        <v>97</v>
      </c>
      <c r="K780" t="e">
        <f>+_xlfn.XLOOKUP(tbl_encuesta[[#This Row],[Mi supervisor o jefe directo me otorga el soporte que necesito para afrontar cualquier problema que afecte mi trabajo]],#REF!,#REF!)</f>
        <v>#REF!</v>
      </c>
      <c r="L780" t="s">
        <v>23</v>
      </c>
      <c r="M780" t="e">
        <f>+_xlfn.XLOOKUP(tbl_encuesta[[#This Row],[Mi supervisor o jefe directo fomenta que nos apoyemos entre todos en el equipo]],#REF!,#REF!)</f>
        <v>#REF!</v>
      </c>
      <c r="N780" t="s">
        <v>23</v>
      </c>
      <c r="O780" t="e">
        <f>+_xlfn.XLOOKUP(tbl_encuesta[[#This Row],[Siento que mi trabajo es reconocido por mi supervisor o jefe directo.]],#REF!,#REF!)</f>
        <v>#REF!</v>
      </c>
      <c r="P780" t="s">
        <v>31</v>
      </c>
      <c r="Q780" t="e">
        <f xml:space="preserve">
_xlfn.XLOOKUP(
tbl_encuesta[[#This Row],[Mi supervisor o jefe directo nos brinda charlas de 5 minutos y comunica las novedades relevantes a mi puesto de trabajo]],#REF!,#REF!
)</f>
        <v>#REF!</v>
      </c>
      <c r="R780" t="s">
        <v>17</v>
      </c>
      <c r="W780" t="s">
        <v>25</v>
      </c>
      <c r="X780" t="s">
        <v>97</v>
      </c>
      <c r="Y780" t="e">
        <f>+_xlfn.XLOOKUP(tbl_encuesta[[#This Row],[Considero a Limtek como un buen lugar para trabajar]],#REF!,#REF!)</f>
        <v>#REF!</v>
      </c>
      <c r="Z780" t="s">
        <v>1725</v>
      </c>
      <c r="AA780" t="s">
        <v>2004</v>
      </c>
      <c r="AB780" t="s">
        <v>28</v>
      </c>
      <c r="AC780" s="3" t="s">
        <v>3749</v>
      </c>
      <c r="AD780" s="3" t="s">
        <v>3750</v>
      </c>
      <c r="AE780" t="s">
        <v>69</v>
      </c>
    </row>
    <row r="781" spans="1:31" x14ac:dyDescent="0.25">
      <c r="A781">
        <v>119027568883</v>
      </c>
      <c r="B781">
        <v>462598545</v>
      </c>
      <c r="C781" s="1">
        <v>46019.892013888886</v>
      </c>
      <c r="D781" s="1">
        <v>46019.894780092596</v>
      </c>
      <c r="E781" t="s">
        <v>2005</v>
      </c>
      <c r="F781" t="s">
        <v>23</v>
      </c>
      <c r="G781" t="e">
        <f>+_xlfn.XLOOKUP(tbl_encuesta[[#This Row],[Me siento a gusto con el ambiente de trabajo que se genera en mi equipo.]],#REF!,#REF!)</f>
        <v>#REF!</v>
      </c>
      <c r="H781" t="s">
        <v>23</v>
      </c>
      <c r="I781" t="e">
        <f>+_xlfn.XLOOKUP(tbl_encuesta[[#This Row],[Me siento motivado a dar lo mejor de mí y hacer un buen trabajo]],#REF!,#REF!)</f>
        <v>#REF!</v>
      </c>
      <c r="J781" t="s">
        <v>22</v>
      </c>
      <c r="K781" t="e">
        <f>+_xlfn.XLOOKUP(tbl_encuesta[[#This Row],[Mi supervisor o jefe directo me otorga el soporte que necesito para afrontar cualquier problema que afecte mi trabajo]],#REF!,#REF!)</f>
        <v>#REF!</v>
      </c>
      <c r="L781" t="s">
        <v>23</v>
      </c>
      <c r="M781" t="e">
        <f>+_xlfn.XLOOKUP(tbl_encuesta[[#This Row],[Mi supervisor o jefe directo fomenta que nos apoyemos entre todos en el equipo]],#REF!,#REF!)</f>
        <v>#REF!</v>
      </c>
      <c r="N781" t="s">
        <v>22</v>
      </c>
      <c r="O781" t="e">
        <f>+_xlfn.XLOOKUP(tbl_encuesta[[#This Row],[Siento que mi trabajo es reconocido por mi supervisor o jefe directo.]],#REF!,#REF!)</f>
        <v>#REF!</v>
      </c>
      <c r="P781" t="s">
        <v>31</v>
      </c>
      <c r="Q781" t="e">
        <f xml:space="preserve">
_xlfn.XLOOKUP(
tbl_encuesta[[#This Row],[Mi supervisor o jefe directo nos brinda charlas de 5 minutos y comunica las novedades relevantes a mi puesto de trabajo]],#REF!,#REF!
)</f>
        <v>#REF!</v>
      </c>
      <c r="R781" t="s">
        <v>17</v>
      </c>
      <c r="W781" t="s">
        <v>25</v>
      </c>
      <c r="X781" t="s">
        <v>23</v>
      </c>
      <c r="Y781" t="e">
        <f>+_xlfn.XLOOKUP(tbl_encuesta[[#This Row],[Considero a Limtek como un buen lugar para trabajar]],#REF!,#REF!)</f>
        <v>#REF!</v>
      </c>
      <c r="Z781" t="s">
        <v>88</v>
      </c>
      <c r="AA781" t="s">
        <v>2006</v>
      </c>
      <c r="AB781" t="s">
        <v>28</v>
      </c>
      <c r="AC781" s="3" t="s">
        <v>3749</v>
      </c>
      <c r="AD781" s="3" t="s">
        <v>3750</v>
      </c>
      <c r="AE781" t="s">
        <v>69</v>
      </c>
    </row>
    <row r="782" spans="1:31" x14ac:dyDescent="0.25">
      <c r="A782">
        <v>119027534690</v>
      </c>
      <c r="B782">
        <v>462598545</v>
      </c>
      <c r="C782" s="1">
        <v>46019.769849537035</v>
      </c>
      <c r="D782" s="1">
        <v>46019.780370370368</v>
      </c>
      <c r="E782" t="s">
        <v>2007</v>
      </c>
      <c r="F782" t="s">
        <v>23</v>
      </c>
      <c r="G782" t="e">
        <f>+_xlfn.XLOOKUP(tbl_encuesta[[#This Row],[Me siento a gusto con el ambiente de trabajo que se genera en mi equipo.]],#REF!,#REF!)</f>
        <v>#REF!</v>
      </c>
      <c r="H782" t="s">
        <v>23</v>
      </c>
      <c r="I782" t="e">
        <f>+_xlfn.XLOOKUP(tbl_encuesta[[#This Row],[Me siento motivado a dar lo mejor de mí y hacer un buen trabajo]],#REF!,#REF!)</f>
        <v>#REF!</v>
      </c>
      <c r="J782" t="s">
        <v>23</v>
      </c>
      <c r="K782" t="e">
        <f>+_xlfn.XLOOKUP(tbl_encuesta[[#This Row],[Mi supervisor o jefe directo me otorga el soporte que necesito para afrontar cualquier problema que afecte mi trabajo]],#REF!,#REF!)</f>
        <v>#REF!</v>
      </c>
      <c r="L782" t="s">
        <v>23</v>
      </c>
      <c r="M782" t="e">
        <f>+_xlfn.XLOOKUP(tbl_encuesta[[#This Row],[Mi supervisor o jefe directo fomenta que nos apoyemos entre todos en el equipo]],#REF!,#REF!)</f>
        <v>#REF!</v>
      </c>
      <c r="N782" t="s">
        <v>23</v>
      </c>
      <c r="O782" t="e">
        <f>+_xlfn.XLOOKUP(tbl_encuesta[[#This Row],[Siento que mi trabajo es reconocido por mi supervisor o jefe directo.]],#REF!,#REF!)</f>
        <v>#REF!</v>
      </c>
      <c r="P782" t="s">
        <v>31</v>
      </c>
      <c r="Q782" t="e">
        <f xml:space="preserve">
_xlfn.XLOOKUP(
tbl_encuesta[[#This Row],[Mi supervisor o jefe directo nos brinda charlas de 5 minutos y comunica las novedades relevantes a mi puesto de trabajo]],#REF!,#REF!
)</f>
        <v>#REF!</v>
      </c>
      <c r="R782" t="s">
        <v>17</v>
      </c>
      <c r="S782" t="s">
        <v>18</v>
      </c>
      <c r="W782" t="s">
        <v>25</v>
      </c>
      <c r="X782" t="s">
        <v>23</v>
      </c>
      <c r="Y782" t="e">
        <f>+_xlfn.XLOOKUP(tbl_encuesta[[#This Row],[Considero a Limtek como un buen lugar para trabajar]],#REF!,#REF!)</f>
        <v>#REF!</v>
      </c>
      <c r="Z782" t="s">
        <v>2008</v>
      </c>
      <c r="AA782" t="s">
        <v>2009</v>
      </c>
      <c r="AB782" t="s">
        <v>559</v>
      </c>
      <c r="AC782" s="3" t="s">
        <v>3716</v>
      </c>
      <c r="AD782" s="3" t="s">
        <v>1431</v>
      </c>
      <c r="AE782" t="s">
        <v>34</v>
      </c>
    </row>
    <row r="783" spans="1:31" x14ac:dyDescent="0.25">
      <c r="A783">
        <v>119027523143</v>
      </c>
      <c r="B783">
        <v>462598545</v>
      </c>
      <c r="C783" s="1">
        <v>46019.726215277777</v>
      </c>
      <c r="D783" s="1">
        <v>46019.740972222222</v>
      </c>
      <c r="E783" t="s">
        <v>2010</v>
      </c>
      <c r="F783" t="s">
        <v>22</v>
      </c>
      <c r="G783" t="e">
        <f>+_xlfn.XLOOKUP(tbl_encuesta[[#This Row],[Me siento a gusto con el ambiente de trabajo que se genera en mi equipo.]],#REF!,#REF!)</f>
        <v>#REF!</v>
      </c>
      <c r="H783" t="s">
        <v>23</v>
      </c>
      <c r="I783" t="e">
        <f>+_xlfn.XLOOKUP(tbl_encuesta[[#This Row],[Me siento motivado a dar lo mejor de mí y hacer un buen trabajo]],#REF!,#REF!)</f>
        <v>#REF!</v>
      </c>
      <c r="J783" t="s">
        <v>97</v>
      </c>
      <c r="K783" t="e">
        <f>+_xlfn.XLOOKUP(tbl_encuesta[[#This Row],[Mi supervisor o jefe directo me otorga el soporte que necesito para afrontar cualquier problema que afecte mi trabajo]],#REF!,#REF!)</f>
        <v>#REF!</v>
      </c>
      <c r="L783" t="s">
        <v>22</v>
      </c>
      <c r="M783" t="e">
        <f>+_xlfn.XLOOKUP(tbl_encuesta[[#This Row],[Mi supervisor o jefe directo fomenta que nos apoyemos entre todos en el equipo]],#REF!,#REF!)</f>
        <v>#REF!</v>
      </c>
      <c r="N783" t="s">
        <v>22</v>
      </c>
      <c r="O783" t="e">
        <f>+_xlfn.XLOOKUP(tbl_encuesta[[#This Row],[Siento que mi trabajo es reconocido por mi supervisor o jefe directo.]],#REF!,#REF!)</f>
        <v>#REF!</v>
      </c>
      <c r="P783" t="s">
        <v>31</v>
      </c>
      <c r="Q783" t="e">
        <f xml:space="preserve">
_xlfn.XLOOKUP(
tbl_encuesta[[#This Row],[Mi supervisor o jefe directo nos brinda charlas de 5 minutos y comunica las novedades relevantes a mi puesto de trabajo]],#REF!,#REF!
)</f>
        <v>#REF!</v>
      </c>
      <c r="R783" t="s">
        <v>17</v>
      </c>
      <c r="U783" t="s">
        <v>20</v>
      </c>
      <c r="W783" t="s">
        <v>46</v>
      </c>
      <c r="X783" t="s">
        <v>23</v>
      </c>
      <c r="Y783" t="e">
        <f>+_xlfn.XLOOKUP(tbl_encuesta[[#This Row],[Considero a Limtek como un buen lugar para trabajar]],#REF!,#REF!)</f>
        <v>#REF!</v>
      </c>
      <c r="Z783" t="s">
        <v>2011</v>
      </c>
      <c r="AA783" t="s">
        <v>2012</v>
      </c>
      <c r="AB783" t="s">
        <v>559</v>
      </c>
      <c r="AC783" t="s">
        <v>3744</v>
      </c>
      <c r="AD783" t="s">
        <v>3744</v>
      </c>
      <c r="AE783" t="s">
        <v>34</v>
      </c>
    </row>
    <row r="784" spans="1:31" x14ac:dyDescent="0.25">
      <c r="A784">
        <v>119027489710</v>
      </c>
      <c r="B784">
        <v>462598545</v>
      </c>
      <c r="C784" s="1">
        <v>46019.627465277779</v>
      </c>
      <c r="D784" s="1">
        <v>46019.632106481484</v>
      </c>
      <c r="E784" t="s">
        <v>2013</v>
      </c>
      <c r="F784" t="s">
        <v>22</v>
      </c>
      <c r="G784" t="e">
        <f>+_xlfn.XLOOKUP(tbl_encuesta[[#This Row],[Me siento a gusto con el ambiente de trabajo que se genera en mi equipo.]],#REF!,#REF!)</f>
        <v>#REF!</v>
      </c>
      <c r="H784" t="s">
        <v>23</v>
      </c>
      <c r="I784" t="e">
        <f>+_xlfn.XLOOKUP(tbl_encuesta[[#This Row],[Me siento motivado a dar lo mejor de mí y hacer un buen trabajo]],#REF!,#REF!)</f>
        <v>#REF!</v>
      </c>
      <c r="J784" t="s">
        <v>23</v>
      </c>
      <c r="K784" t="e">
        <f>+_xlfn.XLOOKUP(tbl_encuesta[[#This Row],[Mi supervisor o jefe directo me otorga el soporte que necesito para afrontar cualquier problema que afecte mi trabajo]],#REF!,#REF!)</f>
        <v>#REF!</v>
      </c>
      <c r="L784" t="s">
        <v>23</v>
      </c>
      <c r="M784" t="e">
        <f>+_xlfn.XLOOKUP(tbl_encuesta[[#This Row],[Mi supervisor o jefe directo fomenta que nos apoyemos entre todos en el equipo]],#REF!,#REF!)</f>
        <v>#REF!</v>
      </c>
      <c r="N784" t="s">
        <v>23</v>
      </c>
      <c r="O784" t="e">
        <f>+_xlfn.XLOOKUP(tbl_encuesta[[#This Row],[Siento que mi trabajo es reconocido por mi supervisor o jefe directo.]],#REF!,#REF!)</f>
        <v>#REF!</v>
      </c>
      <c r="P784" t="s">
        <v>31</v>
      </c>
      <c r="Q784" t="e">
        <f xml:space="preserve">
_xlfn.XLOOKUP(
tbl_encuesta[[#This Row],[Mi supervisor o jefe directo nos brinda charlas de 5 minutos y comunica las novedades relevantes a mi puesto de trabajo]],#REF!,#REF!
)</f>
        <v>#REF!</v>
      </c>
      <c r="R784" t="s">
        <v>17</v>
      </c>
      <c r="S784" t="s">
        <v>18</v>
      </c>
      <c r="W784" t="s">
        <v>25</v>
      </c>
      <c r="X784" t="s">
        <v>23</v>
      </c>
      <c r="Y784" t="e">
        <f>+_xlfn.XLOOKUP(tbl_encuesta[[#This Row],[Considero a Limtek como un buen lugar para trabajar]],#REF!,#REF!)</f>
        <v>#REF!</v>
      </c>
      <c r="Z784" t="s">
        <v>2014</v>
      </c>
      <c r="AA784" t="s">
        <v>2015</v>
      </c>
      <c r="AB784" t="s">
        <v>559</v>
      </c>
      <c r="AC784" s="3" t="s">
        <v>3716</v>
      </c>
      <c r="AD784" s="3" t="s">
        <v>1431</v>
      </c>
      <c r="AE784" t="s">
        <v>29</v>
      </c>
    </row>
    <row r="785" spans="1:31" x14ac:dyDescent="0.25">
      <c r="A785">
        <v>119027475818</v>
      </c>
      <c r="B785">
        <v>462598545</v>
      </c>
      <c r="C785" s="1">
        <v>46019.584664351853</v>
      </c>
      <c r="D785" s="1">
        <v>46019.589745370373</v>
      </c>
      <c r="E785" t="s">
        <v>2016</v>
      </c>
      <c r="F785" t="s">
        <v>22</v>
      </c>
      <c r="G785" t="e">
        <f>+_xlfn.XLOOKUP(tbl_encuesta[[#This Row],[Me siento a gusto con el ambiente de trabajo que se genera en mi equipo.]],#REF!,#REF!)</f>
        <v>#REF!</v>
      </c>
      <c r="H785" t="s">
        <v>22</v>
      </c>
      <c r="I785" t="e">
        <f>+_xlfn.XLOOKUP(tbl_encuesta[[#This Row],[Me siento motivado a dar lo mejor de mí y hacer un buen trabajo]],#REF!,#REF!)</f>
        <v>#REF!</v>
      </c>
      <c r="J785" t="s">
        <v>22</v>
      </c>
      <c r="K785" t="e">
        <f>+_xlfn.XLOOKUP(tbl_encuesta[[#This Row],[Mi supervisor o jefe directo me otorga el soporte que necesito para afrontar cualquier problema que afecte mi trabajo]],#REF!,#REF!)</f>
        <v>#REF!</v>
      </c>
      <c r="L785" t="s">
        <v>22</v>
      </c>
      <c r="M785" t="e">
        <f>+_xlfn.XLOOKUP(tbl_encuesta[[#This Row],[Mi supervisor o jefe directo fomenta que nos apoyemos entre todos en el equipo]],#REF!,#REF!)</f>
        <v>#REF!</v>
      </c>
      <c r="N785" t="s">
        <v>22</v>
      </c>
      <c r="O785" t="e">
        <f>+_xlfn.XLOOKUP(tbl_encuesta[[#This Row],[Siento que mi trabajo es reconocido por mi supervisor o jefe directo.]],#REF!,#REF!)</f>
        <v>#REF!</v>
      </c>
      <c r="P785" t="s">
        <v>67</v>
      </c>
      <c r="Q785" t="e">
        <f xml:space="preserve">
_xlfn.XLOOKUP(
tbl_encuesta[[#This Row],[Mi supervisor o jefe directo nos brinda charlas de 5 minutos y comunica las novedades relevantes a mi puesto de trabajo]],#REF!,#REF!
)</f>
        <v>#REF!</v>
      </c>
      <c r="T785" t="s">
        <v>19</v>
      </c>
      <c r="U785" t="s">
        <v>20</v>
      </c>
      <c r="W785" t="s">
        <v>25</v>
      </c>
      <c r="X785" t="s">
        <v>22</v>
      </c>
      <c r="Y785" t="e">
        <f>+_xlfn.XLOOKUP(tbl_encuesta[[#This Row],[Considero a Limtek como un buen lugar para trabajar]],#REF!,#REF!)</f>
        <v>#REF!</v>
      </c>
      <c r="Z785" t="s">
        <v>2017</v>
      </c>
      <c r="AA785" t="s">
        <v>2018</v>
      </c>
      <c r="AB785" t="s">
        <v>28</v>
      </c>
      <c r="AC785" s="3" t="s">
        <v>3761</v>
      </c>
      <c r="AD785" s="3" t="s">
        <v>3762</v>
      </c>
      <c r="AE785" t="s">
        <v>34</v>
      </c>
    </row>
    <row r="786" spans="1:31" x14ac:dyDescent="0.25">
      <c r="A786">
        <v>119027452997</v>
      </c>
      <c r="B786">
        <v>462598545</v>
      </c>
      <c r="C786" s="1">
        <v>46019.520324074074</v>
      </c>
      <c r="D786" s="1">
        <v>46019.522916666669</v>
      </c>
      <c r="E786" t="s">
        <v>2019</v>
      </c>
      <c r="F786" t="s">
        <v>22</v>
      </c>
      <c r="G786" t="e">
        <f>+_xlfn.XLOOKUP(tbl_encuesta[[#This Row],[Me siento a gusto con el ambiente de trabajo que se genera en mi equipo.]],#REF!,#REF!)</f>
        <v>#REF!</v>
      </c>
      <c r="H786" t="s">
        <v>22</v>
      </c>
      <c r="I786" t="e">
        <f>+_xlfn.XLOOKUP(tbl_encuesta[[#This Row],[Me siento motivado a dar lo mejor de mí y hacer un buen trabajo]],#REF!,#REF!)</f>
        <v>#REF!</v>
      </c>
      <c r="J786" t="s">
        <v>22</v>
      </c>
      <c r="K786" t="e">
        <f>+_xlfn.XLOOKUP(tbl_encuesta[[#This Row],[Mi supervisor o jefe directo me otorga el soporte que necesito para afrontar cualquier problema que afecte mi trabajo]],#REF!,#REF!)</f>
        <v>#REF!</v>
      </c>
      <c r="L786" t="s">
        <v>22</v>
      </c>
      <c r="M786" t="e">
        <f>+_xlfn.XLOOKUP(tbl_encuesta[[#This Row],[Mi supervisor o jefe directo fomenta que nos apoyemos entre todos en el equipo]],#REF!,#REF!)</f>
        <v>#REF!</v>
      </c>
      <c r="N786" t="s">
        <v>22</v>
      </c>
      <c r="O786" t="e">
        <f>+_xlfn.XLOOKUP(tbl_encuesta[[#This Row],[Siento que mi trabajo es reconocido por mi supervisor o jefe directo.]],#REF!,#REF!)</f>
        <v>#REF!</v>
      </c>
      <c r="P786" t="s">
        <v>31</v>
      </c>
      <c r="Q786" t="e">
        <f xml:space="preserve">
_xlfn.XLOOKUP(
tbl_encuesta[[#This Row],[Mi supervisor o jefe directo nos brinda charlas de 5 minutos y comunica las novedades relevantes a mi puesto de trabajo]],#REF!,#REF!
)</f>
        <v>#REF!</v>
      </c>
      <c r="S786" t="s">
        <v>18</v>
      </c>
      <c r="T786" t="s">
        <v>19</v>
      </c>
      <c r="W786" t="s">
        <v>25</v>
      </c>
      <c r="X786" t="s">
        <v>22</v>
      </c>
      <c r="Y786" t="e">
        <f>+_xlfn.XLOOKUP(tbl_encuesta[[#This Row],[Considero a Limtek como un buen lugar para trabajar]],#REF!,#REF!)</f>
        <v>#REF!</v>
      </c>
      <c r="Z786" t="s">
        <v>2020</v>
      </c>
      <c r="AA786" t="s">
        <v>2021</v>
      </c>
      <c r="AB786" t="s">
        <v>559</v>
      </c>
      <c r="AC786" s="3" t="s">
        <v>3794</v>
      </c>
      <c r="AD786" s="3" t="s">
        <v>3794</v>
      </c>
      <c r="AE786" t="s">
        <v>29</v>
      </c>
    </row>
    <row r="787" spans="1:31" x14ac:dyDescent="0.25">
      <c r="A787">
        <v>119027426865</v>
      </c>
      <c r="B787">
        <v>462598545</v>
      </c>
      <c r="C787" s="1">
        <v>46019.448425925926</v>
      </c>
      <c r="D787" s="1">
        <v>46019.456238425926</v>
      </c>
      <c r="E787" t="s">
        <v>2022</v>
      </c>
      <c r="F787" t="s">
        <v>23</v>
      </c>
      <c r="G787" t="e">
        <f>+_xlfn.XLOOKUP(tbl_encuesta[[#This Row],[Me siento a gusto con el ambiente de trabajo que se genera en mi equipo.]],#REF!,#REF!)</f>
        <v>#REF!</v>
      </c>
      <c r="H787" t="s">
        <v>23</v>
      </c>
      <c r="I787" t="e">
        <f>+_xlfn.XLOOKUP(tbl_encuesta[[#This Row],[Me siento motivado a dar lo mejor de mí y hacer un buen trabajo]],#REF!,#REF!)</f>
        <v>#REF!</v>
      </c>
      <c r="J787" t="s">
        <v>23</v>
      </c>
      <c r="K787" t="e">
        <f>+_xlfn.XLOOKUP(tbl_encuesta[[#This Row],[Mi supervisor o jefe directo me otorga el soporte que necesito para afrontar cualquier problema que afecte mi trabajo]],#REF!,#REF!)</f>
        <v>#REF!</v>
      </c>
      <c r="L787" t="s">
        <v>23</v>
      </c>
      <c r="M787" t="e">
        <f>+_xlfn.XLOOKUP(tbl_encuesta[[#This Row],[Mi supervisor o jefe directo fomenta que nos apoyemos entre todos en el equipo]],#REF!,#REF!)</f>
        <v>#REF!</v>
      </c>
      <c r="N787" t="s">
        <v>23</v>
      </c>
      <c r="O787" t="e">
        <f>+_xlfn.XLOOKUP(tbl_encuesta[[#This Row],[Siento que mi trabajo es reconocido por mi supervisor o jefe directo.]],#REF!,#REF!)</f>
        <v>#REF!</v>
      </c>
      <c r="P787" t="s">
        <v>31</v>
      </c>
      <c r="Q787" t="e">
        <f xml:space="preserve">
_xlfn.XLOOKUP(
tbl_encuesta[[#This Row],[Mi supervisor o jefe directo nos brinda charlas de 5 minutos y comunica las novedades relevantes a mi puesto de trabajo]],#REF!,#REF!
)</f>
        <v>#REF!</v>
      </c>
      <c r="R787" t="s">
        <v>17</v>
      </c>
      <c r="U787" t="s">
        <v>20</v>
      </c>
      <c r="W787" t="s">
        <v>25</v>
      </c>
      <c r="X787" t="s">
        <v>23</v>
      </c>
      <c r="Y787" t="e">
        <f>+_xlfn.XLOOKUP(tbl_encuesta[[#This Row],[Considero a Limtek como un buen lugar para trabajar]],#REF!,#REF!)</f>
        <v>#REF!</v>
      </c>
      <c r="Z787" t="s">
        <v>2023</v>
      </c>
      <c r="AA787" t="s">
        <v>2024</v>
      </c>
      <c r="AB787" t="s">
        <v>28</v>
      </c>
      <c r="AC787" s="3" t="s">
        <v>3705</v>
      </c>
      <c r="AD787" s="3" t="s">
        <v>3706</v>
      </c>
      <c r="AE787" t="s">
        <v>69</v>
      </c>
    </row>
    <row r="788" spans="1:31" x14ac:dyDescent="0.25">
      <c r="A788">
        <v>119027379465</v>
      </c>
      <c r="B788">
        <v>462598545</v>
      </c>
      <c r="C788" s="1">
        <v>46019.309467592589</v>
      </c>
      <c r="D788" s="1">
        <v>46019.321435185186</v>
      </c>
      <c r="E788" t="s">
        <v>2025</v>
      </c>
      <c r="F788" t="s">
        <v>97</v>
      </c>
      <c r="G788" t="e">
        <f>+_xlfn.XLOOKUP(tbl_encuesta[[#This Row],[Me siento a gusto con el ambiente de trabajo que se genera en mi equipo.]],#REF!,#REF!)</f>
        <v>#REF!</v>
      </c>
      <c r="H788" t="s">
        <v>23</v>
      </c>
      <c r="I788" t="e">
        <f>+_xlfn.XLOOKUP(tbl_encuesta[[#This Row],[Me siento motivado a dar lo mejor de mí y hacer un buen trabajo]],#REF!,#REF!)</f>
        <v>#REF!</v>
      </c>
      <c r="J788" t="s">
        <v>97</v>
      </c>
      <c r="K788" t="e">
        <f>+_xlfn.XLOOKUP(tbl_encuesta[[#This Row],[Mi supervisor o jefe directo me otorga el soporte que necesito para afrontar cualquier problema que afecte mi trabajo]],#REF!,#REF!)</f>
        <v>#REF!</v>
      </c>
      <c r="L788" t="s">
        <v>43</v>
      </c>
      <c r="M788" t="e">
        <f>+_xlfn.XLOOKUP(tbl_encuesta[[#This Row],[Mi supervisor o jefe directo fomenta que nos apoyemos entre todos en el equipo]],#REF!,#REF!)</f>
        <v>#REF!</v>
      </c>
      <c r="N788" t="s">
        <v>43</v>
      </c>
      <c r="O788" t="e">
        <f>+_xlfn.XLOOKUP(tbl_encuesta[[#This Row],[Siento que mi trabajo es reconocido por mi supervisor o jefe directo.]],#REF!,#REF!)</f>
        <v>#REF!</v>
      </c>
      <c r="P788" t="s">
        <v>67</v>
      </c>
      <c r="Q788" t="e">
        <f xml:space="preserve">
_xlfn.XLOOKUP(
tbl_encuesta[[#This Row],[Mi supervisor o jefe directo nos brinda charlas de 5 minutos y comunica las novedades relevantes a mi puesto de trabajo]],#REF!,#REF!
)</f>
        <v>#REF!</v>
      </c>
      <c r="T788" t="s">
        <v>19</v>
      </c>
      <c r="U788" t="s">
        <v>20</v>
      </c>
      <c r="W788" t="s">
        <v>25</v>
      </c>
      <c r="X788" t="s">
        <v>23</v>
      </c>
      <c r="Y788" t="e">
        <f>+_xlfn.XLOOKUP(tbl_encuesta[[#This Row],[Considero a Limtek como un buen lugar para trabajar]],#REF!,#REF!)</f>
        <v>#REF!</v>
      </c>
      <c r="Z788" t="s">
        <v>2026</v>
      </c>
      <c r="AA788" t="s">
        <v>2027</v>
      </c>
      <c r="AB788" t="s">
        <v>28</v>
      </c>
      <c r="AC788" s="3" t="s">
        <v>3844</v>
      </c>
      <c r="AD788" s="3" t="s">
        <v>3844</v>
      </c>
      <c r="AE788" t="s">
        <v>61</v>
      </c>
    </row>
    <row r="789" spans="1:31" x14ac:dyDescent="0.25">
      <c r="A789">
        <v>119027334455</v>
      </c>
      <c r="B789">
        <v>462598545</v>
      </c>
      <c r="C789" s="1">
        <v>46019.168958333335</v>
      </c>
      <c r="D789" s="1">
        <v>46019.171979166669</v>
      </c>
      <c r="E789" t="s">
        <v>2028</v>
      </c>
      <c r="F789" t="s">
        <v>23</v>
      </c>
      <c r="G789" t="e">
        <f>+_xlfn.XLOOKUP(tbl_encuesta[[#This Row],[Me siento a gusto con el ambiente de trabajo que se genera en mi equipo.]],#REF!,#REF!)</f>
        <v>#REF!</v>
      </c>
      <c r="H789" t="s">
        <v>23</v>
      </c>
      <c r="I789" t="e">
        <f>+_xlfn.XLOOKUP(tbl_encuesta[[#This Row],[Me siento motivado a dar lo mejor de mí y hacer un buen trabajo]],#REF!,#REF!)</f>
        <v>#REF!</v>
      </c>
      <c r="J789" t="s">
        <v>23</v>
      </c>
      <c r="K789" t="e">
        <f>+_xlfn.XLOOKUP(tbl_encuesta[[#This Row],[Mi supervisor o jefe directo me otorga el soporte que necesito para afrontar cualquier problema que afecte mi trabajo]],#REF!,#REF!)</f>
        <v>#REF!</v>
      </c>
      <c r="L789" t="s">
        <v>23</v>
      </c>
      <c r="M789" t="e">
        <f>+_xlfn.XLOOKUP(tbl_encuesta[[#This Row],[Mi supervisor o jefe directo fomenta que nos apoyemos entre todos en el equipo]],#REF!,#REF!)</f>
        <v>#REF!</v>
      </c>
      <c r="N789" t="s">
        <v>22</v>
      </c>
      <c r="O789" t="e">
        <f>+_xlfn.XLOOKUP(tbl_encuesta[[#This Row],[Siento que mi trabajo es reconocido por mi supervisor o jefe directo.]],#REF!,#REF!)</f>
        <v>#REF!</v>
      </c>
      <c r="P789" t="s">
        <v>31</v>
      </c>
      <c r="Q789" t="e">
        <f xml:space="preserve">
_xlfn.XLOOKUP(
tbl_encuesta[[#This Row],[Mi supervisor o jefe directo nos brinda charlas de 5 minutos y comunica las novedades relevantes a mi puesto de trabajo]],#REF!,#REF!
)</f>
        <v>#REF!</v>
      </c>
      <c r="S789" t="s">
        <v>18</v>
      </c>
      <c r="W789" t="s">
        <v>25</v>
      </c>
      <c r="X789" t="s">
        <v>23</v>
      </c>
      <c r="Y789" t="e">
        <f>+_xlfn.XLOOKUP(tbl_encuesta[[#This Row],[Considero a Limtek como un buen lugar para trabajar]],#REF!,#REF!)</f>
        <v>#REF!</v>
      </c>
      <c r="Z789" t="s">
        <v>2029</v>
      </c>
      <c r="AA789" t="s">
        <v>122</v>
      </c>
      <c r="AB789" t="s">
        <v>559</v>
      </c>
      <c r="AC789" s="3" t="s">
        <v>3794</v>
      </c>
      <c r="AD789" s="3" t="s">
        <v>3794</v>
      </c>
      <c r="AE789" t="s">
        <v>29</v>
      </c>
    </row>
    <row r="790" spans="1:31" x14ac:dyDescent="0.25">
      <c r="A790">
        <v>119027300471</v>
      </c>
      <c r="B790">
        <v>462598545</v>
      </c>
      <c r="C790" s="1">
        <v>46019.012141203704</v>
      </c>
      <c r="D790" s="1">
        <v>46019.018078703702</v>
      </c>
      <c r="E790" t="s">
        <v>2030</v>
      </c>
      <c r="F790" t="s">
        <v>23</v>
      </c>
      <c r="G790" t="e">
        <f>+_xlfn.XLOOKUP(tbl_encuesta[[#This Row],[Me siento a gusto con el ambiente de trabajo que se genera en mi equipo.]],#REF!,#REF!)</f>
        <v>#REF!</v>
      </c>
      <c r="H790" t="s">
        <v>23</v>
      </c>
      <c r="I790" t="e">
        <f>+_xlfn.XLOOKUP(tbl_encuesta[[#This Row],[Me siento motivado a dar lo mejor de mí y hacer un buen trabajo]],#REF!,#REF!)</f>
        <v>#REF!</v>
      </c>
      <c r="J790" t="s">
        <v>23</v>
      </c>
      <c r="K790" t="e">
        <f>+_xlfn.XLOOKUP(tbl_encuesta[[#This Row],[Mi supervisor o jefe directo me otorga el soporte que necesito para afrontar cualquier problema que afecte mi trabajo]],#REF!,#REF!)</f>
        <v>#REF!</v>
      </c>
      <c r="L790" t="s">
        <v>23</v>
      </c>
      <c r="M790" t="e">
        <f>+_xlfn.XLOOKUP(tbl_encuesta[[#This Row],[Mi supervisor o jefe directo fomenta que nos apoyemos entre todos en el equipo]],#REF!,#REF!)</f>
        <v>#REF!</v>
      </c>
      <c r="N790" t="s">
        <v>23</v>
      </c>
      <c r="O790" t="e">
        <f>+_xlfn.XLOOKUP(tbl_encuesta[[#This Row],[Siento que mi trabajo es reconocido por mi supervisor o jefe directo.]],#REF!,#REF!)</f>
        <v>#REF!</v>
      </c>
      <c r="P790" t="s">
        <v>31</v>
      </c>
      <c r="Q790" t="e">
        <f xml:space="preserve">
_xlfn.XLOOKUP(
tbl_encuesta[[#This Row],[Mi supervisor o jefe directo nos brinda charlas de 5 minutos y comunica las novedades relevantes a mi puesto de trabajo]],#REF!,#REF!
)</f>
        <v>#REF!</v>
      </c>
      <c r="R790" t="s">
        <v>17</v>
      </c>
      <c r="T790" t="s">
        <v>19</v>
      </c>
      <c r="W790" t="s">
        <v>25</v>
      </c>
      <c r="X790" t="s">
        <v>23</v>
      </c>
      <c r="Y790" t="e">
        <f>+_xlfn.XLOOKUP(tbl_encuesta[[#This Row],[Considero a Limtek como un buen lugar para trabajar]],#REF!,#REF!)</f>
        <v>#REF!</v>
      </c>
      <c r="Z790" t="s">
        <v>2031</v>
      </c>
      <c r="AA790" t="s">
        <v>122</v>
      </c>
      <c r="AB790" t="s">
        <v>581</v>
      </c>
      <c r="AC790" s="3" t="s">
        <v>3610</v>
      </c>
      <c r="AD790" s="3" t="s">
        <v>3644</v>
      </c>
      <c r="AE790" t="s">
        <v>61</v>
      </c>
    </row>
    <row r="791" spans="1:31" x14ac:dyDescent="0.25">
      <c r="A791">
        <v>119027297421</v>
      </c>
      <c r="B791">
        <v>462598545</v>
      </c>
      <c r="C791" s="1">
        <v>46018.977083333331</v>
      </c>
      <c r="D791" s="1">
        <v>46019.004513888889</v>
      </c>
      <c r="E791" t="s">
        <v>2032</v>
      </c>
      <c r="F791" t="s">
        <v>23</v>
      </c>
      <c r="G791" t="e">
        <f>+_xlfn.XLOOKUP(tbl_encuesta[[#This Row],[Me siento a gusto con el ambiente de trabajo que se genera en mi equipo.]],#REF!,#REF!)</f>
        <v>#REF!</v>
      </c>
      <c r="H791" t="s">
        <v>23</v>
      </c>
      <c r="I791" t="e">
        <f>+_xlfn.XLOOKUP(tbl_encuesta[[#This Row],[Me siento motivado a dar lo mejor de mí y hacer un buen trabajo]],#REF!,#REF!)</f>
        <v>#REF!</v>
      </c>
      <c r="J791" t="s">
        <v>23</v>
      </c>
      <c r="K791" t="e">
        <f>+_xlfn.XLOOKUP(tbl_encuesta[[#This Row],[Mi supervisor o jefe directo me otorga el soporte que necesito para afrontar cualquier problema que afecte mi trabajo]],#REF!,#REF!)</f>
        <v>#REF!</v>
      </c>
      <c r="L791" t="s">
        <v>23</v>
      </c>
      <c r="M791" t="e">
        <f>+_xlfn.XLOOKUP(tbl_encuesta[[#This Row],[Mi supervisor o jefe directo fomenta que nos apoyemos entre todos en el equipo]],#REF!,#REF!)</f>
        <v>#REF!</v>
      </c>
      <c r="N791" t="s">
        <v>23</v>
      </c>
      <c r="O791" t="e">
        <f>+_xlfn.XLOOKUP(tbl_encuesta[[#This Row],[Siento que mi trabajo es reconocido por mi supervisor o jefe directo.]],#REF!,#REF!)</f>
        <v>#REF!</v>
      </c>
      <c r="P791" t="s">
        <v>31</v>
      </c>
      <c r="Q791" t="e">
        <f xml:space="preserve">
_xlfn.XLOOKUP(
tbl_encuesta[[#This Row],[Mi supervisor o jefe directo nos brinda charlas de 5 minutos y comunica las novedades relevantes a mi puesto de trabajo]],#REF!,#REF!
)</f>
        <v>#REF!</v>
      </c>
      <c r="R791" t="s">
        <v>17</v>
      </c>
      <c r="S791" t="s">
        <v>18</v>
      </c>
      <c r="W791" t="s">
        <v>25</v>
      </c>
      <c r="X791" t="s">
        <v>23</v>
      </c>
      <c r="Y791" t="e">
        <f>+_xlfn.XLOOKUP(tbl_encuesta[[#This Row],[Considero a Limtek como un buen lugar para trabajar]],#REF!,#REF!)</f>
        <v>#REF!</v>
      </c>
      <c r="Z791" t="s">
        <v>2033</v>
      </c>
      <c r="AA791" t="s">
        <v>2034</v>
      </c>
      <c r="AB791" t="s">
        <v>581</v>
      </c>
      <c r="AC791" s="3" t="s">
        <v>3610</v>
      </c>
      <c r="AD791" s="3" t="s">
        <v>3610</v>
      </c>
      <c r="AE791" t="s">
        <v>34</v>
      </c>
    </row>
    <row r="792" spans="1:31" x14ac:dyDescent="0.25">
      <c r="A792">
        <v>119027280088</v>
      </c>
      <c r="B792">
        <v>462598545</v>
      </c>
      <c r="C792" s="1">
        <v>46018.91747685185</v>
      </c>
      <c r="D792" s="1">
        <v>46018.930289351854</v>
      </c>
      <c r="E792" t="s">
        <v>2035</v>
      </c>
      <c r="F792" t="s">
        <v>23</v>
      </c>
      <c r="G792" t="e">
        <f>+_xlfn.XLOOKUP(tbl_encuesta[[#This Row],[Me siento a gusto con el ambiente de trabajo que se genera en mi equipo.]],#REF!,#REF!)</f>
        <v>#REF!</v>
      </c>
      <c r="H792" t="s">
        <v>23</v>
      </c>
      <c r="I792" t="e">
        <f>+_xlfn.XLOOKUP(tbl_encuesta[[#This Row],[Me siento motivado a dar lo mejor de mí y hacer un buen trabajo]],#REF!,#REF!)</f>
        <v>#REF!</v>
      </c>
      <c r="J792" t="s">
        <v>22</v>
      </c>
      <c r="K792" t="e">
        <f>+_xlfn.XLOOKUP(tbl_encuesta[[#This Row],[Mi supervisor o jefe directo me otorga el soporte que necesito para afrontar cualquier problema que afecte mi trabajo]],#REF!,#REF!)</f>
        <v>#REF!</v>
      </c>
      <c r="L792" t="s">
        <v>22</v>
      </c>
      <c r="M792" t="e">
        <f>+_xlfn.XLOOKUP(tbl_encuesta[[#This Row],[Mi supervisor o jefe directo fomenta que nos apoyemos entre todos en el equipo]],#REF!,#REF!)</f>
        <v>#REF!</v>
      </c>
      <c r="N792" t="s">
        <v>23</v>
      </c>
      <c r="O792" t="e">
        <f>+_xlfn.XLOOKUP(tbl_encuesta[[#This Row],[Siento que mi trabajo es reconocido por mi supervisor o jefe directo.]],#REF!,#REF!)</f>
        <v>#REF!</v>
      </c>
      <c r="P792" t="s">
        <v>31</v>
      </c>
      <c r="Q792" t="e">
        <f xml:space="preserve">
_xlfn.XLOOKUP(
tbl_encuesta[[#This Row],[Mi supervisor o jefe directo nos brinda charlas de 5 minutos y comunica las novedades relevantes a mi puesto de trabajo]],#REF!,#REF!
)</f>
        <v>#REF!</v>
      </c>
      <c r="R792" t="s">
        <v>17</v>
      </c>
      <c r="W792" t="s">
        <v>25</v>
      </c>
      <c r="X792" t="s">
        <v>23</v>
      </c>
      <c r="Y792" t="e">
        <f>+_xlfn.XLOOKUP(tbl_encuesta[[#This Row],[Considero a Limtek como un buen lugar para trabajar]],#REF!,#REF!)</f>
        <v>#REF!</v>
      </c>
      <c r="Z792" t="s">
        <v>576</v>
      </c>
      <c r="AA792" t="s">
        <v>2036</v>
      </c>
      <c r="AB792" t="s">
        <v>581</v>
      </c>
      <c r="AC792" s="3" t="s">
        <v>3610</v>
      </c>
      <c r="AD792" s="3" t="s">
        <v>3686</v>
      </c>
      <c r="AE792" t="s">
        <v>34</v>
      </c>
    </row>
    <row r="793" spans="1:31" x14ac:dyDescent="0.25">
      <c r="A793">
        <v>119027276396</v>
      </c>
      <c r="B793">
        <v>462598545</v>
      </c>
      <c r="C793" s="1">
        <v>46018.90556712963</v>
      </c>
      <c r="D793" s="1">
        <v>46018.91605324074</v>
      </c>
      <c r="E793" t="s">
        <v>677</v>
      </c>
      <c r="F793" t="s">
        <v>23</v>
      </c>
      <c r="G793" t="e">
        <f>+_xlfn.XLOOKUP(tbl_encuesta[[#This Row],[Me siento a gusto con el ambiente de trabajo que se genera en mi equipo.]],#REF!,#REF!)</f>
        <v>#REF!</v>
      </c>
      <c r="H793" t="s">
        <v>23</v>
      </c>
      <c r="I793" t="e">
        <f>+_xlfn.XLOOKUP(tbl_encuesta[[#This Row],[Me siento motivado a dar lo mejor de mí y hacer un buen trabajo]],#REF!,#REF!)</f>
        <v>#REF!</v>
      </c>
      <c r="J793" t="s">
        <v>23</v>
      </c>
      <c r="K793" t="e">
        <f>+_xlfn.XLOOKUP(tbl_encuesta[[#This Row],[Mi supervisor o jefe directo me otorga el soporte que necesito para afrontar cualquier problema que afecte mi trabajo]],#REF!,#REF!)</f>
        <v>#REF!</v>
      </c>
      <c r="L793" t="s">
        <v>23</v>
      </c>
      <c r="M793" t="e">
        <f>+_xlfn.XLOOKUP(tbl_encuesta[[#This Row],[Mi supervisor o jefe directo fomenta que nos apoyemos entre todos en el equipo]],#REF!,#REF!)</f>
        <v>#REF!</v>
      </c>
      <c r="N793" t="s">
        <v>23</v>
      </c>
      <c r="O793" t="e">
        <f>+_xlfn.XLOOKUP(tbl_encuesta[[#This Row],[Siento que mi trabajo es reconocido por mi supervisor o jefe directo.]],#REF!,#REF!)</f>
        <v>#REF!</v>
      </c>
      <c r="P793" t="s">
        <v>31</v>
      </c>
      <c r="Q793" t="e">
        <f xml:space="preserve">
_xlfn.XLOOKUP(
tbl_encuesta[[#This Row],[Mi supervisor o jefe directo nos brinda charlas de 5 minutos y comunica las novedades relevantes a mi puesto de trabajo]],#REF!,#REF!
)</f>
        <v>#REF!</v>
      </c>
      <c r="R793" t="s">
        <v>17</v>
      </c>
      <c r="W793" t="s">
        <v>25</v>
      </c>
      <c r="X793" t="s">
        <v>23</v>
      </c>
      <c r="Y793" t="e">
        <f>+_xlfn.XLOOKUP(tbl_encuesta[[#This Row],[Considero a Limtek como un buen lugar para trabajar]],#REF!,#REF!)</f>
        <v>#REF!</v>
      </c>
      <c r="Z793" t="s">
        <v>576</v>
      </c>
      <c r="AA793" t="s">
        <v>44</v>
      </c>
      <c r="AB793" t="s">
        <v>581</v>
      </c>
      <c r="AC793" s="3" t="s">
        <v>3610</v>
      </c>
      <c r="AD793" s="3" t="s">
        <v>3626</v>
      </c>
      <c r="AE793" t="s">
        <v>61</v>
      </c>
    </row>
    <row r="794" spans="1:31" x14ac:dyDescent="0.25">
      <c r="A794">
        <v>119027273093</v>
      </c>
      <c r="B794">
        <v>462598545</v>
      </c>
      <c r="C794" s="1">
        <v>46018.896423611113</v>
      </c>
      <c r="D794" s="1">
        <v>46018.903240740743</v>
      </c>
      <c r="E794" t="s">
        <v>1980</v>
      </c>
      <c r="F794" t="s">
        <v>23</v>
      </c>
      <c r="G794" t="e">
        <f>+_xlfn.XLOOKUP(tbl_encuesta[[#This Row],[Me siento a gusto con el ambiente de trabajo que se genera en mi equipo.]],#REF!,#REF!)</f>
        <v>#REF!</v>
      </c>
      <c r="H794" t="s">
        <v>22</v>
      </c>
      <c r="I794" t="e">
        <f>+_xlfn.XLOOKUP(tbl_encuesta[[#This Row],[Me siento motivado a dar lo mejor de mí y hacer un buen trabajo]],#REF!,#REF!)</f>
        <v>#REF!</v>
      </c>
      <c r="J794" t="s">
        <v>23</v>
      </c>
      <c r="K794" t="e">
        <f>+_xlfn.XLOOKUP(tbl_encuesta[[#This Row],[Mi supervisor o jefe directo me otorga el soporte que necesito para afrontar cualquier problema que afecte mi trabajo]],#REF!,#REF!)</f>
        <v>#REF!</v>
      </c>
      <c r="L794" t="s">
        <v>23</v>
      </c>
      <c r="M794" t="e">
        <f>+_xlfn.XLOOKUP(tbl_encuesta[[#This Row],[Mi supervisor o jefe directo fomenta que nos apoyemos entre todos en el equipo]],#REF!,#REF!)</f>
        <v>#REF!</v>
      </c>
      <c r="N794" t="s">
        <v>23</v>
      </c>
      <c r="O794" t="e">
        <f>+_xlfn.XLOOKUP(tbl_encuesta[[#This Row],[Siento que mi trabajo es reconocido por mi supervisor o jefe directo.]],#REF!,#REF!)</f>
        <v>#REF!</v>
      </c>
      <c r="P794" t="s">
        <v>31</v>
      </c>
      <c r="Q794" t="e">
        <f xml:space="preserve">
_xlfn.XLOOKUP(
tbl_encuesta[[#This Row],[Mi supervisor o jefe directo nos brinda charlas de 5 minutos y comunica las novedades relevantes a mi puesto de trabajo]],#REF!,#REF!
)</f>
        <v>#REF!</v>
      </c>
      <c r="R794" t="s">
        <v>17</v>
      </c>
      <c r="S794" t="s">
        <v>18</v>
      </c>
      <c r="W794" t="s">
        <v>25</v>
      </c>
      <c r="X794" t="s">
        <v>23</v>
      </c>
      <c r="Y794" t="e">
        <f>+_xlfn.XLOOKUP(tbl_encuesta[[#This Row],[Considero a Limtek como un buen lugar para trabajar]],#REF!,#REF!)</f>
        <v>#REF!</v>
      </c>
      <c r="Z794" t="s">
        <v>1029</v>
      </c>
      <c r="AA794" t="s">
        <v>2037</v>
      </c>
      <c r="AB794" t="s">
        <v>559</v>
      </c>
      <c r="AC794" s="3" t="s">
        <v>3834</v>
      </c>
      <c r="AD794" s="3" t="s">
        <v>3834</v>
      </c>
      <c r="AE794" t="s">
        <v>61</v>
      </c>
    </row>
    <row r="795" spans="1:31" x14ac:dyDescent="0.25">
      <c r="A795">
        <v>119027266421</v>
      </c>
      <c r="B795">
        <v>462598545</v>
      </c>
      <c r="C795" s="1">
        <v>46018.878310185188</v>
      </c>
      <c r="D795" s="1">
        <v>46018.879212962966</v>
      </c>
      <c r="E795" t="s">
        <v>2038</v>
      </c>
      <c r="F795" t="s">
        <v>23</v>
      </c>
      <c r="G795" t="e">
        <f>+_xlfn.XLOOKUP(tbl_encuesta[[#This Row],[Me siento a gusto con el ambiente de trabajo que se genera en mi equipo.]],#REF!,#REF!)</f>
        <v>#REF!</v>
      </c>
      <c r="H795" t="s">
        <v>23</v>
      </c>
      <c r="I795" t="e">
        <f>+_xlfn.XLOOKUP(tbl_encuesta[[#This Row],[Me siento motivado a dar lo mejor de mí y hacer un buen trabajo]],#REF!,#REF!)</f>
        <v>#REF!</v>
      </c>
      <c r="J795" t="s">
        <v>22</v>
      </c>
      <c r="K795" t="e">
        <f>+_xlfn.XLOOKUP(tbl_encuesta[[#This Row],[Mi supervisor o jefe directo me otorga el soporte que necesito para afrontar cualquier problema que afecte mi trabajo]],#REF!,#REF!)</f>
        <v>#REF!</v>
      </c>
      <c r="L795" t="s">
        <v>23</v>
      </c>
      <c r="M795" t="e">
        <f>+_xlfn.XLOOKUP(tbl_encuesta[[#This Row],[Mi supervisor o jefe directo fomenta que nos apoyemos entre todos en el equipo]],#REF!,#REF!)</f>
        <v>#REF!</v>
      </c>
      <c r="N795" t="s">
        <v>23</v>
      </c>
      <c r="O795" t="e">
        <f>+_xlfn.XLOOKUP(tbl_encuesta[[#This Row],[Siento que mi trabajo es reconocido por mi supervisor o jefe directo.]],#REF!,#REF!)</f>
        <v>#REF!</v>
      </c>
      <c r="P795" t="s">
        <v>31</v>
      </c>
      <c r="Q795" t="e">
        <f xml:space="preserve">
_xlfn.XLOOKUP(
tbl_encuesta[[#This Row],[Mi supervisor o jefe directo nos brinda charlas de 5 minutos y comunica las novedades relevantes a mi puesto de trabajo]],#REF!,#REF!
)</f>
        <v>#REF!</v>
      </c>
      <c r="T795" t="s">
        <v>19</v>
      </c>
      <c r="U795" t="s">
        <v>20</v>
      </c>
      <c r="W795" t="s">
        <v>25</v>
      </c>
      <c r="X795" t="s">
        <v>23</v>
      </c>
      <c r="Y795" t="e">
        <f>+_xlfn.XLOOKUP(tbl_encuesta[[#This Row],[Considero a Limtek como un buen lugar para trabajar]],#REF!,#REF!)</f>
        <v>#REF!</v>
      </c>
      <c r="Z795" t="s">
        <v>576</v>
      </c>
      <c r="AA795" t="s">
        <v>1299</v>
      </c>
      <c r="AB795" t="s">
        <v>559</v>
      </c>
      <c r="AC795" s="3" t="s">
        <v>3716</v>
      </c>
      <c r="AD795" s="3" t="s">
        <v>3716</v>
      </c>
      <c r="AE795" t="s">
        <v>34</v>
      </c>
    </row>
    <row r="796" spans="1:31" x14ac:dyDescent="0.25">
      <c r="A796">
        <v>119027255023</v>
      </c>
      <c r="B796">
        <v>462598545</v>
      </c>
      <c r="C796" s="1">
        <v>46018.820567129631</v>
      </c>
      <c r="D796" s="1">
        <v>46018.840046296296</v>
      </c>
      <c r="E796" t="s">
        <v>2039</v>
      </c>
      <c r="F796" t="s">
        <v>23</v>
      </c>
      <c r="G796" t="e">
        <f>+_xlfn.XLOOKUP(tbl_encuesta[[#This Row],[Me siento a gusto con el ambiente de trabajo que se genera en mi equipo.]],#REF!,#REF!)</f>
        <v>#REF!</v>
      </c>
      <c r="H796" t="s">
        <v>23</v>
      </c>
      <c r="I796" t="e">
        <f>+_xlfn.XLOOKUP(tbl_encuesta[[#This Row],[Me siento motivado a dar lo mejor de mí y hacer un buen trabajo]],#REF!,#REF!)</f>
        <v>#REF!</v>
      </c>
      <c r="J796" t="s">
        <v>23</v>
      </c>
      <c r="K796" t="e">
        <f>+_xlfn.XLOOKUP(tbl_encuesta[[#This Row],[Mi supervisor o jefe directo me otorga el soporte que necesito para afrontar cualquier problema que afecte mi trabajo]],#REF!,#REF!)</f>
        <v>#REF!</v>
      </c>
      <c r="L796" t="s">
        <v>23</v>
      </c>
      <c r="M796" t="e">
        <f>+_xlfn.XLOOKUP(tbl_encuesta[[#This Row],[Mi supervisor o jefe directo fomenta que nos apoyemos entre todos en el equipo]],#REF!,#REF!)</f>
        <v>#REF!</v>
      </c>
      <c r="N796" t="s">
        <v>23</v>
      </c>
      <c r="O796" t="e">
        <f>+_xlfn.XLOOKUP(tbl_encuesta[[#This Row],[Siento que mi trabajo es reconocido por mi supervisor o jefe directo.]],#REF!,#REF!)</f>
        <v>#REF!</v>
      </c>
      <c r="P796" t="s">
        <v>31</v>
      </c>
      <c r="Q796" t="e">
        <f xml:space="preserve">
_xlfn.XLOOKUP(
tbl_encuesta[[#This Row],[Mi supervisor o jefe directo nos brinda charlas de 5 minutos y comunica las novedades relevantes a mi puesto de trabajo]],#REF!,#REF!
)</f>
        <v>#REF!</v>
      </c>
      <c r="R796" t="s">
        <v>17</v>
      </c>
      <c r="T796" t="s">
        <v>19</v>
      </c>
      <c r="W796" t="s">
        <v>25</v>
      </c>
      <c r="X796" t="s">
        <v>23</v>
      </c>
      <c r="Y796" t="e">
        <f>+_xlfn.XLOOKUP(tbl_encuesta[[#This Row],[Considero a Limtek como un buen lugar para trabajar]],#REF!,#REF!)</f>
        <v>#REF!</v>
      </c>
      <c r="Z796" t="s">
        <v>2040</v>
      </c>
      <c r="AA796" t="s">
        <v>2041</v>
      </c>
      <c r="AB796" t="s">
        <v>28</v>
      </c>
      <c r="AC796" s="3" t="s">
        <v>3735</v>
      </c>
      <c r="AD796" s="3" t="s">
        <v>3841</v>
      </c>
      <c r="AE796" t="s">
        <v>34</v>
      </c>
    </row>
    <row r="797" spans="1:31" x14ac:dyDescent="0.25">
      <c r="A797">
        <v>119027253659</v>
      </c>
      <c r="B797">
        <v>462598545</v>
      </c>
      <c r="C797" s="1">
        <v>46018.827037037037</v>
      </c>
      <c r="D797" s="1">
        <v>46018.835706018515</v>
      </c>
      <c r="E797" t="s">
        <v>2042</v>
      </c>
      <c r="F797" t="s">
        <v>23</v>
      </c>
      <c r="G797" t="e">
        <f>+_xlfn.XLOOKUP(tbl_encuesta[[#This Row],[Me siento a gusto con el ambiente de trabajo que se genera en mi equipo.]],#REF!,#REF!)</f>
        <v>#REF!</v>
      </c>
      <c r="H797" t="s">
        <v>23</v>
      </c>
      <c r="I797" t="e">
        <f>+_xlfn.XLOOKUP(tbl_encuesta[[#This Row],[Me siento motivado a dar lo mejor de mí y hacer un buen trabajo]],#REF!,#REF!)</f>
        <v>#REF!</v>
      </c>
      <c r="J797" t="s">
        <v>23</v>
      </c>
      <c r="K797" t="e">
        <f>+_xlfn.XLOOKUP(tbl_encuesta[[#This Row],[Mi supervisor o jefe directo me otorga el soporte que necesito para afrontar cualquier problema que afecte mi trabajo]],#REF!,#REF!)</f>
        <v>#REF!</v>
      </c>
      <c r="L797" t="s">
        <v>23</v>
      </c>
      <c r="M797" t="e">
        <f>+_xlfn.XLOOKUP(tbl_encuesta[[#This Row],[Mi supervisor o jefe directo fomenta que nos apoyemos entre todos en el equipo]],#REF!,#REF!)</f>
        <v>#REF!</v>
      </c>
      <c r="N797" t="s">
        <v>22</v>
      </c>
      <c r="O797" t="e">
        <f>+_xlfn.XLOOKUP(tbl_encuesta[[#This Row],[Siento que mi trabajo es reconocido por mi supervisor o jefe directo.]],#REF!,#REF!)</f>
        <v>#REF!</v>
      </c>
      <c r="P797" t="s">
        <v>24</v>
      </c>
      <c r="Q797" t="e">
        <f xml:space="preserve">
_xlfn.XLOOKUP(
tbl_encuesta[[#This Row],[Mi supervisor o jefe directo nos brinda charlas de 5 minutos y comunica las novedades relevantes a mi puesto de trabajo]],#REF!,#REF!
)</f>
        <v>#REF!</v>
      </c>
      <c r="R797" t="s">
        <v>17</v>
      </c>
      <c r="W797" t="s">
        <v>25</v>
      </c>
      <c r="X797" t="s">
        <v>23</v>
      </c>
      <c r="Y797" t="e">
        <f>+_xlfn.XLOOKUP(tbl_encuesta[[#This Row],[Considero a Limtek como un buen lugar para trabajar]],#REF!,#REF!)</f>
        <v>#REF!</v>
      </c>
      <c r="Z797" t="s">
        <v>576</v>
      </c>
      <c r="AA797" t="s">
        <v>2043</v>
      </c>
      <c r="AB797" t="s">
        <v>28</v>
      </c>
      <c r="AC797" s="3" t="s">
        <v>3705</v>
      </c>
      <c r="AD797" s="3" t="s">
        <v>3709</v>
      </c>
      <c r="AE797" t="s">
        <v>29</v>
      </c>
    </row>
    <row r="798" spans="1:31" x14ac:dyDescent="0.25">
      <c r="A798">
        <v>119027245657</v>
      </c>
      <c r="B798">
        <v>462598545</v>
      </c>
      <c r="C798" s="1">
        <v>46018.804606481484</v>
      </c>
      <c r="D798" s="1">
        <v>46018.809710648151</v>
      </c>
      <c r="E798" t="s">
        <v>2044</v>
      </c>
      <c r="F798" t="s">
        <v>23</v>
      </c>
      <c r="G798" t="e">
        <f>+_xlfn.XLOOKUP(tbl_encuesta[[#This Row],[Me siento a gusto con el ambiente de trabajo que se genera en mi equipo.]],#REF!,#REF!)</f>
        <v>#REF!</v>
      </c>
      <c r="H798" t="s">
        <v>23</v>
      </c>
      <c r="I798" t="e">
        <f>+_xlfn.XLOOKUP(tbl_encuesta[[#This Row],[Me siento motivado a dar lo mejor de mí y hacer un buen trabajo]],#REF!,#REF!)</f>
        <v>#REF!</v>
      </c>
      <c r="J798" t="s">
        <v>23</v>
      </c>
      <c r="K798" t="e">
        <f>+_xlfn.XLOOKUP(tbl_encuesta[[#This Row],[Mi supervisor o jefe directo me otorga el soporte que necesito para afrontar cualquier problema que afecte mi trabajo]],#REF!,#REF!)</f>
        <v>#REF!</v>
      </c>
      <c r="L798" t="s">
        <v>23</v>
      </c>
      <c r="M798" t="e">
        <f>+_xlfn.XLOOKUP(tbl_encuesta[[#This Row],[Mi supervisor o jefe directo fomenta que nos apoyemos entre todos en el equipo]],#REF!,#REF!)</f>
        <v>#REF!</v>
      </c>
      <c r="N798" t="s">
        <v>23</v>
      </c>
      <c r="O798" t="e">
        <f>+_xlfn.XLOOKUP(tbl_encuesta[[#This Row],[Siento que mi trabajo es reconocido por mi supervisor o jefe directo.]],#REF!,#REF!)</f>
        <v>#REF!</v>
      </c>
      <c r="P798" t="s">
        <v>31</v>
      </c>
      <c r="Q798" t="e">
        <f xml:space="preserve">
_xlfn.XLOOKUP(
tbl_encuesta[[#This Row],[Mi supervisor o jefe directo nos brinda charlas de 5 minutos y comunica las novedades relevantes a mi puesto de trabajo]],#REF!,#REF!
)</f>
        <v>#REF!</v>
      </c>
      <c r="S798" t="s">
        <v>18</v>
      </c>
      <c r="U798" t="s">
        <v>20</v>
      </c>
      <c r="W798" t="s">
        <v>25</v>
      </c>
      <c r="X798" t="s">
        <v>23</v>
      </c>
      <c r="Y798" t="e">
        <f>+_xlfn.XLOOKUP(tbl_encuesta[[#This Row],[Considero a Limtek como un buen lugar para trabajar]],#REF!,#REF!)</f>
        <v>#REF!</v>
      </c>
      <c r="Z798" t="s">
        <v>2045</v>
      </c>
      <c r="AA798" t="s">
        <v>2046</v>
      </c>
      <c r="AB798" t="s">
        <v>28</v>
      </c>
      <c r="AC798" s="3" t="s">
        <v>3716</v>
      </c>
      <c r="AD798" s="3" t="s">
        <v>3716</v>
      </c>
      <c r="AE798" t="s">
        <v>69</v>
      </c>
    </row>
    <row r="799" spans="1:31" x14ac:dyDescent="0.25">
      <c r="A799">
        <v>119027224484</v>
      </c>
      <c r="B799">
        <v>462598545</v>
      </c>
      <c r="C799" s="1">
        <v>46018.741828703707</v>
      </c>
      <c r="D799" s="1">
        <v>46018.743113425924</v>
      </c>
      <c r="E799" t="s">
        <v>2047</v>
      </c>
      <c r="F799" t="s">
        <v>23</v>
      </c>
      <c r="G799" t="e">
        <f>+_xlfn.XLOOKUP(tbl_encuesta[[#This Row],[Me siento a gusto con el ambiente de trabajo que se genera en mi equipo.]],#REF!,#REF!)</f>
        <v>#REF!</v>
      </c>
      <c r="H799" t="s">
        <v>23</v>
      </c>
      <c r="I799" t="e">
        <f>+_xlfn.XLOOKUP(tbl_encuesta[[#This Row],[Me siento motivado a dar lo mejor de mí y hacer un buen trabajo]],#REF!,#REF!)</f>
        <v>#REF!</v>
      </c>
      <c r="J799" t="s">
        <v>23</v>
      </c>
      <c r="K799" t="e">
        <f>+_xlfn.XLOOKUP(tbl_encuesta[[#This Row],[Mi supervisor o jefe directo me otorga el soporte que necesito para afrontar cualquier problema que afecte mi trabajo]],#REF!,#REF!)</f>
        <v>#REF!</v>
      </c>
      <c r="L799" t="s">
        <v>23</v>
      </c>
      <c r="M799" t="e">
        <f>+_xlfn.XLOOKUP(tbl_encuesta[[#This Row],[Mi supervisor o jefe directo fomenta que nos apoyemos entre todos en el equipo]],#REF!,#REF!)</f>
        <v>#REF!</v>
      </c>
      <c r="N799" t="s">
        <v>23</v>
      </c>
      <c r="O799" t="e">
        <f>+_xlfn.XLOOKUP(tbl_encuesta[[#This Row],[Siento que mi trabajo es reconocido por mi supervisor o jefe directo.]],#REF!,#REF!)</f>
        <v>#REF!</v>
      </c>
      <c r="P799" t="s">
        <v>31</v>
      </c>
      <c r="Q799" t="e">
        <f xml:space="preserve">
_xlfn.XLOOKUP(
tbl_encuesta[[#This Row],[Mi supervisor o jefe directo nos brinda charlas de 5 minutos y comunica las novedades relevantes a mi puesto de trabajo]],#REF!,#REF!
)</f>
        <v>#REF!</v>
      </c>
      <c r="R799" t="s">
        <v>17</v>
      </c>
      <c r="S799" t="s">
        <v>18</v>
      </c>
      <c r="W799" t="s">
        <v>25</v>
      </c>
      <c r="X799" t="s">
        <v>23</v>
      </c>
      <c r="Y799" t="e">
        <f>+_xlfn.XLOOKUP(tbl_encuesta[[#This Row],[Considero a Limtek como un buen lugar para trabajar]],#REF!,#REF!)</f>
        <v>#REF!</v>
      </c>
      <c r="Z799" t="s">
        <v>2048</v>
      </c>
      <c r="AA799" t="s">
        <v>2049</v>
      </c>
      <c r="AB799" t="s">
        <v>559</v>
      </c>
      <c r="AC799" s="3" t="s">
        <v>3794</v>
      </c>
      <c r="AD799" s="3" t="s">
        <v>3794</v>
      </c>
      <c r="AE799" t="s">
        <v>34</v>
      </c>
    </row>
    <row r="800" spans="1:31" x14ac:dyDescent="0.25">
      <c r="A800">
        <v>119027223682</v>
      </c>
      <c r="B800">
        <v>462598545</v>
      </c>
      <c r="C800" s="1">
        <v>46018.731944444444</v>
      </c>
      <c r="D800" s="1">
        <v>46018.740636574075</v>
      </c>
      <c r="E800" t="s">
        <v>2047</v>
      </c>
      <c r="F800" t="s">
        <v>23</v>
      </c>
      <c r="G800" t="e">
        <f>+_xlfn.XLOOKUP(tbl_encuesta[[#This Row],[Me siento a gusto con el ambiente de trabajo que se genera en mi equipo.]],#REF!,#REF!)</f>
        <v>#REF!</v>
      </c>
      <c r="H800" t="s">
        <v>23</v>
      </c>
      <c r="I800" t="e">
        <f>+_xlfn.XLOOKUP(tbl_encuesta[[#This Row],[Me siento motivado a dar lo mejor de mí y hacer un buen trabajo]],#REF!,#REF!)</f>
        <v>#REF!</v>
      </c>
      <c r="J800" t="s">
        <v>23</v>
      </c>
      <c r="K800" t="e">
        <f>+_xlfn.XLOOKUP(tbl_encuesta[[#This Row],[Mi supervisor o jefe directo me otorga el soporte que necesito para afrontar cualquier problema que afecte mi trabajo]],#REF!,#REF!)</f>
        <v>#REF!</v>
      </c>
      <c r="L800" t="s">
        <v>23</v>
      </c>
      <c r="M800" t="e">
        <f>+_xlfn.XLOOKUP(tbl_encuesta[[#This Row],[Mi supervisor o jefe directo fomenta que nos apoyemos entre todos en el equipo]],#REF!,#REF!)</f>
        <v>#REF!</v>
      </c>
      <c r="N800" t="s">
        <v>23</v>
      </c>
      <c r="O800" t="e">
        <f>+_xlfn.XLOOKUP(tbl_encuesta[[#This Row],[Siento que mi trabajo es reconocido por mi supervisor o jefe directo.]],#REF!,#REF!)</f>
        <v>#REF!</v>
      </c>
      <c r="P800" t="s">
        <v>31</v>
      </c>
      <c r="Q800" t="e">
        <f xml:space="preserve">
_xlfn.XLOOKUP(
tbl_encuesta[[#This Row],[Mi supervisor o jefe directo nos brinda charlas de 5 minutos y comunica las novedades relevantes a mi puesto de trabajo]],#REF!,#REF!
)</f>
        <v>#REF!</v>
      </c>
      <c r="R800" t="s">
        <v>17</v>
      </c>
      <c r="S800" t="s">
        <v>18</v>
      </c>
      <c r="W800" t="s">
        <v>25</v>
      </c>
      <c r="X800" t="s">
        <v>23</v>
      </c>
      <c r="Y800" t="e">
        <f>+_xlfn.XLOOKUP(tbl_encuesta[[#This Row],[Considero a Limtek como un buen lugar para trabajar]],#REF!,#REF!)</f>
        <v>#REF!</v>
      </c>
      <c r="Z800" t="s">
        <v>2050</v>
      </c>
      <c r="AA800" t="s">
        <v>2049</v>
      </c>
      <c r="AB800" t="s">
        <v>559</v>
      </c>
      <c r="AC800" s="3" t="s">
        <v>3794</v>
      </c>
      <c r="AD800" s="3" t="s">
        <v>3794</v>
      </c>
      <c r="AE800" t="s">
        <v>34</v>
      </c>
    </row>
    <row r="801" spans="1:31" x14ac:dyDescent="0.25">
      <c r="A801">
        <v>119027218386</v>
      </c>
      <c r="B801">
        <v>462598545</v>
      </c>
      <c r="C801" s="1">
        <v>46018.722546296296</v>
      </c>
      <c r="D801" s="1">
        <v>46018.724236111113</v>
      </c>
      <c r="E801" t="s">
        <v>2051</v>
      </c>
      <c r="F801" t="s">
        <v>23</v>
      </c>
      <c r="G801" t="e">
        <f>+_xlfn.XLOOKUP(tbl_encuesta[[#This Row],[Me siento a gusto con el ambiente de trabajo que se genera en mi equipo.]],#REF!,#REF!)</f>
        <v>#REF!</v>
      </c>
      <c r="H801" t="s">
        <v>23</v>
      </c>
      <c r="I801" t="e">
        <f>+_xlfn.XLOOKUP(tbl_encuesta[[#This Row],[Me siento motivado a dar lo mejor de mí y hacer un buen trabajo]],#REF!,#REF!)</f>
        <v>#REF!</v>
      </c>
      <c r="J801" t="s">
        <v>23</v>
      </c>
      <c r="K801" t="e">
        <f>+_xlfn.XLOOKUP(tbl_encuesta[[#This Row],[Mi supervisor o jefe directo me otorga el soporte que necesito para afrontar cualquier problema que afecte mi trabajo]],#REF!,#REF!)</f>
        <v>#REF!</v>
      </c>
      <c r="L801" t="s">
        <v>23</v>
      </c>
      <c r="M801" t="e">
        <f>+_xlfn.XLOOKUP(tbl_encuesta[[#This Row],[Mi supervisor o jefe directo fomenta que nos apoyemos entre todos en el equipo]],#REF!,#REF!)</f>
        <v>#REF!</v>
      </c>
      <c r="N801" t="s">
        <v>23</v>
      </c>
      <c r="O801" t="e">
        <f>+_xlfn.XLOOKUP(tbl_encuesta[[#This Row],[Siento que mi trabajo es reconocido por mi supervisor o jefe directo.]],#REF!,#REF!)</f>
        <v>#REF!</v>
      </c>
      <c r="P801" t="s">
        <v>31</v>
      </c>
      <c r="Q801" t="e">
        <f xml:space="preserve">
_xlfn.XLOOKUP(
tbl_encuesta[[#This Row],[Mi supervisor o jefe directo nos brinda charlas de 5 minutos y comunica las novedades relevantes a mi puesto de trabajo]],#REF!,#REF!
)</f>
        <v>#REF!</v>
      </c>
      <c r="R801" t="s">
        <v>17</v>
      </c>
      <c r="W801" t="s">
        <v>25</v>
      </c>
      <c r="X801" t="s">
        <v>23</v>
      </c>
      <c r="Y801" t="e">
        <f>+_xlfn.XLOOKUP(tbl_encuesta[[#This Row],[Considero a Limtek como un buen lugar para trabajar]],#REF!,#REF!)</f>
        <v>#REF!</v>
      </c>
      <c r="Z801" t="s">
        <v>504</v>
      </c>
      <c r="AA801" t="s">
        <v>2052</v>
      </c>
      <c r="AB801" t="s">
        <v>28</v>
      </c>
      <c r="AC801" s="3" t="s">
        <v>3729</v>
      </c>
      <c r="AD801" s="3" t="s">
        <v>3729</v>
      </c>
      <c r="AE801" t="s">
        <v>55</v>
      </c>
    </row>
    <row r="802" spans="1:31" x14ac:dyDescent="0.25">
      <c r="A802">
        <v>119027205343</v>
      </c>
      <c r="B802">
        <v>462598545</v>
      </c>
      <c r="C802" s="1">
        <v>46018.68173611111</v>
      </c>
      <c r="D802" s="1">
        <v>46018.685497685183</v>
      </c>
      <c r="E802" t="s">
        <v>2053</v>
      </c>
      <c r="F802" t="s">
        <v>23</v>
      </c>
      <c r="G802" t="e">
        <f>+_xlfn.XLOOKUP(tbl_encuesta[[#This Row],[Me siento a gusto con el ambiente de trabajo que se genera en mi equipo.]],#REF!,#REF!)</f>
        <v>#REF!</v>
      </c>
      <c r="H802" t="s">
        <v>23</v>
      </c>
      <c r="I802" t="e">
        <f>+_xlfn.XLOOKUP(tbl_encuesta[[#This Row],[Me siento motivado a dar lo mejor de mí y hacer un buen trabajo]],#REF!,#REF!)</f>
        <v>#REF!</v>
      </c>
      <c r="J802" t="s">
        <v>23</v>
      </c>
      <c r="K802" t="e">
        <f>+_xlfn.XLOOKUP(tbl_encuesta[[#This Row],[Mi supervisor o jefe directo me otorga el soporte que necesito para afrontar cualquier problema que afecte mi trabajo]],#REF!,#REF!)</f>
        <v>#REF!</v>
      </c>
      <c r="L802" t="s">
        <v>23</v>
      </c>
      <c r="M802" t="e">
        <f>+_xlfn.XLOOKUP(tbl_encuesta[[#This Row],[Mi supervisor o jefe directo fomenta que nos apoyemos entre todos en el equipo]],#REF!,#REF!)</f>
        <v>#REF!</v>
      </c>
      <c r="N802" t="s">
        <v>23</v>
      </c>
      <c r="O802" t="e">
        <f>+_xlfn.XLOOKUP(tbl_encuesta[[#This Row],[Siento que mi trabajo es reconocido por mi supervisor o jefe directo.]],#REF!,#REF!)</f>
        <v>#REF!</v>
      </c>
      <c r="P802" t="s">
        <v>31</v>
      </c>
      <c r="Q802" t="e">
        <f xml:space="preserve">
_xlfn.XLOOKUP(
tbl_encuesta[[#This Row],[Mi supervisor o jefe directo nos brinda charlas de 5 minutos y comunica las novedades relevantes a mi puesto de trabajo]],#REF!,#REF!
)</f>
        <v>#REF!</v>
      </c>
      <c r="S802" t="s">
        <v>18</v>
      </c>
      <c r="T802" t="s">
        <v>19</v>
      </c>
      <c r="W802" t="s">
        <v>25</v>
      </c>
      <c r="X802" t="s">
        <v>23</v>
      </c>
      <c r="Y802" t="e">
        <f>+_xlfn.XLOOKUP(tbl_encuesta[[#This Row],[Considero a Limtek como un buen lugar para trabajar]],#REF!,#REF!)</f>
        <v>#REF!</v>
      </c>
      <c r="Z802" t="s">
        <v>2054</v>
      </c>
      <c r="AA802" t="s">
        <v>2055</v>
      </c>
      <c r="AB802" t="s">
        <v>581</v>
      </c>
      <c r="AC802" s="3" t="s">
        <v>3610</v>
      </c>
      <c r="AD802" s="3" t="s">
        <v>3646</v>
      </c>
      <c r="AE802" t="s">
        <v>34</v>
      </c>
    </row>
    <row r="803" spans="1:31" x14ac:dyDescent="0.25">
      <c r="A803">
        <v>119027199663</v>
      </c>
      <c r="B803">
        <v>462598545</v>
      </c>
      <c r="C803" s="1">
        <v>46018.665775462963</v>
      </c>
      <c r="D803" s="1">
        <v>46018.669189814813</v>
      </c>
      <c r="E803" t="s">
        <v>2056</v>
      </c>
      <c r="F803" t="s">
        <v>23</v>
      </c>
      <c r="G803" t="e">
        <f>+_xlfn.XLOOKUP(tbl_encuesta[[#This Row],[Me siento a gusto con el ambiente de trabajo que se genera en mi equipo.]],#REF!,#REF!)</f>
        <v>#REF!</v>
      </c>
      <c r="H803" t="s">
        <v>23</v>
      </c>
      <c r="I803" t="e">
        <f>+_xlfn.XLOOKUP(tbl_encuesta[[#This Row],[Me siento motivado a dar lo mejor de mí y hacer un buen trabajo]],#REF!,#REF!)</f>
        <v>#REF!</v>
      </c>
      <c r="J803" t="s">
        <v>23</v>
      </c>
      <c r="K803" t="e">
        <f>+_xlfn.XLOOKUP(tbl_encuesta[[#This Row],[Mi supervisor o jefe directo me otorga el soporte que necesito para afrontar cualquier problema que afecte mi trabajo]],#REF!,#REF!)</f>
        <v>#REF!</v>
      </c>
      <c r="L803" t="s">
        <v>23</v>
      </c>
      <c r="M803" t="e">
        <f>+_xlfn.XLOOKUP(tbl_encuesta[[#This Row],[Mi supervisor o jefe directo fomenta que nos apoyemos entre todos en el equipo]],#REF!,#REF!)</f>
        <v>#REF!</v>
      </c>
      <c r="N803" t="s">
        <v>43</v>
      </c>
      <c r="O803" t="e">
        <f>+_xlfn.XLOOKUP(tbl_encuesta[[#This Row],[Siento que mi trabajo es reconocido por mi supervisor o jefe directo.]],#REF!,#REF!)</f>
        <v>#REF!</v>
      </c>
      <c r="P803" t="s">
        <v>31</v>
      </c>
      <c r="Q803" t="e">
        <f xml:space="preserve">
_xlfn.XLOOKUP(
tbl_encuesta[[#This Row],[Mi supervisor o jefe directo nos brinda charlas de 5 minutos y comunica las novedades relevantes a mi puesto de trabajo]],#REF!,#REF!
)</f>
        <v>#REF!</v>
      </c>
      <c r="R803" t="s">
        <v>17</v>
      </c>
      <c r="S803" t="s">
        <v>18</v>
      </c>
      <c r="W803" t="s">
        <v>25</v>
      </c>
      <c r="X803" t="s">
        <v>23</v>
      </c>
      <c r="Y803" t="e">
        <f>+_xlfn.XLOOKUP(tbl_encuesta[[#This Row],[Considero a Limtek como un buen lugar para trabajar]],#REF!,#REF!)</f>
        <v>#REF!</v>
      </c>
      <c r="Z803" t="s">
        <v>2057</v>
      </c>
      <c r="AA803" t="s">
        <v>2058</v>
      </c>
      <c r="AB803" t="s">
        <v>28</v>
      </c>
      <c r="AC803" s="3" t="s">
        <v>3825</v>
      </c>
      <c r="AD803" s="3" t="s">
        <v>3826</v>
      </c>
      <c r="AE803" t="s">
        <v>69</v>
      </c>
    </row>
    <row r="804" spans="1:31" x14ac:dyDescent="0.25">
      <c r="A804">
        <v>119027197952</v>
      </c>
      <c r="B804">
        <v>462598545</v>
      </c>
      <c r="C804" s="1">
        <v>46018.662928240738</v>
      </c>
      <c r="D804" s="1">
        <v>46018.664479166669</v>
      </c>
      <c r="E804" t="s">
        <v>2056</v>
      </c>
      <c r="F804" t="s">
        <v>23</v>
      </c>
      <c r="G804" t="e">
        <f>+_xlfn.XLOOKUP(tbl_encuesta[[#This Row],[Me siento a gusto con el ambiente de trabajo que se genera en mi equipo.]],#REF!,#REF!)</f>
        <v>#REF!</v>
      </c>
      <c r="H804" t="s">
        <v>23</v>
      </c>
      <c r="I804" t="e">
        <f>+_xlfn.XLOOKUP(tbl_encuesta[[#This Row],[Me siento motivado a dar lo mejor de mí y hacer un buen trabajo]],#REF!,#REF!)</f>
        <v>#REF!</v>
      </c>
      <c r="J804" t="s">
        <v>23</v>
      </c>
      <c r="K804" t="e">
        <f>+_xlfn.XLOOKUP(tbl_encuesta[[#This Row],[Mi supervisor o jefe directo me otorga el soporte que necesito para afrontar cualquier problema que afecte mi trabajo]],#REF!,#REF!)</f>
        <v>#REF!</v>
      </c>
      <c r="L804" t="s">
        <v>23</v>
      </c>
      <c r="M804" t="e">
        <f>+_xlfn.XLOOKUP(tbl_encuesta[[#This Row],[Mi supervisor o jefe directo fomenta que nos apoyemos entre todos en el equipo]],#REF!,#REF!)</f>
        <v>#REF!</v>
      </c>
      <c r="N804" t="s">
        <v>23</v>
      </c>
      <c r="O804" t="e">
        <f>+_xlfn.XLOOKUP(tbl_encuesta[[#This Row],[Siento que mi trabajo es reconocido por mi supervisor o jefe directo.]],#REF!,#REF!)</f>
        <v>#REF!</v>
      </c>
      <c r="P804" t="s">
        <v>31</v>
      </c>
      <c r="Q804" t="e">
        <f xml:space="preserve">
_xlfn.XLOOKUP(
tbl_encuesta[[#This Row],[Mi supervisor o jefe directo nos brinda charlas de 5 minutos y comunica las novedades relevantes a mi puesto de trabajo]],#REF!,#REF!
)</f>
        <v>#REF!</v>
      </c>
      <c r="R804" t="s">
        <v>17</v>
      </c>
      <c r="S804" t="s">
        <v>18</v>
      </c>
      <c r="W804" t="s">
        <v>25</v>
      </c>
      <c r="X804" t="s">
        <v>23</v>
      </c>
      <c r="Y804" t="e">
        <f>+_xlfn.XLOOKUP(tbl_encuesta[[#This Row],[Considero a Limtek como un buen lugar para trabajar]],#REF!,#REF!)</f>
        <v>#REF!</v>
      </c>
      <c r="Z804" t="s">
        <v>145</v>
      </c>
      <c r="AA804" t="s">
        <v>2059</v>
      </c>
      <c r="AB804" t="s">
        <v>28</v>
      </c>
      <c r="AC804" s="3" t="s">
        <v>3825</v>
      </c>
      <c r="AD804" s="3" t="s">
        <v>3826</v>
      </c>
      <c r="AE804" t="s">
        <v>69</v>
      </c>
    </row>
    <row r="805" spans="1:31" x14ac:dyDescent="0.25">
      <c r="A805">
        <v>119027197913</v>
      </c>
      <c r="B805">
        <v>462598545</v>
      </c>
      <c r="C805" s="1">
        <v>46018.658738425926</v>
      </c>
      <c r="D805" s="1">
        <v>46018.664363425924</v>
      </c>
      <c r="E805" t="s">
        <v>2060</v>
      </c>
      <c r="F805" t="s">
        <v>23</v>
      </c>
      <c r="G805" t="e">
        <f>+_xlfn.XLOOKUP(tbl_encuesta[[#This Row],[Me siento a gusto con el ambiente de trabajo que se genera en mi equipo.]],#REF!,#REF!)</f>
        <v>#REF!</v>
      </c>
      <c r="H805" t="s">
        <v>23</v>
      </c>
      <c r="I805" t="e">
        <f>+_xlfn.XLOOKUP(tbl_encuesta[[#This Row],[Me siento motivado a dar lo mejor de mí y hacer un buen trabajo]],#REF!,#REF!)</f>
        <v>#REF!</v>
      </c>
      <c r="J805" t="s">
        <v>23</v>
      </c>
      <c r="K805" t="e">
        <f>+_xlfn.XLOOKUP(tbl_encuesta[[#This Row],[Mi supervisor o jefe directo me otorga el soporte que necesito para afrontar cualquier problema que afecte mi trabajo]],#REF!,#REF!)</f>
        <v>#REF!</v>
      </c>
      <c r="L805" t="s">
        <v>23</v>
      </c>
      <c r="M805" t="e">
        <f>+_xlfn.XLOOKUP(tbl_encuesta[[#This Row],[Mi supervisor o jefe directo fomenta que nos apoyemos entre todos en el equipo]],#REF!,#REF!)</f>
        <v>#REF!</v>
      </c>
      <c r="N805" t="s">
        <v>23</v>
      </c>
      <c r="O805" t="e">
        <f>+_xlfn.XLOOKUP(tbl_encuesta[[#This Row],[Siento que mi trabajo es reconocido por mi supervisor o jefe directo.]],#REF!,#REF!)</f>
        <v>#REF!</v>
      </c>
      <c r="P805" t="s">
        <v>31</v>
      </c>
      <c r="Q805" t="e">
        <f xml:space="preserve">
_xlfn.XLOOKUP(
tbl_encuesta[[#This Row],[Mi supervisor o jefe directo nos brinda charlas de 5 minutos y comunica las novedades relevantes a mi puesto de trabajo]],#REF!,#REF!
)</f>
        <v>#REF!</v>
      </c>
      <c r="R805" t="s">
        <v>17</v>
      </c>
      <c r="T805" t="s">
        <v>19</v>
      </c>
      <c r="W805" t="s">
        <v>46</v>
      </c>
      <c r="X805" t="s">
        <v>23</v>
      </c>
      <c r="Y805" t="e">
        <f>+_xlfn.XLOOKUP(tbl_encuesta[[#This Row],[Considero a Limtek como un buen lugar para trabajar]],#REF!,#REF!)</f>
        <v>#REF!</v>
      </c>
      <c r="Z805" t="s">
        <v>2061</v>
      </c>
      <c r="AA805" t="s">
        <v>1238</v>
      </c>
      <c r="AB805" t="s">
        <v>581</v>
      </c>
      <c r="AC805" s="3" t="s">
        <v>3610</v>
      </c>
      <c r="AD805" s="3" t="s">
        <v>3660</v>
      </c>
      <c r="AE805" t="s">
        <v>34</v>
      </c>
    </row>
    <row r="806" spans="1:31" x14ac:dyDescent="0.25">
      <c r="A806">
        <v>119027196430</v>
      </c>
      <c r="B806">
        <v>462598545</v>
      </c>
      <c r="C806" s="1">
        <v>46018.65892361111</v>
      </c>
      <c r="D806" s="1">
        <v>46018.660439814812</v>
      </c>
      <c r="E806" t="s">
        <v>2056</v>
      </c>
      <c r="F806" t="s">
        <v>23</v>
      </c>
      <c r="G806" t="e">
        <f>+_xlfn.XLOOKUP(tbl_encuesta[[#This Row],[Me siento a gusto con el ambiente de trabajo que se genera en mi equipo.]],#REF!,#REF!)</f>
        <v>#REF!</v>
      </c>
      <c r="H806" t="s">
        <v>23</v>
      </c>
      <c r="I806" t="e">
        <f>+_xlfn.XLOOKUP(tbl_encuesta[[#This Row],[Me siento motivado a dar lo mejor de mí y hacer un buen trabajo]],#REF!,#REF!)</f>
        <v>#REF!</v>
      </c>
      <c r="J806" t="s">
        <v>23</v>
      </c>
      <c r="K806" t="e">
        <f>+_xlfn.XLOOKUP(tbl_encuesta[[#This Row],[Mi supervisor o jefe directo me otorga el soporte que necesito para afrontar cualquier problema que afecte mi trabajo]],#REF!,#REF!)</f>
        <v>#REF!</v>
      </c>
      <c r="L806" t="s">
        <v>23</v>
      </c>
      <c r="M806" t="e">
        <f>+_xlfn.XLOOKUP(tbl_encuesta[[#This Row],[Mi supervisor o jefe directo fomenta que nos apoyemos entre todos en el equipo]],#REF!,#REF!)</f>
        <v>#REF!</v>
      </c>
      <c r="N806" t="s">
        <v>23</v>
      </c>
      <c r="O806" t="e">
        <f>+_xlfn.XLOOKUP(tbl_encuesta[[#This Row],[Siento que mi trabajo es reconocido por mi supervisor o jefe directo.]],#REF!,#REF!)</f>
        <v>#REF!</v>
      </c>
      <c r="P806" t="s">
        <v>31</v>
      </c>
      <c r="Q806" t="e">
        <f xml:space="preserve">
_xlfn.XLOOKUP(
tbl_encuesta[[#This Row],[Mi supervisor o jefe directo nos brinda charlas de 5 minutos y comunica las novedades relevantes a mi puesto de trabajo]],#REF!,#REF!
)</f>
        <v>#REF!</v>
      </c>
      <c r="R806" t="s">
        <v>17</v>
      </c>
      <c r="S806" t="s">
        <v>18</v>
      </c>
      <c r="W806" t="s">
        <v>25</v>
      </c>
      <c r="X806" t="s">
        <v>23</v>
      </c>
      <c r="Y806" t="e">
        <f>+_xlfn.XLOOKUP(tbl_encuesta[[#This Row],[Considero a Limtek como un buen lugar para trabajar]],#REF!,#REF!)</f>
        <v>#REF!</v>
      </c>
      <c r="Z806" t="s">
        <v>276</v>
      </c>
      <c r="AA806" t="s">
        <v>122</v>
      </c>
      <c r="AB806" t="s">
        <v>28</v>
      </c>
      <c r="AC806" t="s">
        <v>3744</v>
      </c>
      <c r="AD806" t="s">
        <v>3744</v>
      </c>
      <c r="AE806" t="s">
        <v>61</v>
      </c>
    </row>
    <row r="807" spans="1:31" x14ac:dyDescent="0.25">
      <c r="A807">
        <v>119027195386</v>
      </c>
      <c r="B807">
        <v>462598545</v>
      </c>
      <c r="C807" s="1">
        <v>46018.656793981485</v>
      </c>
      <c r="D807" s="1">
        <v>46018.657638888886</v>
      </c>
      <c r="E807" t="s">
        <v>2056</v>
      </c>
      <c r="F807" t="s">
        <v>23</v>
      </c>
      <c r="G807" t="e">
        <f>+_xlfn.XLOOKUP(tbl_encuesta[[#This Row],[Me siento a gusto con el ambiente de trabajo que se genera en mi equipo.]],#REF!,#REF!)</f>
        <v>#REF!</v>
      </c>
      <c r="H807" t="s">
        <v>23</v>
      </c>
      <c r="I807" t="e">
        <f>+_xlfn.XLOOKUP(tbl_encuesta[[#This Row],[Me siento motivado a dar lo mejor de mí y hacer un buen trabajo]],#REF!,#REF!)</f>
        <v>#REF!</v>
      </c>
      <c r="J807" t="s">
        <v>23</v>
      </c>
      <c r="K807" t="e">
        <f>+_xlfn.XLOOKUP(tbl_encuesta[[#This Row],[Mi supervisor o jefe directo me otorga el soporte que necesito para afrontar cualquier problema que afecte mi trabajo]],#REF!,#REF!)</f>
        <v>#REF!</v>
      </c>
      <c r="L807" t="s">
        <v>23</v>
      </c>
      <c r="M807" t="e">
        <f>+_xlfn.XLOOKUP(tbl_encuesta[[#This Row],[Mi supervisor o jefe directo fomenta que nos apoyemos entre todos en el equipo]],#REF!,#REF!)</f>
        <v>#REF!</v>
      </c>
      <c r="N807" t="s">
        <v>23</v>
      </c>
      <c r="O807" t="e">
        <f>+_xlfn.XLOOKUP(tbl_encuesta[[#This Row],[Siento que mi trabajo es reconocido por mi supervisor o jefe directo.]],#REF!,#REF!)</f>
        <v>#REF!</v>
      </c>
      <c r="P807" t="s">
        <v>31</v>
      </c>
      <c r="Q807" t="e">
        <f xml:space="preserve">
_xlfn.XLOOKUP(
tbl_encuesta[[#This Row],[Mi supervisor o jefe directo nos brinda charlas de 5 minutos y comunica las novedades relevantes a mi puesto de trabajo]],#REF!,#REF!
)</f>
        <v>#REF!</v>
      </c>
      <c r="S807" t="s">
        <v>18</v>
      </c>
      <c r="T807" t="s">
        <v>19</v>
      </c>
      <c r="W807" t="s">
        <v>25</v>
      </c>
      <c r="X807" t="s">
        <v>23</v>
      </c>
      <c r="Y807" t="e">
        <f>+_xlfn.XLOOKUP(tbl_encuesta[[#This Row],[Considero a Limtek como un buen lugar para trabajar]],#REF!,#REF!)</f>
        <v>#REF!</v>
      </c>
      <c r="Z807" t="s">
        <v>145</v>
      </c>
      <c r="AA807" t="s">
        <v>2062</v>
      </c>
      <c r="AB807" t="s">
        <v>28</v>
      </c>
      <c r="AC807" s="3" t="s">
        <v>3825</v>
      </c>
      <c r="AD807" s="3" t="s">
        <v>3826</v>
      </c>
      <c r="AE807" t="s">
        <v>34</v>
      </c>
    </row>
    <row r="808" spans="1:31" x14ac:dyDescent="0.25">
      <c r="A808">
        <v>119027195064</v>
      </c>
      <c r="B808">
        <v>462598545</v>
      </c>
      <c r="C808" s="1">
        <v>46018.655393518522</v>
      </c>
      <c r="D808" s="1">
        <v>46018.656701388885</v>
      </c>
      <c r="E808" t="s">
        <v>2056</v>
      </c>
      <c r="F808" t="s">
        <v>23</v>
      </c>
      <c r="G808" t="e">
        <f>+_xlfn.XLOOKUP(tbl_encuesta[[#This Row],[Me siento a gusto con el ambiente de trabajo que se genera en mi equipo.]],#REF!,#REF!)</f>
        <v>#REF!</v>
      </c>
      <c r="H808" t="s">
        <v>23</v>
      </c>
      <c r="I808" t="e">
        <f>+_xlfn.XLOOKUP(tbl_encuesta[[#This Row],[Me siento motivado a dar lo mejor de mí y hacer un buen trabajo]],#REF!,#REF!)</f>
        <v>#REF!</v>
      </c>
      <c r="J808" t="s">
        <v>23</v>
      </c>
      <c r="K808" t="e">
        <f>+_xlfn.XLOOKUP(tbl_encuesta[[#This Row],[Mi supervisor o jefe directo me otorga el soporte que necesito para afrontar cualquier problema que afecte mi trabajo]],#REF!,#REF!)</f>
        <v>#REF!</v>
      </c>
      <c r="L808" t="s">
        <v>23</v>
      </c>
      <c r="M808" t="e">
        <f>+_xlfn.XLOOKUP(tbl_encuesta[[#This Row],[Mi supervisor o jefe directo fomenta que nos apoyemos entre todos en el equipo]],#REF!,#REF!)</f>
        <v>#REF!</v>
      </c>
      <c r="N808" t="s">
        <v>97</v>
      </c>
      <c r="O808" t="e">
        <f>+_xlfn.XLOOKUP(tbl_encuesta[[#This Row],[Siento que mi trabajo es reconocido por mi supervisor o jefe directo.]],#REF!,#REF!)</f>
        <v>#REF!</v>
      </c>
      <c r="P808" t="s">
        <v>31</v>
      </c>
      <c r="Q808" t="e">
        <f xml:space="preserve">
_xlfn.XLOOKUP(
tbl_encuesta[[#This Row],[Mi supervisor o jefe directo nos brinda charlas de 5 minutos y comunica las novedades relevantes a mi puesto de trabajo]],#REF!,#REF!
)</f>
        <v>#REF!</v>
      </c>
      <c r="R808" t="s">
        <v>17</v>
      </c>
      <c r="S808" t="s">
        <v>18</v>
      </c>
      <c r="W808" t="s">
        <v>25</v>
      </c>
      <c r="X808" t="s">
        <v>23</v>
      </c>
      <c r="Y808" t="e">
        <f>+_xlfn.XLOOKUP(tbl_encuesta[[#This Row],[Considero a Limtek como un buen lugar para trabajar]],#REF!,#REF!)</f>
        <v>#REF!</v>
      </c>
      <c r="Z808" t="s">
        <v>145</v>
      </c>
      <c r="AA808" t="s">
        <v>2062</v>
      </c>
      <c r="AB808" t="s">
        <v>28</v>
      </c>
      <c r="AC808" s="3" t="s">
        <v>3825</v>
      </c>
      <c r="AD808" s="3" t="s">
        <v>3826</v>
      </c>
      <c r="AE808" t="s">
        <v>34</v>
      </c>
    </row>
    <row r="809" spans="1:31" x14ac:dyDescent="0.25">
      <c r="A809">
        <v>119027194169</v>
      </c>
      <c r="B809">
        <v>462598545</v>
      </c>
      <c r="C809" s="1">
        <v>46018.650613425925</v>
      </c>
      <c r="D809" s="1">
        <v>46018.65425925926</v>
      </c>
      <c r="E809" t="s">
        <v>2063</v>
      </c>
      <c r="F809" t="s">
        <v>23</v>
      </c>
      <c r="G809" t="e">
        <f>+_xlfn.XLOOKUP(tbl_encuesta[[#This Row],[Me siento a gusto con el ambiente de trabajo que se genera en mi equipo.]],#REF!,#REF!)</f>
        <v>#REF!</v>
      </c>
      <c r="H809" t="s">
        <v>23</v>
      </c>
      <c r="I809" t="e">
        <f>+_xlfn.XLOOKUP(tbl_encuesta[[#This Row],[Me siento motivado a dar lo mejor de mí y hacer un buen trabajo]],#REF!,#REF!)</f>
        <v>#REF!</v>
      </c>
      <c r="J809" t="s">
        <v>23</v>
      </c>
      <c r="K809" t="e">
        <f>+_xlfn.XLOOKUP(tbl_encuesta[[#This Row],[Mi supervisor o jefe directo me otorga el soporte que necesito para afrontar cualquier problema que afecte mi trabajo]],#REF!,#REF!)</f>
        <v>#REF!</v>
      </c>
      <c r="L809" t="s">
        <v>23</v>
      </c>
      <c r="M809" t="e">
        <f>+_xlfn.XLOOKUP(tbl_encuesta[[#This Row],[Mi supervisor o jefe directo fomenta que nos apoyemos entre todos en el equipo]],#REF!,#REF!)</f>
        <v>#REF!</v>
      </c>
      <c r="N809" t="s">
        <v>23</v>
      </c>
      <c r="O809" t="e">
        <f>+_xlfn.XLOOKUP(tbl_encuesta[[#This Row],[Siento que mi trabajo es reconocido por mi supervisor o jefe directo.]],#REF!,#REF!)</f>
        <v>#REF!</v>
      </c>
      <c r="P809" t="s">
        <v>31</v>
      </c>
      <c r="Q809" t="e">
        <f xml:space="preserve">
_xlfn.XLOOKUP(
tbl_encuesta[[#This Row],[Mi supervisor o jefe directo nos brinda charlas de 5 minutos y comunica las novedades relevantes a mi puesto de trabajo]],#REF!,#REF!
)</f>
        <v>#REF!</v>
      </c>
      <c r="R809" t="s">
        <v>17</v>
      </c>
      <c r="T809" t="s">
        <v>19</v>
      </c>
      <c r="W809" t="s">
        <v>25</v>
      </c>
      <c r="X809" t="s">
        <v>23</v>
      </c>
      <c r="Y809" t="e">
        <f>+_xlfn.XLOOKUP(tbl_encuesta[[#This Row],[Considero a Limtek como un buen lugar para trabajar]],#REF!,#REF!)</f>
        <v>#REF!</v>
      </c>
      <c r="Z809" t="s">
        <v>1158</v>
      </c>
      <c r="AA809" t="s">
        <v>2064</v>
      </c>
      <c r="AB809" t="s">
        <v>581</v>
      </c>
      <c r="AC809" s="3" t="s">
        <v>3610</v>
      </c>
      <c r="AD809" s="3" t="s">
        <v>3610</v>
      </c>
      <c r="AE809" t="s">
        <v>34</v>
      </c>
    </row>
    <row r="810" spans="1:31" x14ac:dyDescent="0.25">
      <c r="A810">
        <v>119027193890</v>
      </c>
      <c r="B810">
        <v>462598545</v>
      </c>
      <c r="C810" s="1">
        <v>46018.651412037034</v>
      </c>
      <c r="D810" s="1">
        <v>46018.653495370374</v>
      </c>
      <c r="E810" t="s">
        <v>2056</v>
      </c>
      <c r="F810" t="s">
        <v>23</v>
      </c>
      <c r="G810" t="e">
        <f>+_xlfn.XLOOKUP(tbl_encuesta[[#This Row],[Me siento a gusto con el ambiente de trabajo que se genera en mi equipo.]],#REF!,#REF!)</f>
        <v>#REF!</v>
      </c>
      <c r="H810" t="s">
        <v>23</v>
      </c>
      <c r="I810" t="e">
        <f>+_xlfn.XLOOKUP(tbl_encuesta[[#This Row],[Me siento motivado a dar lo mejor de mí y hacer un buen trabajo]],#REF!,#REF!)</f>
        <v>#REF!</v>
      </c>
      <c r="J810" t="s">
        <v>23</v>
      </c>
      <c r="K810" t="e">
        <f>+_xlfn.XLOOKUP(tbl_encuesta[[#This Row],[Mi supervisor o jefe directo me otorga el soporte que necesito para afrontar cualquier problema que afecte mi trabajo]],#REF!,#REF!)</f>
        <v>#REF!</v>
      </c>
      <c r="L810" t="s">
        <v>23</v>
      </c>
      <c r="M810" t="e">
        <f>+_xlfn.XLOOKUP(tbl_encuesta[[#This Row],[Mi supervisor o jefe directo fomenta que nos apoyemos entre todos en el equipo]],#REF!,#REF!)</f>
        <v>#REF!</v>
      </c>
      <c r="N810" t="s">
        <v>23</v>
      </c>
      <c r="O810" t="e">
        <f>+_xlfn.XLOOKUP(tbl_encuesta[[#This Row],[Siento que mi trabajo es reconocido por mi supervisor o jefe directo.]],#REF!,#REF!)</f>
        <v>#REF!</v>
      </c>
      <c r="P810" t="s">
        <v>31</v>
      </c>
      <c r="Q810" t="e">
        <f xml:space="preserve">
_xlfn.XLOOKUP(
tbl_encuesta[[#This Row],[Mi supervisor o jefe directo nos brinda charlas de 5 minutos y comunica las novedades relevantes a mi puesto de trabajo]],#REF!,#REF!
)</f>
        <v>#REF!</v>
      </c>
      <c r="R810" t="s">
        <v>17</v>
      </c>
      <c r="W810" t="s">
        <v>25</v>
      </c>
      <c r="X810" t="s">
        <v>23</v>
      </c>
      <c r="Y810" t="e">
        <f>+_xlfn.XLOOKUP(tbl_encuesta[[#This Row],[Considero a Limtek como un buen lugar para trabajar]],#REF!,#REF!)</f>
        <v>#REF!</v>
      </c>
      <c r="Z810" t="s">
        <v>145</v>
      </c>
      <c r="AA810" t="s">
        <v>2062</v>
      </c>
      <c r="AB810" t="s">
        <v>28</v>
      </c>
      <c r="AC810" s="3" t="s">
        <v>3825</v>
      </c>
      <c r="AD810" s="3" t="s">
        <v>3826</v>
      </c>
      <c r="AE810" t="s">
        <v>34</v>
      </c>
    </row>
    <row r="811" spans="1:31" x14ac:dyDescent="0.25">
      <c r="A811">
        <v>119027192658</v>
      </c>
      <c r="B811">
        <v>462598545</v>
      </c>
      <c r="C811" s="1">
        <v>46018.645532407405</v>
      </c>
      <c r="D811" s="1">
        <v>46018.65011574074</v>
      </c>
      <c r="E811" t="s">
        <v>2063</v>
      </c>
      <c r="F811" t="s">
        <v>23</v>
      </c>
      <c r="G811" t="e">
        <f>+_xlfn.XLOOKUP(tbl_encuesta[[#This Row],[Me siento a gusto con el ambiente de trabajo que se genera en mi equipo.]],#REF!,#REF!)</f>
        <v>#REF!</v>
      </c>
      <c r="H811" t="s">
        <v>23</v>
      </c>
      <c r="I811" t="e">
        <f>+_xlfn.XLOOKUP(tbl_encuesta[[#This Row],[Me siento motivado a dar lo mejor de mí y hacer un buen trabajo]],#REF!,#REF!)</f>
        <v>#REF!</v>
      </c>
      <c r="J811" t="s">
        <v>23</v>
      </c>
      <c r="K811" t="e">
        <f>+_xlfn.XLOOKUP(tbl_encuesta[[#This Row],[Mi supervisor o jefe directo me otorga el soporte que necesito para afrontar cualquier problema que afecte mi trabajo]],#REF!,#REF!)</f>
        <v>#REF!</v>
      </c>
      <c r="L811" t="s">
        <v>23</v>
      </c>
      <c r="M811" t="e">
        <f>+_xlfn.XLOOKUP(tbl_encuesta[[#This Row],[Mi supervisor o jefe directo fomenta que nos apoyemos entre todos en el equipo]],#REF!,#REF!)</f>
        <v>#REF!</v>
      </c>
      <c r="N811" t="s">
        <v>23</v>
      </c>
      <c r="O811" t="e">
        <f>+_xlfn.XLOOKUP(tbl_encuesta[[#This Row],[Siento que mi trabajo es reconocido por mi supervisor o jefe directo.]],#REF!,#REF!)</f>
        <v>#REF!</v>
      </c>
      <c r="P811" t="s">
        <v>31</v>
      </c>
      <c r="Q811" t="e">
        <f xml:space="preserve">
_xlfn.XLOOKUP(
tbl_encuesta[[#This Row],[Mi supervisor o jefe directo nos brinda charlas de 5 minutos y comunica las novedades relevantes a mi puesto de trabajo]],#REF!,#REF!
)</f>
        <v>#REF!</v>
      </c>
      <c r="R811" t="s">
        <v>17</v>
      </c>
      <c r="W811" t="s">
        <v>25</v>
      </c>
      <c r="X811" t="s">
        <v>23</v>
      </c>
      <c r="Y811" t="e">
        <f>+_xlfn.XLOOKUP(tbl_encuesta[[#This Row],[Considero a Limtek como un buen lugar para trabajar]],#REF!,#REF!)</f>
        <v>#REF!</v>
      </c>
      <c r="Z811" t="s">
        <v>1158</v>
      </c>
      <c r="AA811" t="s">
        <v>242</v>
      </c>
      <c r="AB811" t="s">
        <v>581</v>
      </c>
      <c r="AC811" s="3" t="s">
        <v>3610</v>
      </c>
      <c r="AD811" s="3" t="s">
        <v>3610</v>
      </c>
      <c r="AE811" t="s">
        <v>34</v>
      </c>
    </row>
    <row r="812" spans="1:31" x14ac:dyDescent="0.25">
      <c r="A812">
        <v>119027192578</v>
      </c>
      <c r="B812">
        <v>462598545</v>
      </c>
      <c r="C812" s="1">
        <v>46018.647685185184</v>
      </c>
      <c r="D812" s="1">
        <v>46018.649918981479</v>
      </c>
      <c r="E812" t="s">
        <v>2065</v>
      </c>
      <c r="F812" t="s">
        <v>23</v>
      </c>
      <c r="G812" t="e">
        <f>+_xlfn.XLOOKUP(tbl_encuesta[[#This Row],[Me siento a gusto con el ambiente de trabajo que se genera en mi equipo.]],#REF!,#REF!)</f>
        <v>#REF!</v>
      </c>
      <c r="H812" t="s">
        <v>23</v>
      </c>
      <c r="I812" t="e">
        <f>+_xlfn.XLOOKUP(tbl_encuesta[[#This Row],[Me siento motivado a dar lo mejor de mí y hacer un buen trabajo]],#REF!,#REF!)</f>
        <v>#REF!</v>
      </c>
      <c r="J812" t="s">
        <v>23</v>
      </c>
      <c r="K812" t="e">
        <f>+_xlfn.XLOOKUP(tbl_encuesta[[#This Row],[Mi supervisor o jefe directo me otorga el soporte que necesito para afrontar cualquier problema que afecte mi trabajo]],#REF!,#REF!)</f>
        <v>#REF!</v>
      </c>
      <c r="L812" t="s">
        <v>23</v>
      </c>
      <c r="M812" t="e">
        <f>+_xlfn.XLOOKUP(tbl_encuesta[[#This Row],[Mi supervisor o jefe directo fomenta que nos apoyemos entre todos en el equipo]],#REF!,#REF!)</f>
        <v>#REF!</v>
      </c>
      <c r="N812" t="s">
        <v>23</v>
      </c>
      <c r="O812" t="e">
        <f>+_xlfn.XLOOKUP(tbl_encuesta[[#This Row],[Siento que mi trabajo es reconocido por mi supervisor o jefe directo.]],#REF!,#REF!)</f>
        <v>#REF!</v>
      </c>
      <c r="P812" t="s">
        <v>31</v>
      </c>
      <c r="Q812" t="e">
        <f xml:space="preserve">
_xlfn.XLOOKUP(
tbl_encuesta[[#This Row],[Mi supervisor o jefe directo nos brinda charlas de 5 minutos y comunica las novedades relevantes a mi puesto de trabajo]],#REF!,#REF!
)</f>
        <v>#REF!</v>
      </c>
      <c r="U812" t="s">
        <v>20</v>
      </c>
      <c r="W812" t="s">
        <v>25</v>
      </c>
      <c r="X812" t="s">
        <v>23</v>
      </c>
      <c r="Y812" t="e">
        <f>+_xlfn.XLOOKUP(tbl_encuesta[[#This Row],[Considero a Limtek como un buen lugar para trabajar]],#REF!,#REF!)</f>
        <v>#REF!</v>
      </c>
      <c r="Z812" t="s">
        <v>2066</v>
      </c>
      <c r="AA812" t="s">
        <v>2067</v>
      </c>
      <c r="AB812" t="s">
        <v>581</v>
      </c>
      <c r="AC812" s="3" t="s">
        <v>3610</v>
      </c>
      <c r="AD812" s="3" t="s">
        <v>3665</v>
      </c>
      <c r="AE812" t="s">
        <v>61</v>
      </c>
    </row>
    <row r="813" spans="1:31" x14ac:dyDescent="0.25">
      <c r="A813">
        <v>119027192202</v>
      </c>
      <c r="B813">
        <v>462598545</v>
      </c>
      <c r="C813" s="1">
        <v>46018.639525462961</v>
      </c>
      <c r="D813" s="1">
        <v>46018.648900462962</v>
      </c>
      <c r="E813" t="s">
        <v>2068</v>
      </c>
      <c r="F813" t="s">
        <v>22</v>
      </c>
      <c r="G813" t="e">
        <f>+_xlfn.XLOOKUP(tbl_encuesta[[#This Row],[Me siento a gusto con el ambiente de trabajo que se genera en mi equipo.]],#REF!,#REF!)</f>
        <v>#REF!</v>
      </c>
      <c r="H813" t="s">
        <v>23</v>
      </c>
      <c r="I813" t="e">
        <f>+_xlfn.XLOOKUP(tbl_encuesta[[#This Row],[Me siento motivado a dar lo mejor de mí y hacer un buen trabajo]],#REF!,#REF!)</f>
        <v>#REF!</v>
      </c>
      <c r="J813" t="s">
        <v>22</v>
      </c>
      <c r="K813" t="e">
        <f>+_xlfn.XLOOKUP(tbl_encuesta[[#This Row],[Mi supervisor o jefe directo me otorga el soporte que necesito para afrontar cualquier problema que afecte mi trabajo]],#REF!,#REF!)</f>
        <v>#REF!</v>
      </c>
      <c r="L813" t="s">
        <v>23</v>
      </c>
      <c r="M813" t="e">
        <f>+_xlfn.XLOOKUP(tbl_encuesta[[#This Row],[Mi supervisor o jefe directo fomenta que nos apoyemos entre todos en el equipo]],#REF!,#REF!)</f>
        <v>#REF!</v>
      </c>
      <c r="N813" t="s">
        <v>23</v>
      </c>
      <c r="O813" t="e">
        <f>+_xlfn.XLOOKUP(tbl_encuesta[[#This Row],[Siento que mi trabajo es reconocido por mi supervisor o jefe directo.]],#REF!,#REF!)</f>
        <v>#REF!</v>
      </c>
      <c r="P813" t="s">
        <v>31</v>
      </c>
      <c r="Q813" t="e">
        <f xml:space="preserve">
_xlfn.XLOOKUP(
tbl_encuesta[[#This Row],[Mi supervisor o jefe directo nos brinda charlas de 5 minutos y comunica las novedades relevantes a mi puesto de trabajo]],#REF!,#REF!
)</f>
        <v>#REF!</v>
      </c>
      <c r="R813" t="s">
        <v>17</v>
      </c>
      <c r="T813" t="s">
        <v>19</v>
      </c>
      <c r="W813" t="s">
        <v>25</v>
      </c>
      <c r="X813" t="s">
        <v>23</v>
      </c>
      <c r="Y813" t="e">
        <f>+_xlfn.XLOOKUP(tbl_encuesta[[#This Row],[Considero a Limtek como un buen lugar para trabajar]],#REF!,#REF!)</f>
        <v>#REF!</v>
      </c>
      <c r="Z813" t="s">
        <v>2069</v>
      </c>
      <c r="AA813" t="s">
        <v>2070</v>
      </c>
      <c r="AB813" t="s">
        <v>581</v>
      </c>
      <c r="AC813" s="3" t="s">
        <v>3610</v>
      </c>
      <c r="AD813" s="3" t="s">
        <v>3657</v>
      </c>
      <c r="AE813" t="s">
        <v>34</v>
      </c>
    </row>
    <row r="814" spans="1:31" x14ac:dyDescent="0.25">
      <c r="A814">
        <v>119027192167</v>
      </c>
      <c r="B814">
        <v>462598545</v>
      </c>
      <c r="C814" s="1">
        <v>46018.646967592591</v>
      </c>
      <c r="D814" s="1">
        <v>46018.64880787037</v>
      </c>
      <c r="E814" t="s">
        <v>2056</v>
      </c>
      <c r="F814" t="s">
        <v>22</v>
      </c>
      <c r="G814" t="e">
        <f>+_xlfn.XLOOKUP(tbl_encuesta[[#This Row],[Me siento a gusto con el ambiente de trabajo que se genera en mi equipo.]],#REF!,#REF!)</f>
        <v>#REF!</v>
      </c>
      <c r="H814" t="s">
        <v>22</v>
      </c>
      <c r="I814" t="e">
        <f>+_xlfn.XLOOKUP(tbl_encuesta[[#This Row],[Me siento motivado a dar lo mejor de mí y hacer un buen trabajo]],#REF!,#REF!)</f>
        <v>#REF!</v>
      </c>
      <c r="J814" t="s">
        <v>22</v>
      </c>
      <c r="K814" t="e">
        <f>+_xlfn.XLOOKUP(tbl_encuesta[[#This Row],[Mi supervisor o jefe directo me otorga el soporte que necesito para afrontar cualquier problema que afecte mi trabajo]],#REF!,#REF!)</f>
        <v>#REF!</v>
      </c>
      <c r="L814" t="s">
        <v>23</v>
      </c>
      <c r="M814" t="e">
        <f>+_xlfn.XLOOKUP(tbl_encuesta[[#This Row],[Mi supervisor o jefe directo fomenta que nos apoyemos entre todos en el equipo]],#REF!,#REF!)</f>
        <v>#REF!</v>
      </c>
      <c r="N814" t="s">
        <v>22</v>
      </c>
      <c r="O814" t="e">
        <f>+_xlfn.XLOOKUP(tbl_encuesta[[#This Row],[Siento que mi trabajo es reconocido por mi supervisor o jefe directo.]],#REF!,#REF!)</f>
        <v>#REF!</v>
      </c>
      <c r="P814" t="s">
        <v>31</v>
      </c>
      <c r="Q814" t="e">
        <f xml:space="preserve">
_xlfn.XLOOKUP(
tbl_encuesta[[#This Row],[Mi supervisor o jefe directo nos brinda charlas de 5 minutos y comunica las novedades relevantes a mi puesto de trabajo]],#REF!,#REF!
)</f>
        <v>#REF!</v>
      </c>
      <c r="R814" t="s">
        <v>17</v>
      </c>
      <c r="S814" t="s">
        <v>18</v>
      </c>
      <c r="W814" t="s">
        <v>25</v>
      </c>
      <c r="X814" t="s">
        <v>23</v>
      </c>
      <c r="Y814" t="e">
        <f>+_xlfn.XLOOKUP(tbl_encuesta[[#This Row],[Considero a Limtek como un buen lugar para trabajar]],#REF!,#REF!)</f>
        <v>#REF!</v>
      </c>
      <c r="Z814" t="s">
        <v>145</v>
      </c>
      <c r="AA814" t="s">
        <v>2071</v>
      </c>
      <c r="AB814" t="s">
        <v>28</v>
      </c>
      <c r="AC814" s="3" t="s">
        <v>3825</v>
      </c>
      <c r="AD814" s="3" t="s">
        <v>3826</v>
      </c>
      <c r="AE814" t="s">
        <v>29</v>
      </c>
    </row>
    <row r="815" spans="1:31" x14ac:dyDescent="0.25">
      <c r="A815">
        <v>119027190614</v>
      </c>
      <c r="B815">
        <v>462598545</v>
      </c>
      <c r="C815" s="1">
        <v>46018.641377314816</v>
      </c>
      <c r="D815" s="1">
        <v>46018.644456018519</v>
      </c>
      <c r="E815" t="s">
        <v>2056</v>
      </c>
      <c r="F815" t="s">
        <v>23</v>
      </c>
      <c r="G815" t="e">
        <f>+_xlfn.XLOOKUP(tbl_encuesta[[#This Row],[Me siento a gusto con el ambiente de trabajo que se genera en mi equipo.]],#REF!,#REF!)</f>
        <v>#REF!</v>
      </c>
      <c r="H815" t="s">
        <v>23</v>
      </c>
      <c r="I815" t="e">
        <f>+_xlfn.XLOOKUP(tbl_encuesta[[#This Row],[Me siento motivado a dar lo mejor de mí y hacer un buen trabajo]],#REF!,#REF!)</f>
        <v>#REF!</v>
      </c>
      <c r="J815" t="s">
        <v>23</v>
      </c>
      <c r="K815" t="e">
        <f>+_xlfn.XLOOKUP(tbl_encuesta[[#This Row],[Mi supervisor o jefe directo me otorga el soporte que necesito para afrontar cualquier problema que afecte mi trabajo]],#REF!,#REF!)</f>
        <v>#REF!</v>
      </c>
      <c r="L815" t="s">
        <v>23</v>
      </c>
      <c r="M815" t="e">
        <f>+_xlfn.XLOOKUP(tbl_encuesta[[#This Row],[Mi supervisor o jefe directo fomenta que nos apoyemos entre todos en el equipo]],#REF!,#REF!)</f>
        <v>#REF!</v>
      </c>
      <c r="N815" t="s">
        <v>23</v>
      </c>
      <c r="O815" t="e">
        <f>+_xlfn.XLOOKUP(tbl_encuesta[[#This Row],[Siento que mi trabajo es reconocido por mi supervisor o jefe directo.]],#REF!,#REF!)</f>
        <v>#REF!</v>
      </c>
      <c r="P815" t="s">
        <v>31</v>
      </c>
      <c r="Q815" t="e">
        <f xml:space="preserve">
_xlfn.XLOOKUP(
tbl_encuesta[[#This Row],[Mi supervisor o jefe directo nos brinda charlas de 5 minutos y comunica las novedades relevantes a mi puesto de trabajo]],#REF!,#REF!
)</f>
        <v>#REF!</v>
      </c>
      <c r="S815" t="s">
        <v>18</v>
      </c>
      <c r="T815" t="s">
        <v>19</v>
      </c>
      <c r="W815" t="s">
        <v>25</v>
      </c>
      <c r="X815" t="s">
        <v>23</v>
      </c>
      <c r="Y815" t="e">
        <f>+_xlfn.XLOOKUP(tbl_encuesta[[#This Row],[Considero a Limtek como un buen lugar para trabajar]],#REF!,#REF!)</f>
        <v>#REF!</v>
      </c>
      <c r="Z815" t="s">
        <v>2072</v>
      </c>
      <c r="AA815" t="s">
        <v>2073</v>
      </c>
      <c r="AB815" t="s">
        <v>28</v>
      </c>
      <c r="AC815" s="3" t="s">
        <v>3825</v>
      </c>
      <c r="AD815" s="3" t="s">
        <v>3826</v>
      </c>
      <c r="AE815" t="s">
        <v>69</v>
      </c>
    </row>
    <row r="816" spans="1:31" x14ac:dyDescent="0.25">
      <c r="A816">
        <v>119027189920</v>
      </c>
      <c r="B816">
        <v>462598545</v>
      </c>
      <c r="C816" s="1">
        <v>46018.639837962961</v>
      </c>
      <c r="D816" s="1">
        <v>46018.642407407409</v>
      </c>
      <c r="E816" t="s">
        <v>2074</v>
      </c>
      <c r="F816" t="s">
        <v>22</v>
      </c>
      <c r="G816" t="e">
        <f>+_xlfn.XLOOKUP(tbl_encuesta[[#This Row],[Me siento a gusto con el ambiente de trabajo que se genera en mi equipo.]],#REF!,#REF!)</f>
        <v>#REF!</v>
      </c>
      <c r="H816" t="s">
        <v>23</v>
      </c>
      <c r="I816" t="e">
        <f>+_xlfn.XLOOKUP(tbl_encuesta[[#This Row],[Me siento motivado a dar lo mejor de mí y hacer un buen trabajo]],#REF!,#REF!)</f>
        <v>#REF!</v>
      </c>
      <c r="J816" t="s">
        <v>22</v>
      </c>
      <c r="K816" t="e">
        <f>+_xlfn.XLOOKUP(tbl_encuesta[[#This Row],[Mi supervisor o jefe directo me otorga el soporte que necesito para afrontar cualquier problema que afecte mi trabajo]],#REF!,#REF!)</f>
        <v>#REF!</v>
      </c>
      <c r="L816" t="s">
        <v>23</v>
      </c>
      <c r="M816" t="e">
        <f>+_xlfn.XLOOKUP(tbl_encuesta[[#This Row],[Mi supervisor o jefe directo fomenta que nos apoyemos entre todos en el equipo]],#REF!,#REF!)</f>
        <v>#REF!</v>
      </c>
      <c r="N816" t="s">
        <v>22</v>
      </c>
      <c r="O816" t="e">
        <f>+_xlfn.XLOOKUP(tbl_encuesta[[#This Row],[Siento que mi trabajo es reconocido por mi supervisor o jefe directo.]],#REF!,#REF!)</f>
        <v>#REF!</v>
      </c>
      <c r="P816" t="s">
        <v>31</v>
      </c>
      <c r="Q816" t="e">
        <f xml:space="preserve">
_xlfn.XLOOKUP(
tbl_encuesta[[#This Row],[Mi supervisor o jefe directo nos brinda charlas de 5 minutos y comunica las novedades relevantes a mi puesto de trabajo]],#REF!,#REF!
)</f>
        <v>#REF!</v>
      </c>
      <c r="R816" t="s">
        <v>17</v>
      </c>
      <c r="S816" t="s">
        <v>18</v>
      </c>
      <c r="W816" t="s">
        <v>46</v>
      </c>
      <c r="X816" t="s">
        <v>23</v>
      </c>
      <c r="Y816" t="e">
        <f>+_xlfn.XLOOKUP(tbl_encuesta[[#This Row],[Considero a Limtek como un buen lugar para trabajar]],#REF!,#REF!)</f>
        <v>#REF!</v>
      </c>
      <c r="Z816" t="s">
        <v>2075</v>
      </c>
      <c r="AA816" t="s">
        <v>122</v>
      </c>
      <c r="AB816" t="s">
        <v>28</v>
      </c>
      <c r="AC816" s="3" t="s">
        <v>3716</v>
      </c>
      <c r="AD816" s="3" t="s">
        <v>3716</v>
      </c>
      <c r="AE816" t="s">
        <v>69</v>
      </c>
    </row>
    <row r="817" spans="1:31" x14ac:dyDescent="0.25">
      <c r="A817">
        <v>119027189366</v>
      </c>
      <c r="B817">
        <v>462598545</v>
      </c>
      <c r="C817" s="1">
        <v>46018.638958333337</v>
      </c>
      <c r="D817" s="1">
        <v>46018.64099537037</v>
      </c>
      <c r="E817" t="s">
        <v>2056</v>
      </c>
      <c r="F817" t="s">
        <v>23</v>
      </c>
      <c r="G817" t="e">
        <f>+_xlfn.XLOOKUP(tbl_encuesta[[#This Row],[Me siento a gusto con el ambiente de trabajo que se genera en mi equipo.]],#REF!,#REF!)</f>
        <v>#REF!</v>
      </c>
      <c r="H817" t="s">
        <v>23</v>
      </c>
      <c r="I817" t="e">
        <f>+_xlfn.XLOOKUP(tbl_encuesta[[#This Row],[Me siento motivado a dar lo mejor de mí y hacer un buen trabajo]],#REF!,#REF!)</f>
        <v>#REF!</v>
      </c>
      <c r="J817" t="s">
        <v>23</v>
      </c>
      <c r="K817" t="e">
        <f>+_xlfn.XLOOKUP(tbl_encuesta[[#This Row],[Mi supervisor o jefe directo me otorga el soporte que necesito para afrontar cualquier problema que afecte mi trabajo]],#REF!,#REF!)</f>
        <v>#REF!</v>
      </c>
      <c r="L817" t="s">
        <v>23</v>
      </c>
      <c r="M817" t="e">
        <f>+_xlfn.XLOOKUP(tbl_encuesta[[#This Row],[Mi supervisor o jefe directo fomenta que nos apoyemos entre todos en el equipo]],#REF!,#REF!)</f>
        <v>#REF!</v>
      </c>
      <c r="N817" t="s">
        <v>23</v>
      </c>
      <c r="O817" t="e">
        <f>+_xlfn.XLOOKUP(tbl_encuesta[[#This Row],[Siento que mi trabajo es reconocido por mi supervisor o jefe directo.]],#REF!,#REF!)</f>
        <v>#REF!</v>
      </c>
      <c r="P817" t="s">
        <v>31</v>
      </c>
      <c r="Q817" t="e">
        <f xml:space="preserve">
_xlfn.XLOOKUP(
tbl_encuesta[[#This Row],[Mi supervisor o jefe directo nos brinda charlas de 5 minutos y comunica las novedades relevantes a mi puesto de trabajo]],#REF!,#REF!
)</f>
        <v>#REF!</v>
      </c>
      <c r="R817" t="s">
        <v>17</v>
      </c>
      <c r="W817" t="s">
        <v>46</v>
      </c>
      <c r="X817" t="s">
        <v>23</v>
      </c>
      <c r="Y817" t="e">
        <f>+_xlfn.XLOOKUP(tbl_encuesta[[#This Row],[Considero a Limtek como un buen lugar para trabajar]],#REF!,#REF!)</f>
        <v>#REF!</v>
      </c>
      <c r="Z817" t="s">
        <v>1574</v>
      </c>
      <c r="AA817" t="s">
        <v>2062</v>
      </c>
      <c r="AB817" t="s">
        <v>28</v>
      </c>
      <c r="AC817" s="3" t="s">
        <v>3825</v>
      </c>
      <c r="AD817" s="3" t="s">
        <v>3826</v>
      </c>
      <c r="AE817" t="s">
        <v>34</v>
      </c>
    </row>
    <row r="818" spans="1:31" x14ac:dyDescent="0.25">
      <c r="A818">
        <v>119027189104</v>
      </c>
      <c r="B818">
        <v>462598545</v>
      </c>
      <c r="C818" s="1">
        <v>46018.624641203707</v>
      </c>
      <c r="D818" s="1">
        <v>46018.640300925923</v>
      </c>
      <c r="E818" t="s">
        <v>2076</v>
      </c>
      <c r="F818" t="s">
        <v>23</v>
      </c>
      <c r="G818" t="e">
        <f>+_xlfn.XLOOKUP(tbl_encuesta[[#This Row],[Me siento a gusto con el ambiente de trabajo que se genera en mi equipo.]],#REF!,#REF!)</f>
        <v>#REF!</v>
      </c>
      <c r="H818" t="s">
        <v>23</v>
      </c>
      <c r="I818" t="e">
        <f>+_xlfn.XLOOKUP(tbl_encuesta[[#This Row],[Me siento motivado a dar lo mejor de mí y hacer un buen trabajo]],#REF!,#REF!)</f>
        <v>#REF!</v>
      </c>
      <c r="J818" t="s">
        <v>23</v>
      </c>
      <c r="K818" t="e">
        <f>+_xlfn.XLOOKUP(tbl_encuesta[[#This Row],[Mi supervisor o jefe directo me otorga el soporte que necesito para afrontar cualquier problema que afecte mi trabajo]],#REF!,#REF!)</f>
        <v>#REF!</v>
      </c>
      <c r="L818" t="s">
        <v>23</v>
      </c>
      <c r="M818" t="e">
        <f>+_xlfn.XLOOKUP(tbl_encuesta[[#This Row],[Mi supervisor o jefe directo fomenta que nos apoyemos entre todos en el equipo]],#REF!,#REF!)</f>
        <v>#REF!</v>
      </c>
      <c r="N818" t="s">
        <v>23</v>
      </c>
      <c r="O818" t="e">
        <f>+_xlfn.XLOOKUP(tbl_encuesta[[#This Row],[Siento que mi trabajo es reconocido por mi supervisor o jefe directo.]],#REF!,#REF!)</f>
        <v>#REF!</v>
      </c>
      <c r="P818" t="s">
        <v>31</v>
      </c>
      <c r="Q818" t="e">
        <f xml:space="preserve">
_xlfn.XLOOKUP(
tbl_encuesta[[#This Row],[Mi supervisor o jefe directo nos brinda charlas de 5 minutos y comunica las novedades relevantes a mi puesto de trabajo]],#REF!,#REF!
)</f>
        <v>#REF!</v>
      </c>
      <c r="S818" t="s">
        <v>18</v>
      </c>
      <c r="W818" t="s">
        <v>25</v>
      </c>
      <c r="X818" t="s">
        <v>23</v>
      </c>
      <c r="Y818" t="e">
        <f>+_xlfn.XLOOKUP(tbl_encuesta[[#This Row],[Considero a Limtek como un buen lugar para trabajar]],#REF!,#REF!)</f>
        <v>#REF!</v>
      </c>
      <c r="Z818" t="s">
        <v>2077</v>
      </c>
      <c r="AA818" t="s">
        <v>122</v>
      </c>
      <c r="AB818" t="s">
        <v>581</v>
      </c>
      <c r="AC818" s="3" t="s">
        <v>3610</v>
      </c>
      <c r="AD818" s="3" t="s">
        <v>3687</v>
      </c>
      <c r="AE818" t="s">
        <v>29</v>
      </c>
    </row>
    <row r="819" spans="1:31" x14ac:dyDescent="0.25">
      <c r="A819">
        <v>119027188588</v>
      </c>
      <c r="B819">
        <v>462598545</v>
      </c>
      <c r="C819" s="1">
        <v>46018.634108796294</v>
      </c>
      <c r="D819" s="1">
        <v>46018.638796296298</v>
      </c>
      <c r="E819" t="s">
        <v>818</v>
      </c>
      <c r="F819" t="s">
        <v>23</v>
      </c>
      <c r="G819" t="e">
        <f>+_xlfn.XLOOKUP(tbl_encuesta[[#This Row],[Me siento a gusto con el ambiente de trabajo que se genera en mi equipo.]],#REF!,#REF!)</f>
        <v>#REF!</v>
      </c>
      <c r="H819" t="s">
        <v>23</v>
      </c>
      <c r="I819" t="e">
        <f>+_xlfn.XLOOKUP(tbl_encuesta[[#This Row],[Me siento motivado a dar lo mejor de mí y hacer un buen trabajo]],#REF!,#REF!)</f>
        <v>#REF!</v>
      </c>
      <c r="J819" t="s">
        <v>23</v>
      </c>
      <c r="K819" t="e">
        <f>+_xlfn.XLOOKUP(tbl_encuesta[[#This Row],[Mi supervisor o jefe directo me otorga el soporte que necesito para afrontar cualquier problema que afecte mi trabajo]],#REF!,#REF!)</f>
        <v>#REF!</v>
      </c>
      <c r="L819" t="s">
        <v>23</v>
      </c>
      <c r="M819" t="e">
        <f>+_xlfn.XLOOKUP(tbl_encuesta[[#This Row],[Mi supervisor o jefe directo fomenta que nos apoyemos entre todos en el equipo]],#REF!,#REF!)</f>
        <v>#REF!</v>
      </c>
      <c r="N819" t="s">
        <v>23</v>
      </c>
      <c r="O819" t="e">
        <f>+_xlfn.XLOOKUP(tbl_encuesta[[#This Row],[Siento que mi trabajo es reconocido por mi supervisor o jefe directo.]],#REF!,#REF!)</f>
        <v>#REF!</v>
      </c>
      <c r="P819" t="s">
        <v>31</v>
      </c>
      <c r="Q819" t="e">
        <f xml:space="preserve">
_xlfn.XLOOKUP(
tbl_encuesta[[#This Row],[Mi supervisor o jefe directo nos brinda charlas de 5 minutos y comunica las novedades relevantes a mi puesto de trabajo]],#REF!,#REF!
)</f>
        <v>#REF!</v>
      </c>
      <c r="R819" t="s">
        <v>17</v>
      </c>
      <c r="T819" t="s">
        <v>19</v>
      </c>
      <c r="W819" t="s">
        <v>25</v>
      </c>
      <c r="X819" t="s">
        <v>23</v>
      </c>
      <c r="Y819" t="e">
        <f>+_xlfn.XLOOKUP(tbl_encuesta[[#This Row],[Considero a Limtek como un buen lugar para trabajar]],#REF!,#REF!)</f>
        <v>#REF!</v>
      </c>
      <c r="Z819" t="s">
        <v>2078</v>
      </c>
      <c r="AA819" t="s">
        <v>2079</v>
      </c>
      <c r="AB819" t="s">
        <v>581</v>
      </c>
      <c r="AC819" s="3" t="s">
        <v>3610</v>
      </c>
      <c r="AD819" s="3" t="s">
        <v>3610</v>
      </c>
      <c r="AE819" t="s">
        <v>34</v>
      </c>
    </row>
    <row r="820" spans="1:31" x14ac:dyDescent="0.25">
      <c r="A820">
        <v>119027188061</v>
      </c>
      <c r="B820">
        <v>462598545</v>
      </c>
      <c r="C820" s="1">
        <v>46018.635937500003</v>
      </c>
      <c r="D820" s="1">
        <v>46018.637337962966</v>
      </c>
      <c r="E820" t="s">
        <v>2080</v>
      </c>
      <c r="F820" t="s">
        <v>22</v>
      </c>
      <c r="G820" t="e">
        <f>+_xlfn.XLOOKUP(tbl_encuesta[[#This Row],[Me siento a gusto con el ambiente de trabajo que se genera en mi equipo.]],#REF!,#REF!)</f>
        <v>#REF!</v>
      </c>
      <c r="H820" t="s">
        <v>22</v>
      </c>
      <c r="I820" t="e">
        <f>+_xlfn.XLOOKUP(tbl_encuesta[[#This Row],[Me siento motivado a dar lo mejor de mí y hacer un buen trabajo]],#REF!,#REF!)</f>
        <v>#REF!</v>
      </c>
      <c r="J820" t="s">
        <v>22</v>
      </c>
      <c r="K820" t="e">
        <f>+_xlfn.XLOOKUP(tbl_encuesta[[#This Row],[Mi supervisor o jefe directo me otorga el soporte que necesito para afrontar cualquier problema que afecte mi trabajo]],#REF!,#REF!)</f>
        <v>#REF!</v>
      </c>
      <c r="L820" t="s">
        <v>97</v>
      </c>
      <c r="M820" t="e">
        <f>+_xlfn.XLOOKUP(tbl_encuesta[[#This Row],[Mi supervisor o jefe directo fomenta que nos apoyemos entre todos en el equipo]],#REF!,#REF!)</f>
        <v>#REF!</v>
      </c>
      <c r="N820" t="s">
        <v>97</v>
      </c>
      <c r="O820" t="e">
        <f>+_xlfn.XLOOKUP(tbl_encuesta[[#This Row],[Siento que mi trabajo es reconocido por mi supervisor o jefe directo.]],#REF!,#REF!)</f>
        <v>#REF!</v>
      </c>
      <c r="P820" t="s">
        <v>67</v>
      </c>
      <c r="Q820" t="e">
        <f xml:space="preserve">
_xlfn.XLOOKUP(
tbl_encuesta[[#This Row],[Mi supervisor o jefe directo nos brinda charlas de 5 minutos y comunica las novedades relevantes a mi puesto de trabajo]],#REF!,#REF!
)</f>
        <v>#REF!</v>
      </c>
      <c r="T820" t="s">
        <v>19</v>
      </c>
      <c r="W820" t="s">
        <v>25</v>
      </c>
      <c r="X820" t="s">
        <v>22</v>
      </c>
      <c r="Y820" t="e">
        <f>+_xlfn.XLOOKUP(tbl_encuesta[[#This Row],[Considero a Limtek como un buen lugar para trabajar]],#REF!,#REF!)</f>
        <v>#REF!</v>
      </c>
      <c r="Z820" t="s">
        <v>1574</v>
      </c>
      <c r="AA820" t="s">
        <v>2081</v>
      </c>
      <c r="AB820" t="s">
        <v>28</v>
      </c>
      <c r="AC820" s="3" t="s">
        <v>3825</v>
      </c>
      <c r="AD820" s="3" t="s">
        <v>3826</v>
      </c>
      <c r="AE820" t="s">
        <v>55</v>
      </c>
    </row>
    <row r="821" spans="1:31" x14ac:dyDescent="0.25">
      <c r="A821">
        <v>119027186940</v>
      </c>
      <c r="B821">
        <v>462598545</v>
      </c>
      <c r="C821" s="1">
        <v>46018.629710648151</v>
      </c>
      <c r="D821" s="1">
        <v>46018.634398148148</v>
      </c>
      <c r="E821" t="s">
        <v>2082</v>
      </c>
      <c r="F821" t="s">
        <v>23</v>
      </c>
      <c r="G821" t="e">
        <f>+_xlfn.XLOOKUP(tbl_encuesta[[#This Row],[Me siento a gusto con el ambiente de trabajo que se genera en mi equipo.]],#REF!,#REF!)</f>
        <v>#REF!</v>
      </c>
      <c r="H821" t="s">
        <v>23</v>
      </c>
      <c r="I821" t="e">
        <f>+_xlfn.XLOOKUP(tbl_encuesta[[#This Row],[Me siento motivado a dar lo mejor de mí y hacer un buen trabajo]],#REF!,#REF!)</f>
        <v>#REF!</v>
      </c>
      <c r="J821" t="s">
        <v>22</v>
      </c>
      <c r="K821" t="e">
        <f>+_xlfn.XLOOKUP(tbl_encuesta[[#This Row],[Mi supervisor o jefe directo me otorga el soporte que necesito para afrontar cualquier problema que afecte mi trabajo]],#REF!,#REF!)</f>
        <v>#REF!</v>
      </c>
      <c r="L821" t="s">
        <v>22</v>
      </c>
      <c r="M821" t="e">
        <f>+_xlfn.XLOOKUP(tbl_encuesta[[#This Row],[Mi supervisor o jefe directo fomenta que nos apoyemos entre todos en el equipo]],#REF!,#REF!)</f>
        <v>#REF!</v>
      </c>
      <c r="N821" t="s">
        <v>23</v>
      </c>
      <c r="O821" t="e">
        <f>+_xlfn.XLOOKUP(tbl_encuesta[[#This Row],[Siento que mi trabajo es reconocido por mi supervisor o jefe directo.]],#REF!,#REF!)</f>
        <v>#REF!</v>
      </c>
      <c r="P821" t="s">
        <v>31</v>
      </c>
      <c r="Q821" t="e">
        <f xml:space="preserve">
_xlfn.XLOOKUP(
tbl_encuesta[[#This Row],[Mi supervisor o jefe directo nos brinda charlas de 5 minutos y comunica las novedades relevantes a mi puesto de trabajo]],#REF!,#REF!
)</f>
        <v>#REF!</v>
      </c>
      <c r="R821" t="s">
        <v>17</v>
      </c>
      <c r="W821" t="s">
        <v>25</v>
      </c>
      <c r="X821" t="s">
        <v>23</v>
      </c>
      <c r="Y821" t="e">
        <f>+_xlfn.XLOOKUP(tbl_encuesta[[#This Row],[Considero a Limtek como un buen lugar para trabajar]],#REF!,#REF!)</f>
        <v>#REF!</v>
      </c>
      <c r="Z821" t="s">
        <v>2083</v>
      </c>
      <c r="AA821" t="s">
        <v>2084</v>
      </c>
      <c r="AB821" t="s">
        <v>581</v>
      </c>
      <c r="AC821" s="3" t="s">
        <v>3610</v>
      </c>
      <c r="AD821" s="3" t="s">
        <v>3648</v>
      </c>
      <c r="AE821" t="s">
        <v>55</v>
      </c>
    </row>
    <row r="822" spans="1:31" x14ac:dyDescent="0.25">
      <c r="A822">
        <v>119027185711</v>
      </c>
      <c r="B822">
        <v>462598545</v>
      </c>
      <c r="C822" s="1">
        <v>46018.628125000003</v>
      </c>
      <c r="D822" s="1">
        <v>46018.63108796296</v>
      </c>
      <c r="E822" t="s">
        <v>2085</v>
      </c>
      <c r="F822" t="s">
        <v>23</v>
      </c>
      <c r="G822" t="e">
        <f>+_xlfn.XLOOKUP(tbl_encuesta[[#This Row],[Me siento a gusto con el ambiente de trabajo que se genera en mi equipo.]],#REF!,#REF!)</f>
        <v>#REF!</v>
      </c>
      <c r="H822" t="s">
        <v>23</v>
      </c>
      <c r="I822" t="e">
        <f>+_xlfn.XLOOKUP(tbl_encuesta[[#This Row],[Me siento motivado a dar lo mejor de mí y hacer un buen trabajo]],#REF!,#REF!)</f>
        <v>#REF!</v>
      </c>
      <c r="J822" t="s">
        <v>23</v>
      </c>
      <c r="K822" t="e">
        <f>+_xlfn.XLOOKUP(tbl_encuesta[[#This Row],[Mi supervisor o jefe directo me otorga el soporte que necesito para afrontar cualquier problema que afecte mi trabajo]],#REF!,#REF!)</f>
        <v>#REF!</v>
      </c>
      <c r="L822" t="s">
        <v>23</v>
      </c>
      <c r="M822" t="e">
        <f>+_xlfn.XLOOKUP(tbl_encuesta[[#This Row],[Mi supervisor o jefe directo fomenta que nos apoyemos entre todos en el equipo]],#REF!,#REF!)</f>
        <v>#REF!</v>
      </c>
      <c r="N822" t="s">
        <v>23</v>
      </c>
      <c r="O822" t="e">
        <f>+_xlfn.XLOOKUP(tbl_encuesta[[#This Row],[Siento que mi trabajo es reconocido por mi supervisor o jefe directo.]],#REF!,#REF!)</f>
        <v>#REF!</v>
      </c>
      <c r="P822" t="s">
        <v>31</v>
      </c>
      <c r="Q822" t="e">
        <f xml:space="preserve">
_xlfn.XLOOKUP(
tbl_encuesta[[#This Row],[Mi supervisor o jefe directo nos brinda charlas de 5 minutos y comunica las novedades relevantes a mi puesto de trabajo]],#REF!,#REF!
)</f>
        <v>#REF!</v>
      </c>
      <c r="R822" t="s">
        <v>17</v>
      </c>
      <c r="W822" t="s">
        <v>25</v>
      </c>
      <c r="X822" t="s">
        <v>23</v>
      </c>
      <c r="Y822" t="e">
        <f>+_xlfn.XLOOKUP(tbl_encuesta[[#This Row],[Considero a Limtek como un buen lugar para trabajar]],#REF!,#REF!)</f>
        <v>#REF!</v>
      </c>
      <c r="Z822" t="s">
        <v>2086</v>
      </c>
      <c r="AA822" t="s">
        <v>2087</v>
      </c>
      <c r="AB822" t="s">
        <v>581</v>
      </c>
      <c r="AC822" s="3" t="s">
        <v>3610</v>
      </c>
      <c r="AD822" t="s">
        <v>590</v>
      </c>
      <c r="AE822" t="s">
        <v>55</v>
      </c>
    </row>
    <row r="823" spans="1:31" x14ac:dyDescent="0.25">
      <c r="A823">
        <v>119027176823</v>
      </c>
      <c r="B823">
        <v>462598545</v>
      </c>
      <c r="C823" s="1">
        <v>46018.601550925923</v>
      </c>
      <c r="D823" s="1">
        <v>46018.607152777775</v>
      </c>
      <c r="E823" t="s">
        <v>2088</v>
      </c>
      <c r="F823" t="s">
        <v>23</v>
      </c>
      <c r="G823" t="e">
        <f>+_xlfn.XLOOKUP(tbl_encuesta[[#This Row],[Me siento a gusto con el ambiente de trabajo que se genera en mi equipo.]],#REF!,#REF!)</f>
        <v>#REF!</v>
      </c>
      <c r="H823" t="s">
        <v>23</v>
      </c>
      <c r="I823" t="e">
        <f>+_xlfn.XLOOKUP(tbl_encuesta[[#This Row],[Me siento motivado a dar lo mejor de mí y hacer un buen trabajo]],#REF!,#REF!)</f>
        <v>#REF!</v>
      </c>
      <c r="J823" t="s">
        <v>23</v>
      </c>
      <c r="K823" t="e">
        <f>+_xlfn.XLOOKUP(tbl_encuesta[[#This Row],[Mi supervisor o jefe directo me otorga el soporte que necesito para afrontar cualquier problema que afecte mi trabajo]],#REF!,#REF!)</f>
        <v>#REF!</v>
      </c>
      <c r="L823" t="s">
        <v>23</v>
      </c>
      <c r="M823" t="e">
        <f>+_xlfn.XLOOKUP(tbl_encuesta[[#This Row],[Mi supervisor o jefe directo fomenta que nos apoyemos entre todos en el equipo]],#REF!,#REF!)</f>
        <v>#REF!</v>
      </c>
      <c r="N823" t="s">
        <v>23</v>
      </c>
      <c r="O823" t="e">
        <f>+_xlfn.XLOOKUP(tbl_encuesta[[#This Row],[Siento que mi trabajo es reconocido por mi supervisor o jefe directo.]],#REF!,#REF!)</f>
        <v>#REF!</v>
      </c>
      <c r="P823" t="s">
        <v>67</v>
      </c>
      <c r="Q823" t="e">
        <f xml:space="preserve">
_xlfn.XLOOKUP(
tbl_encuesta[[#This Row],[Mi supervisor o jefe directo nos brinda charlas de 5 minutos y comunica las novedades relevantes a mi puesto de trabajo]],#REF!,#REF!
)</f>
        <v>#REF!</v>
      </c>
      <c r="R823" t="s">
        <v>17</v>
      </c>
      <c r="W823" t="s">
        <v>25</v>
      </c>
      <c r="X823" t="s">
        <v>23</v>
      </c>
      <c r="Y823" t="e">
        <f>+_xlfn.XLOOKUP(tbl_encuesta[[#This Row],[Considero a Limtek como un buen lugar para trabajar]],#REF!,#REF!)</f>
        <v>#REF!</v>
      </c>
      <c r="Z823" t="s">
        <v>2089</v>
      </c>
      <c r="AA823" t="s">
        <v>2090</v>
      </c>
      <c r="AB823" t="s">
        <v>28</v>
      </c>
      <c r="AC823" s="3" t="s">
        <v>3714</v>
      </c>
      <c r="AD823" s="3" t="s">
        <v>3714</v>
      </c>
      <c r="AE823" t="s">
        <v>34</v>
      </c>
    </row>
    <row r="824" spans="1:31" x14ac:dyDescent="0.25">
      <c r="A824">
        <v>119027174324</v>
      </c>
      <c r="B824">
        <v>462598545</v>
      </c>
      <c r="C824" s="1">
        <v>46018.594699074078</v>
      </c>
      <c r="D824" s="1">
        <v>46018.600648148145</v>
      </c>
      <c r="E824" t="s">
        <v>2091</v>
      </c>
      <c r="F824" t="s">
        <v>22</v>
      </c>
      <c r="G824" t="e">
        <f>+_xlfn.XLOOKUP(tbl_encuesta[[#This Row],[Me siento a gusto con el ambiente de trabajo que se genera en mi equipo.]],#REF!,#REF!)</f>
        <v>#REF!</v>
      </c>
      <c r="H824" t="s">
        <v>23</v>
      </c>
      <c r="I824" t="e">
        <f>+_xlfn.XLOOKUP(tbl_encuesta[[#This Row],[Me siento motivado a dar lo mejor de mí y hacer un buen trabajo]],#REF!,#REF!)</f>
        <v>#REF!</v>
      </c>
      <c r="J824" t="s">
        <v>22</v>
      </c>
      <c r="K824" t="e">
        <f>+_xlfn.XLOOKUP(tbl_encuesta[[#This Row],[Mi supervisor o jefe directo me otorga el soporte que necesito para afrontar cualquier problema que afecte mi trabajo]],#REF!,#REF!)</f>
        <v>#REF!</v>
      </c>
      <c r="L824" t="s">
        <v>22</v>
      </c>
      <c r="M824" t="e">
        <f>+_xlfn.XLOOKUP(tbl_encuesta[[#This Row],[Mi supervisor o jefe directo fomenta que nos apoyemos entre todos en el equipo]],#REF!,#REF!)</f>
        <v>#REF!</v>
      </c>
      <c r="N824" t="s">
        <v>97</v>
      </c>
      <c r="O824" t="e">
        <f>+_xlfn.XLOOKUP(tbl_encuesta[[#This Row],[Siento que mi trabajo es reconocido por mi supervisor o jefe directo.]],#REF!,#REF!)</f>
        <v>#REF!</v>
      </c>
      <c r="P824" t="s">
        <v>24</v>
      </c>
      <c r="Q824" t="e">
        <f xml:space="preserve">
_xlfn.XLOOKUP(
tbl_encuesta[[#This Row],[Mi supervisor o jefe directo nos brinda charlas de 5 minutos y comunica las novedades relevantes a mi puesto de trabajo]],#REF!,#REF!
)</f>
        <v>#REF!</v>
      </c>
      <c r="R824" t="s">
        <v>17</v>
      </c>
      <c r="S824" t="s">
        <v>18</v>
      </c>
      <c r="W824" t="s">
        <v>25</v>
      </c>
      <c r="X824" t="s">
        <v>22</v>
      </c>
      <c r="Y824" t="e">
        <f>+_xlfn.XLOOKUP(tbl_encuesta[[#This Row],[Considero a Limtek como un buen lugar para trabajar]],#REF!,#REF!)</f>
        <v>#REF!</v>
      </c>
      <c r="Z824" t="s">
        <v>1556</v>
      </c>
      <c r="AA824" t="s">
        <v>2092</v>
      </c>
      <c r="AB824" t="s">
        <v>28</v>
      </c>
      <c r="AC824" s="3" t="s">
        <v>3859</v>
      </c>
      <c r="AD824" s="3" t="s">
        <v>3860</v>
      </c>
      <c r="AE824" t="s">
        <v>69</v>
      </c>
    </row>
    <row r="825" spans="1:31" x14ac:dyDescent="0.25">
      <c r="A825">
        <v>119027169585</v>
      </c>
      <c r="B825">
        <v>462598545</v>
      </c>
      <c r="C825" s="1">
        <v>46018.581064814818</v>
      </c>
      <c r="D825" s="1">
        <v>46018.58829861111</v>
      </c>
      <c r="E825" t="s">
        <v>2093</v>
      </c>
      <c r="F825" t="s">
        <v>23</v>
      </c>
      <c r="G825" t="e">
        <f>+_xlfn.XLOOKUP(tbl_encuesta[[#This Row],[Me siento a gusto con el ambiente de trabajo que se genera en mi equipo.]],#REF!,#REF!)</f>
        <v>#REF!</v>
      </c>
      <c r="H825" t="s">
        <v>23</v>
      </c>
      <c r="I825" t="e">
        <f>+_xlfn.XLOOKUP(tbl_encuesta[[#This Row],[Me siento motivado a dar lo mejor de mí y hacer un buen trabajo]],#REF!,#REF!)</f>
        <v>#REF!</v>
      </c>
      <c r="J825" t="s">
        <v>22</v>
      </c>
      <c r="K825" t="e">
        <f>+_xlfn.XLOOKUP(tbl_encuesta[[#This Row],[Mi supervisor o jefe directo me otorga el soporte que necesito para afrontar cualquier problema que afecte mi trabajo]],#REF!,#REF!)</f>
        <v>#REF!</v>
      </c>
      <c r="L825" t="s">
        <v>23</v>
      </c>
      <c r="M825" t="e">
        <f>+_xlfn.XLOOKUP(tbl_encuesta[[#This Row],[Mi supervisor o jefe directo fomenta que nos apoyemos entre todos en el equipo]],#REF!,#REF!)</f>
        <v>#REF!</v>
      </c>
      <c r="N825" t="s">
        <v>23</v>
      </c>
      <c r="O825" t="e">
        <f>+_xlfn.XLOOKUP(tbl_encuesta[[#This Row],[Siento que mi trabajo es reconocido por mi supervisor o jefe directo.]],#REF!,#REF!)</f>
        <v>#REF!</v>
      </c>
      <c r="P825" t="s">
        <v>31</v>
      </c>
      <c r="Q825" t="e">
        <f xml:space="preserve">
_xlfn.XLOOKUP(
tbl_encuesta[[#This Row],[Mi supervisor o jefe directo nos brinda charlas de 5 minutos y comunica las novedades relevantes a mi puesto de trabajo]],#REF!,#REF!
)</f>
        <v>#REF!</v>
      </c>
      <c r="R825" t="s">
        <v>17</v>
      </c>
      <c r="S825" t="s">
        <v>18</v>
      </c>
      <c r="W825" t="s">
        <v>25</v>
      </c>
      <c r="X825" t="s">
        <v>23</v>
      </c>
      <c r="Y825" t="e">
        <f>+_xlfn.XLOOKUP(tbl_encuesta[[#This Row],[Considero a Limtek como un buen lugar para trabajar]],#REF!,#REF!)</f>
        <v>#REF!</v>
      </c>
      <c r="Z825" t="s">
        <v>2094</v>
      </c>
      <c r="AA825" t="s">
        <v>2095</v>
      </c>
      <c r="AB825" t="s">
        <v>28</v>
      </c>
      <c r="AC825" s="3" t="s">
        <v>3705</v>
      </c>
      <c r="AD825" s="3" t="s">
        <v>3706</v>
      </c>
      <c r="AE825" t="s">
        <v>34</v>
      </c>
    </row>
    <row r="826" spans="1:31" x14ac:dyDescent="0.25">
      <c r="A826">
        <v>119027168620</v>
      </c>
      <c r="B826">
        <v>462598545</v>
      </c>
      <c r="C826" s="1">
        <v>46018.571296296293</v>
      </c>
      <c r="D826" s="1">
        <v>46018.586018518516</v>
      </c>
      <c r="E826" t="s">
        <v>1524</v>
      </c>
      <c r="F826" t="s">
        <v>22</v>
      </c>
      <c r="G826" t="e">
        <f>+_xlfn.XLOOKUP(tbl_encuesta[[#This Row],[Me siento a gusto con el ambiente de trabajo que se genera en mi equipo.]],#REF!,#REF!)</f>
        <v>#REF!</v>
      </c>
      <c r="H826" t="s">
        <v>23</v>
      </c>
      <c r="I826" t="e">
        <f>+_xlfn.XLOOKUP(tbl_encuesta[[#This Row],[Me siento motivado a dar lo mejor de mí y hacer un buen trabajo]],#REF!,#REF!)</f>
        <v>#REF!</v>
      </c>
      <c r="J826" t="s">
        <v>22</v>
      </c>
      <c r="K826" t="e">
        <f>+_xlfn.XLOOKUP(tbl_encuesta[[#This Row],[Mi supervisor o jefe directo me otorga el soporte que necesito para afrontar cualquier problema que afecte mi trabajo]],#REF!,#REF!)</f>
        <v>#REF!</v>
      </c>
      <c r="L826" t="s">
        <v>22</v>
      </c>
      <c r="M826" t="e">
        <f>+_xlfn.XLOOKUP(tbl_encuesta[[#This Row],[Mi supervisor o jefe directo fomenta que nos apoyemos entre todos en el equipo]],#REF!,#REF!)</f>
        <v>#REF!</v>
      </c>
      <c r="N826" t="s">
        <v>22</v>
      </c>
      <c r="O826" t="e">
        <f>+_xlfn.XLOOKUP(tbl_encuesta[[#This Row],[Siento que mi trabajo es reconocido por mi supervisor o jefe directo.]],#REF!,#REF!)</f>
        <v>#REF!</v>
      </c>
      <c r="P826" t="s">
        <v>67</v>
      </c>
      <c r="Q826" t="e">
        <f xml:space="preserve">
_xlfn.XLOOKUP(
tbl_encuesta[[#This Row],[Mi supervisor o jefe directo nos brinda charlas de 5 minutos y comunica las novedades relevantes a mi puesto de trabajo]],#REF!,#REF!
)</f>
        <v>#REF!</v>
      </c>
      <c r="R826" t="s">
        <v>17</v>
      </c>
      <c r="U826" t="s">
        <v>20</v>
      </c>
      <c r="W826" t="s">
        <v>25</v>
      </c>
      <c r="X826" t="s">
        <v>22</v>
      </c>
      <c r="Y826" t="e">
        <f>+_xlfn.XLOOKUP(tbl_encuesta[[#This Row],[Considero a Limtek como un buen lugar para trabajar]],#REF!,#REF!)</f>
        <v>#REF!</v>
      </c>
      <c r="Z826" t="s">
        <v>576</v>
      </c>
      <c r="AA826" t="s">
        <v>2096</v>
      </c>
      <c r="AB826" t="s">
        <v>28</v>
      </c>
      <c r="AC826" s="3" t="s">
        <v>3705</v>
      </c>
      <c r="AD826" s="3" t="s">
        <v>3707</v>
      </c>
      <c r="AE826" t="s">
        <v>34</v>
      </c>
    </row>
    <row r="827" spans="1:31" x14ac:dyDescent="0.25">
      <c r="A827">
        <v>119027168128</v>
      </c>
      <c r="B827">
        <v>462598545</v>
      </c>
      <c r="C827" s="1">
        <v>46018.582488425927</v>
      </c>
      <c r="D827" s="1">
        <v>46018.584699074076</v>
      </c>
      <c r="E827" t="s">
        <v>2097</v>
      </c>
      <c r="F827" t="s">
        <v>23</v>
      </c>
      <c r="G827" t="e">
        <f>+_xlfn.XLOOKUP(tbl_encuesta[[#This Row],[Me siento a gusto con el ambiente de trabajo que se genera en mi equipo.]],#REF!,#REF!)</f>
        <v>#REF!</v>
      </c>
      <c r="H827" t="s">
        <v>23</v>
      </c>
      <c r="I827" t="e">
        <f>+_xlfn.XLOOKUP(tbl_encuesta[[#This Row],[Me siento motivado a dar lo mejor de mí y hacer un buen trabajo]],#REF!,#REF!)</f>
        <v>#REF!</v>
      </c>
      <c r="J827" t="s">
        <v>23</v>
      </c>
      <c r="K827" t="e">
        <f>+_xlfn.XLOOKUP(tbl_encuesta[[#This Row],[Mi supervisor o jefe directo me otorga el soporte que necesito para afrontar cualquier problema que afecte mi trabajo]],#REF!,#REF!)</f>
        <v>#REF!</v>
      </c>
      <c r="L827" t="s">
        <v>23</v>
      </c>
      <c r="M827" t="e">
        <f>+_xlfn.XLOOKUP(tbl_encuesta[[#This Row],[Mi supervisor o jefe directo fomenta que nos apoyemos entre todos en el equipo]],#REF!,#REF!)</f>
        <v>#REF!</v>
      </c>
      <c r="N827" t="s">
        <v>23</v>
      </c>
      <c r="O827" t="e">
        <f>+_xlfn.XLOOKUP(tbl_encuesta[[#This Row],[Siento que mi trabajo es reconocido por mi supervisor o jefe directo.]],#REF!,#REF!)</f>
        <v>#REF!</v>
      </c>
      <c r="P827" t="s">
        <v>31</v>
      </c>
      <c r="Q827" t="e">
        <f xml:space="preserve">
_xlfn.XLOOKUP(
tbl_encuesta[[#This Row],[Mi supervisor o jefe directo nos brinda charlas de 5 minutos y comunica las novedades relevantes a mi puesto de trabajo]],#REF!,#REF!
)</f>
        <v>#REF!</v>
      </c>
      <c r="R827" t="s">
        <v>17</v>
      </c>
      <c r="U827" t="s">
        <v>20</v>
      </c>
      <c r="W827" t="s">
        <v>25</v>
      </c>
      <c r="X827" t="s">
        <v>23</v>
      </c>
      <c r="Y827" t="e">
        <f>+_xlfn.XLOOKUP(tbl_encuesta[[#This Row],[Considero a Limtek como un buen lugar para trabajar]],#REF!,#REF!)</f>
        <v>#REF!</v>
      </c>
      <c r="Z827" t="s">
        <v>2098</v>
      </c>
      <c r="AA827" t="s">
        <v>122</v>
      </c>
      <c r="AB827" t="s">
        <v>581</v>
      </c>
      <c r="AC827" s="3" t="s">
        <v>3610</v>
      </c>
      <c r="AD827" s="3" t="s">
        <v>3650</v>
      </c>
      <c r="AE827" t="s">
        <v>61</v>
      </c>
    </row>
    <row r="828" spans="1:31" x14ac:dyDescent="0.25">
      <c r="A828">
        <v>119027167839</v>
      </c>
      <c r="B828">
        <v>462598545</v>
      </c>
      <c r="C828" s="1">
        <v>46018.579131944447</v>
      </c>
      <c r="D828" s="1">
        <v>46018.583981481483</v>
      </c>
      <c r="E828" t="s">
        <v>2099</v>
      </c>
      <c r="F828" t="s">
        <v>23</v>
      </c>
      <c r="G828" t="e">
        <f>+_xlfn.XLOOKUP(tbl_encuesta[[#This Row],[Me siento a gusto con el ambiente de trabajo que se genera en mi equipo.]],#REF!,#REF!)</f>
        <v>#REF!</v>
      </c>
      <c r="H828" t="s">
        <v>23</v>
      </c>
      <c r="I828" t="e">
        <f>+_xlfn.XLOOKUP(tbl_encuesta[[#This Row],[Me siento motivado a dar lo mejor de mí y hacer un buen trabajo]],#REF!,#REF!)</f>
        <v>#REF!</v>
      </c>
      <c r="J828" t="s">
        <v>23</v>
      </c>
      <c r="K828" t="e">
        <f>+_xlfn.XLOOKUP(tbl_encuesta[[#This Row],[Mi supervisor o jefe directo me otorga el soporte que necesito para afrontar cualquier problema que afecte mi trabajo]],#REF!,#REF!)</f>
        <v>#REF!</v>
      </c>
      <c r="L828" t="s">
        <v>23</v>
      </c>
      <c r="M828" t="e">
        <f>+_xlfn.XLOOKUP(tbl_encuesta[[#This Row],[Mi supervisor o jefe directo fomenta que nos apoyemos entre todos en el equipo]],#REF!,#REF!)</f>
        <v>#REF!</v>
      </c>
      <c r="N828" t="s">
        <v>23</v>
      </c>
      <c r="O828" t="e">
        <f>+_xlfn.XLOOKUP(tbl_encuesta[[#This Row],[Siento que mi trabajo es reconocido por mi supervisor o jefe directo.]],#REF!,#REF!)</f>
        <v>#REF!</v>
      </c>
      <c r="P828" t="s">
        <v>31</v>
      </c>
      <c r="Q828" t="e">
        <f xml:space="preserve">
_xlfn.XLOOKUP(
tbl_encuesta[[#This Row],[Mi supervisor o jefe directo nos brinda charlas de 5 minutos y comunica las novedades relevantes a mi puesto de trabajo]],#REF!,#REF!
)</f>
        <v>#REF!</v>
      </c>
      <c r="R828" t="s">
        <v>17</v>
      </c>
      <c r="S828" t="s">
        <v>18</v>
      </c>
      <c r="W828" t="s">
        <v>25</v>
      </c>
      <c r="X828" t="s">
        <v>23</v>
      </c>
      <c r="Y828" t="e">
        <f>+_xlfn.XLOOKUP(tbl_encuesta[[#This Row],[Considero a Limtek como un buen lugar para trabajar]],#REF!,#REF!)</f>
        <v>#REF!</v>
      </c>
      <c r="Z828" t="s">
        <v>2100</v>
      </c>
      <c r="AA828" t="s">
        <v>2101</v>
      </c>
      <c r="AB828" t="s">
        <v>559</v>
      </c>
      <c r="AC828" s="3" t="s">
        <v>3794</v>
      </c>
      <c r="AD828" s="3" t="s">
        <v>3794</v>
      </c>
      <c r="AE828" t="s">
        <v>34</v>
      </c>
    </row>
    <row r="829" spans="1:31" x14ac:dyDescent="0.25">
      <c r="A829">
        <v>119027164576</v>
      </c>
      <c r="B829">
        <v>462598545</v>
      </c>
      <c r="C829" s="1">
        <v>46018.574548611112</v>
      </c>
      <c r="D829" s="1">
        <v>46018.575694444444</v>
      </c>
      <c r="E829" t="s">
        <v>2102</v>
      </c>
      <c r="F829" t="s">
        <v>23</v>
      </c>
      <c r="G829" t="e">
        <f>+_xlfn.XLOOKUP(tbl_encuesta[[#This Row],[Me siento a gusto con el ambiente de trabajo que se genera en mi equipo.]],#REF!,#REF!)</f>
        <v>#REF!</v>
      </c>
      <c r="H829" t="s">
        <v>23</v>
      </c>
      <c r="I829" t="e">
        <f>+_xlfn.XLOOKUP(tbl_encuesta[[#This Row],[Me siento motivado a dar lo mejor de mí y hacer un buen trabajo]],#REF!,#REF!)</f>
        <v>#REF!</v>
      </c>
      <c r="J829" t="s">
        <v>23</v>
      </c>
      <c r="K829" t="e">
        <f>+_xlfn.XLOOKUP(tbl_encuesta[[#This Row],[Mi supervisor o jefe directo me otorga el soporte que necesito para afrontar cualquier problema que afecte mi trabajo]],#REF!,#REF!)</f>
        <v>#REF!</v>
      </c>
      <c r="L829" t="s">
        <v>23</v>
      </c>
      <c r="M829" t="e">
        <f>+_xlfn.XLOOKUP(tbl_encuesta[[#This Row],[Mi supervisor o jefe directo fomenta que nos apoyemos entre todos en el equipo]],#REF!,#REF!)</f>
        <v>#REF!</v>
      </c>
      <c r="N829" t="s">
        <v>23</v>
      </c>
      <c r="O829" t="e">
        <f>+_xlfn.XLOOKUP(tbl_encuesta[[#This Row],[Siento que mi trabajo es reconocido por mi supervisor o jefe directo.]],#REF!,#REF!)</f>
        <v>#REF!</v>
      </c>
      <c r="P829" t="s">
        <v>31</v>
      </c>
      <c r="Q829" t="e">
        <f xml:space="preserve">
_xlfn.XLOOKUP(
tbl_encuesta[[#This Row],[Mi supervisor o jefe directo nos brinda charlas de 5 minutos y comunica las novedades relevantes a mi puesto de trabajo]],#REF!,#REF!
)</f>
        <v>#REF!</v>
      </c>
      <c r="R829" t="s">
        <v>17</v>
      </c>
      <c r="S829" t="s">
        <v>18</v>
      </c>
      <c r="W829" t="s">
        <v>25</v>
      </c>
      <c r="X829" t="s">
        <v>22</v>
      </c>
      <c r="Y829" t="e">
        <f>+_xlfn.XLOOKUP(tbl_encuesta[[#This Row],[Considero a Limtek como un buen lugar para trabajar]],#REF!,#REF!)</f>
        <v>#REF!</v>
      </c>
      <c r="Z829" t="s">
        <v>2103</v>
      </c>
      <c r="AA829" t="s">
        <v>1982</v>
      </c>
      <c r="AB829" t="s">
        <v>28</v>
      </c>
      <c r="AC829" s="3" t="s">
        <v>3859</v>
      </c>
      <c r="AD829" s="3" t="s">
        <v>3860</v>
      </c>
      <c r="AE829" t="s">
        <v>29</v>
      </c>
    </row>
    <row r="830" spans="1:31" x14ac:dyDescent="0.25">
      <c r="A830">
        <v>119027164072</v>
      </c>
      <c r="B830">
        <v>462598545</v>
      </c>
      <c r="C830" s="1">
        <v>46018.57335648148</v>
      </c>
      <c r="D830" s="1">
        <v>46018.574374999997</v>
      </c>
      <c r="E830" t="s">
        <v>2102</v>
      </c>
      <c r="F830" t="s">
        <v>22</v>
      </c>
      <c r="G830" t="e">
        <f>+_xlfn.XLOOKUP(tbl_encuesta[[#This Row],[Me siento a gusto con el ambiente de trabajo que se genera en mi equipo.]],#REF!,#REF!)</f>
        <v>#REF!</v>
      </c>
      <c r="H830" t="s">
        <v>23</v>
      </c>
      <c r="I830" t="e">
        <f>+_xlfn.XLOOKUP(tbl_encuesta[[#This Row],[Me siento motivado a dar lo mejor de mí y hacer un buen trabajo]],#REF!,#REF!)</f>
        <v>#REF!</v>
      </c>
      <c r="J830" t="s">
        <v>23</v>
      </c>
      <c r="K830" t="e">
        <f>+_xlfn.XLOOKUP(tbl_encuesta[[#This Row],[Mi supervisor o jefe directo me otorga el soporte que necesito para afrontar cualquier problema que afecte mi trabajo]],#REF!,#REF!)</f>
        <v>#REF!</v>
      </c>
      <c r="L830" t="s">
        <v>23</v>
      </c>
      <c r="M830" t="e">
        <f>+_xlfn.XLOOKUP(tbl_encuesta[[#This Row],[Mi supervisor o jefe directo fomenta que nos apoyemos entre todos en el equipo]],#REF!,#REF!)</f>
        <v>#REF!</v>
      </c>
      <c r="N830" t="s">
        <v>23</v>
      </c>
      <c r="O830" t="e">
        <f>+_xlfn.XLOOKUP(tbl_encuesta[[#This Row],[Siento que mi trabajo es reconocido por mi supervisor o jefe directo.]],#REF!,#REF!)</f>
        <v>#REF!</v>
      </c>
      <c r="P830" t="s">
        <v>31</v>
      </c>
      <c r="Q830" t="e">
        <f xml:space="preserve">
_xlfn.XLOOKUP(
tbl_encuesta[[#This Row],[Mi supervisor o jefe directo nos brinda charlas de 5 minutos y comunica las novedades relevantes a mi puesto de trabajo]],#REF!,#REF!
)</f>
        <v>#REF!</v>
      </c>
      <c r="R830" t="s">
        <v>17</v>
      </c>
      <c r="S830" t="s">
        <v>18</v>
      </c>
      <c r="W830" t="s">
        <v>25</v>
      </c>
      <c r="X830" t="s">
        <v>22</v>
      </c>
      <c r="Y830" t="e">
        <f>+_xlfn.XLOOKUP(tbl_encuesta[[#This Row],[Considero a Limtek como un buen lugar para trabajar]],#REF!,#REF!)</f>
        <v>#REF!</v>
      </c>
      <c r="Z830" t="s">
        <v>2104</v>
      </c>
      <c r="AA830" t="s">
        <v>1982</v>
      </c>
      <c r="AB830" t="s">
        <v>28</v>
      </c>
      <c r="AC830" s="3" t="s">
        <v>3859</v>
      </c>
      <c r="AD830" s="3" t="s">
        <v>3860</v>
      </c>
      <c r="AE830" t="s">
        <v>29</v>
      </c>
    </row>
    <row r="831" spans="1:31" x14ac:dyDescent="0.25">
      <c r="A831">
        <v>119027163447</v>
      </c>
      <c r="B831">
        <v>462598545</v>
      </c>
      <c r="C831" s="1">
        <v>46018.569895833331</v>
      </c>
      <c r="D831" s="1">
        <v>46018.572777777779</v>
      </c>
      <c r="E831" t="s">
        <v>2102</v>
      </c>
      <c r="F831" t="s">
        <v>22</v>
      </c>
      <c r="G831" t="e">
        <f>+_xlfn.XLOOKUP(tbl_encuesta[[#This Row],[Me siento a gusto con el ambiente de trabajo que se genera en mi equipo.]],#REF!,#REF!)</f>
        <v>#REF!</v>
      </c>
      <c r="H831" t="s">
        <v>23</v>
      </c>
      <c r="I831" t="e">
        <f>+_xlfn.XLOOKUP(tbl_encuesta[[#This Row],[Me siento motivado a dar lo mejor de mí y hacer un buen trabajo]],#REF!,#REF!)</f>
        <v>#REF!</v>
      </c>
      <c r="J831" t="s">
        <v>23</v>
      </c>
      <c r="K831" t="e">
        <f>+_xlfn.XLOOKUP(tbl_encuesta[[#This Row],[Mi supervisor o jefe directo me otorga el soporte que necesito para afrontar cualquier problema que afecte mi trabajo]],#REF!,#REF!)</f>
        <v>#REF!</v>
      </c>
      <c r="L831" t="s">
        <v>23</v>
      </c>
      <c r="M831" t="e">
        <f>+_xlfn.XLOOKUP(tbl_encuesta[[#This Row],[Mi supervisor o jefe directo fomenta que nos apoyemos entre todos en el equipo]],#REF!,#REF!)</f>
        <v>#REF!</v>
      </c>
      <c r="N831" t="s">
        <v>23</v>
      </c>
      <c r="O831" t="e">
        <f>+_xlfn.XLOOKUP(tbl_encuesta[[#This Row],[Siento que mi trabajo es reconocido por mi supervisor o jefe directo.]],#REF!,#REF!)</f>
        <v>#REF!</v>
      </c>
      <c r="P831" t="s">
        <v>31</v>
      </c>
      <c r="Q831" t="e">
        <f xml:space="preserve">
_xlfn.XLOOKUP(
tbl_encuesta[[#This Row],[Mi supervisor o jefe directo nos brinda charlas de 5 minutos y comunica las novedades relevantes a mi puesto de trabajo]],#REF!,#REF!
)</f>
        <v>#REF!</v>
      </c>
      <c r="R831" t="s">
        <v>17</v>
      </c>
      <c r="S831" t="s">
        <v>18</v>
      </c>
      <c r="W831" t="s">
        <v>25</v>
      </c>
      <c r="X831" t="s">
        <v>23</v>
      </c>
      <c r="Y831" t="e">
        <f>+_xlfn.XLOOKUP(tbl_encuesta[[#This Row],[Considero a Limtek como un buen lugar para trabajar]],#REF!,#REF!)</f>
        <v>#REF!</v>
      </c>
      <c r="Z831" t="s">
        <v>2105</v>
      </c>
      <c r="AA831" t="s">
        <v>2106</v>
      </c>
      <c r="AB831" t="s">
        <v>28</v>
      </c>
      <c r="AC831" s="3" t="s">
        <v>3859</v>
      </c>
      <c r="AD831" s="3" t="s">
        <v>3860</v>
      </c>
      <c r="AE831" t="s">
        <v>29</v>
      </c>
    </row>
    <row r="832" spans="1:31" x14ac:dyDescent="0.25">
      <c r="A832">
        <v>119027163202</v>
      </c>
      <c r="B832">
        <v>462598545</v>
      </c>
      <c r="C832" s="1">
        <v>46018.569247685184</v>
      </c>
      <c r="D832" s="1">
        <v>46018.572152777779</v>
      </c>
      <c r="E832" t="s">
        <v>2107</v>
      </c>
      <c r="F832" t="s">
        <v>22</v>
      </c>
      <c r="G832" t="e">
        <f>+_xlfn.XLOOKUP(tbl_encuesta[[#This Row],[Me siento a gusto con el ambiente de trabajo que se genera en mi equipo.]],#REF!,#REF!)</f>
        <v>#REF!</v>
      </c>
      <c r="H832" t="s">
        <v>22</v>
      </c>
      <c r="I832" t="e">
        <f>+_xlfn.XLOOKUP(tbl_encuesta[[#This Row],[Me siento motivado a dar lo mejor de mí y hacer un buen trabajo]],#REF!,#REF!)</f>
        <v>#REF!</v>
      </c>
      <c r="J832" t="s">
        <v>22</v>
      </c>
      <c r="K832" t="e">
        <f>+_xlfn.XLOOKUP(tbl_encuesta[[#This Row],[Mi supervisor o jefe directo me otorga el soporte que necesito para afrontar cualquier problema que afecte mi trabajo]],#REF!,#REF!)</f>
        <v>#REF!</v>
      </c>
      <c r="L832" t="s">
        <v>23</v>
      </c>
      <c r="M832" t="e">
        <f>+_xlfn.XLOOKUP(tbl_encuesta[[#This Row],[Mi supervisor o jefe directo fomenta que nos apoyemos entre todos en el equipo]],#REF!,#REF!)</f>
        <v>#REF!</v>
      </c>
      <c r="N832" t="s">
        <v>97</v>
      </c>
      <c r="O832" t="e">
        <f>+_xlfn.XLOOKUP(tbl_encuesta[[#This Row],[Siento que mi trabajo es reconocido por mi supervisor o jefe directo.]],#REF!,#REF!)</f>
        <v>#REF!</v>
      </c>
      <c r="P832" t="s">
        <v>67</v>
      </c>
      <c r="Q832" t="e">
        <f xml:space="preserve">
_xlfn.XLOOKUP(
tbl_encuesta[[#This Row],[Mi supervisor o jefe directo nos brinda charlas de 5 minutos y comunica las novedades relevantes a mi puesto de trabajo]],#REF!,#REF!
)</f>
        <v>#REF!</v>
      </c>
      <c r="S832" t="s">
        <v>18</v>
      </c>
      <c r="T832" t="s">
        <v>19</v>
      </c>
      <c r="W832" t="s">
        <v>25</v>
      </c>
      <c r="X832" t="s">
        <v>22</v>
      </c>
      <c r="Y832" t="e">
        <f>+_xlfn.XLOOKUP(tbl_encuesta[[#This Row],[Considero a Limtek como un buen lugar para trabajar]],#REF!,#REF!)</f>
        <v>#REF!</v>
      </c>
      <c r="Z832" t="s">
        <v>388</v>
      </c>
      <c r="AA832" t="s">
        <v>2108</v>
      </c>
      <c r="AB832" t="s">
        <v>28</v>
      </c>
      <c r="AC832" s="3" t="s">
        <v>3705</v>
      </c>
      <c r="AD832" s="3" t="s">
        <v>3707</v>
      </c>
      <c r="AE832" t="s">
        <v>29</v>
      </c>
    </row>
    <row r="833" spans="1:31" x14ac:dyDescent="0.25">
      <c r="A833">
        <v>119027162927</v>
      </c>
      <c r="B833">
        <v>462598545</v>
      </c>
      <c r="C833" s="1">
        <v>46018.569074074076</v>
      </c>
      <c r="D833" s="1">
        <v>46018.571469907409</v>
      </c>
      <c r="E833" t="s">
        <v>2109</v>
      </c>
      <c r="F833" t="s">
        <v>22</v>
      </c>
      <c r="G833" t="e">
        <f>+_xlfn.XLOOKUP(tbl_encuesta[[#This Row],[Me siento a gusto con el ambiente de trabajo que se genera en mi equipo.]],#REF!,#REF!)</f>
        <v>#REF!</v>
      </c>
      <c r="H833" t="s">
        <v>23</v>
      </c>
      <c r="I833" t="e">
        <f>+_xlfn.XLOOKUP(tbl_encuesta[[#This Row],[Me siento motivado a dar lo mejor de mí y hacer un buen trabajo]],#REF!,#REF!)</f>
        <v>#REF!</v>
      </c>
      <c r="J833" t="s">
        <v>23</v>
      </c>
      <c r="K833" t="e">
        <f>+_xlfn.XLOOKUP(tbl_encuesta[[#This Row],[Mi supervisor o jefe directo me otorga el soporte que necesito para afrontar cualquier problema que afecte mi trabajo]],#REF!,#REF!)</f>
        <v>#REF!</v>
      </c>
      <c r="L833" t="s">
        <v>22</v>
      </c>
      <c r="M833" t="e">
        <f>+_xlfn.XLOOKUP(tbl_encuesta[[#This Row],[Mi supervisor o jefe directo fomenta que nos apoyemos entre todos en el equipo]],#REF!,#REF!)</f>
        <v>#REF!</v>
      </c>
      <c r="N833" t="s">
        <v>22</v>
      </c>
      <c r="O833" t="e">
        <f>+_xlfn.XLOOKUP(tbl_encuesta[[#This Row],[Siento que mi trabajo es reconocido por mi supervisor o jefe directo.]],#REF!,#REF!)</f>
        <v>#REF!</v>
      </c>
      <c r="P833" t="s">
        <v>31</v>
      </c>
      <c r="Q833" t="e">
        <f xml:space="preserve">
_xlfn.XLOOKUP(
tbl_encuesta[[#This Row],[Mi supervisor o jefe directo nos brinda charlas de 5 minutos y comunica las novedades relevantes a mi puesto de trabajo]],#REF!,#REF!
)</f>
        <v>#REF!</v>
      </c>
      <c r="R833" t="s">
        <v>17</v>
      </c>
      <c r="S833" t="s">
        <v>18</v>
      </c>
      <c r="W833" t="s">
        <v>25</v>
      </c>
      <c r="X833" t="s">
        <v>23</v>
      </c>
      <c r="Y833" t="e">
        <f>+_xlfn.XLOOKUP(tbl_encuesta[[#This Row],[Considero a Limtek como un buen lugar para trabajar]],#REF!,#REF!)</f>
        <v>#REF!</v>
      </c>
      <c r="Z833" t="s">
        <v>2110</v>
      </c>
      <c r="AA833" t="s">
        <v>2111</v>
      </c>
      <c r="AB833" t="s">
        <v>559</v>
      </c>
      <c r="AC833" s="3" t="s">
        <v>3794</v>
      </c>
      <c r="AD833" s="3" t="s">
        <v>3794</v>
      </c>
      <c r="AE833" t="s">
        <v>61</v>
      </c>
    </row>
    <row r="834" spans="1:31" x14ac:dyDescent="0.25">
      <c r="A834">
        <v>119027161855</v>
      </c>
      <c r="B834">
        <v>462598545</v>
      </c>
      <c r="C834" s="1">
        <v>46018.56453703704</v>
      </c>
      <c r="D834" s="1">
        <v>46018.568831018521</v>
      </c>
      <c r="E834" t="s">
        <v>2112</v>
      </c>
      <c r="F834" t="s">
        <v>23</v>
      </c>
      <c r="G834" t="e">
        <f>+_xlfn.XLOOKUP(tbl_encuesta[[#This Row],[Me siento a gusto con el ambiente de trabajo que se genera en mi equipo.]],#REF!,#REF!)</f>
        <v>#REF!</v>
      </c>
      <c r="H834" t="s">
        <v>23</v>
      </c>
      <c r="I834" t="e">
        <f>+_xlfn.XLOOKUP(tbl_encuesta[[#This Row],[Me siento motivado a dar lo mejor de mí y hacer un buen trabajo]],#REF!,#REF!)</f>
        <v>#REF!</v>
      </c>
      <c r="J834" t="s">
        <v>23</v>
      </c>
      <c r="K834" t="e">
        <f>+_xlfn.XLOOKUP(tbl_encuesta[[#This Row],[Mi supervisor o jefe directo me otorga el soporte que necesito para afrontar cualquier problema que afecte mi trabajo]],#REF!,#REF!)</f>
        <v>#REF!</v>
      </c>
      <c r="L834" t="s">
        <v>23</v>
      </c>
      <c r="M834" t="e">
        <f>+_xlfn.XLOOKUP(tbl_encuesta[[#This Row],[Mi supervisor o jefe directo fomenta que nos apoyemos entre todos en el equipo]],#REF!,#REF!)</f>
        <v>#REF!</v>
      </c>
      <c r="N834" t="s">
        <v>23</v>
      </c>
      <c r="O834" t="e">
        <f>+_xlfn.XLOOKUP(tbl_encuesta[[#This Row],[Siento que mi trabajo es reconocido por mi supervisor o jefe directo.]],#REF!,#REF!)</f>
        <v>#REF!</v>
      </c>
      <c r="P834" t="s">
        <v>31</v>
      </c>
      <c r="Q834" t="e">
        <f xml:space="preserve">
_xlfn.XLOOKUP(
tbl_encuesta[[#This Row],[Mi supervisor o jefe directo nos brinda charlas de 5 minutos y comunica las novedades relevantes a mi puesto de trabajo]],#REF!,#REF!
)</f>
        <v>#REF!</v>
      </c>
      <c r="T834" t="s">
        <v>19</v>
      </c>
      <c r="W834" t="s">
        <v>25</v>
      </c>
      <c r="X834" t="s">
        <v>23</v>
      </c>
      <c r="Y834" t="e">
        <f>+_xlfn.XLOOKUP(tbl_encuesta[[#This Row],[Considero a Limtek como un buen lugar para trabajar]],#REF!,#REF!)</f>
        <v>#REF!</v>
      </c>
      <c r="Z834" t="s">
        <v>2113</v>
      </c>
      <c r="AA834" t="s">
        <v>1115</v>
      </c>
      <c r="AB834" t="s">
        <v>581</v>
      </c>
      <c r="AC834" s="3" t="s">
        <v>3610</v>
      </c>
      <c r="AD834" s="3" t="s">
        <v>3645</v>
      </c>
      <c r="AE834" t="s">
        <v>29</v>
      </c>
    </row>
    <row r="835" spans="1:31" x14ac:dyDescent="0.25">
      <c r="A835">
        <v>119027160898</v>
      </c>
      <c r="B835">
        <v>462598545</v>
      </c>
      <c r="C835" s="1">
        <v>46018.555520833332</v>
      </c>
      <c r="D835" s="1">
        <v>46018.566412037035</v>
      </c>
      <c r="E835" t="s">
        <v>2114</v>
      </c>
      <c r="F835" t="s">
        <v>23</v>
      </c>
      <c r="G835" t="e">
        <f>+_xlfn.XLOOKUP(tbl_encuesta[[#This Row],[Me siento a gusto con el ambiente de trabajo que se genera en mi equipo.]],#REF!,#REF!)</f>
        <v>#REF!</v>
      </c>
      <c r="H835" t="s">
        <v>23</v>
      </c>
      <c r="I835" t="e">
        <f>+_xlfn.XLOOKUP(tbl_encuesta[[#This Row],[Me siento motivado a dar lo mejor de mí y hacer un buen trabajo]],#REF!,#REF!)</f>
        <v>#REF!</v>
      </c>
      <c r="J835" t="s">
        <v>22</v>
      </c>
      <c r="K835" t="e">
        <f>+_xlfn.XLOOKUP(tbl_encuesta[[#This Row],[Mi supervisor o jefe directo me otorga el soporte que necesito para afrontar cualquier problema que afecte mi trabajo]],#REF!,#REF!)</f>
        <v>#REF!</v>
      </c>
      <c r="L835" t="s">
        <v>22</v>
      </c>
      <c r="M835" t="e">
        <f>+_xlfn.XLOOKUP(tbl_encuesta[[#This Row],[Mi supervisor o jefe directo fomenta que nos apoyemos entre todos en el equipo]],#REF!,#REF!)</f>
        <v>#REF!</v>
      </c>
      <c r="N835" t="s">
        <v>22</v>
      </c>
      <c r="O835" t="e">
        <f>+_xlfn.XLOOKUP(tbl_encuesta[[#This Row],[Siento que mi trabajo es reconocido por mi supervisor o jefe directo.]],#REF!,#REF!)</f>
        <v>#REF!</v>
      </c>
      <c r="P835" t="s">
        <v>31</v>
      </c>
      <c r="Q835" t="e">
        <f xml:space="preserve">
_xlfn.XLOOKUP(
tbl_encuesta[[#This Row],[Mi supervisor o jefe directo nos brinda charlas de 5 minutos y comunica las novedades relevantes a mi puesto de trabajo]],#REF!,#REF!
)</f>
        <v>#REF!</v>
      </c>
      <c r="R835" t="s">
        <v>17</v>
      </c>
      <c r="U835" t="s">
        <v>20</v>
      </c>
      <c r="W835" t="s">
        <v>25</v>
      </c>
      <c r="X835" t="s">
        <v>23</v>
      </c>
      <c r="Y835" t="e">
        <f>+_xlfn.XLOOKUP(tbl_encuesta[[#This Row],[Considero a Limtek como un buen lugar para trabajar]],#REF!,#REF!)</f>
        <v>#REF!</v>
      </c>
      <c r="Z835" t="s">
        <v>2115</v>
      </c>
      <c r="AA835" t="s">
        <v>2116</v>
      </c>
      <c r="AB835" t="s">
        <v>28</v>
      </c>
      <c r="AC835" s="3" t="s">
        <v>3859</v>
      </c>
      <c r="AD835" s="3" t="s">
        <v>3860</v>
      </c>
      <c r="AE835" t="s">
        <v>29</v>
      </c>
    </row>
    <row r="836" spans="1:31" x14ac:dyDescent="0.25">
      <c r="A836">
        <v>119027160405</v>
      </c>
      <c r="B836">
        <v>462598545</v>
      </c>
      <c r="C836" s="1">
        <v>46018.563680555555</v>
      </c>
      <c r="D836" s="1">
        <v>46018.565150462964</v>
      </c>
      <c r="E836" t="s">
        <v>2117</v>
      </c>
      <c r="F836" t="s">
        <v>23</v>
      </c>
      <c r="G836" t="e">
        <f>+_xlfn.XLOOKUP(tbl_encuesta[[#This Row],[Me siento a gusto con el ambiente de trabajo que se genera en mi equipo.]],#REF!,#REF!)</f>
        <v>#REF!</v>
      </c>
      <c r="H836" t="s">
        <v>23</v>
      </c>
      <c r="I836" t="e">
        <f>+_xlfn.XLOOKUP(tbl_encuesta[[#This Row],[Me siento motivado a dar lo mejor de mí y hacer un buen trabajo]],#REF!,#REF!)</f>
        <v>#REF!</v>
      </c>
      <c r="J836" t="s">
        <v>23</v>
      </c>
      <c r="K836" t="e">
        <f>+_xlfn.XLOOKUP(tbl_encuesta[[#This Row],[Mi supervisor o jefe directo me otorga el soporte que necesito para afrontar cualquier problema que afecte mi trabajo]],#REF!,#REF!)</f>
        <v>#REF!</v>
      </c>
      <c r="L836" t="s">
        <v>23</v>
      </c>
      <c r="M836" t="e">
        <f>+_xlfn.XLOOKUP(tbl_encuesta[[#This Row],[Mi supervisor o jefe directo fomenta que nos apoyemos entre todos en el equipo]],#REF!,#REF!)</f>
        <v>#REF!</v>
      </c>
      <c r="N836" t="s">
        <v>23</v>
      </c>
      <c r="O836" t="e">
        <f>+_xlfn.XLOOKUP(tbl_encuesta[[#This Row],[Siento que mi trabajo es reconocido por mi supervisor o jefe directo.]],#REF!,#REF!)</f>
        <v>#REF!</v>
      </c>
      <c r="P836" t="s">
        <v>67</v>
      </c>
      <c r="Q836" t="e">
        <f xml:space="preserve">
_xlfn.XLOOKUP(
tbl_encuesta[[#This Row],[Mi supervisor o jefe directo nos brinda charlas de 5 minutos y comunica las novedades relevantes a mi puesto de trabajo]],#REF!,#REF!
)</f>
        <v>#REF!</v>
      </c>
      <c r="U836" t="s">
        <v>20</v>
      </c>
      <c r="W836" t="s">
        <v>25</v>
      </c>
      <c r="X836" t="s">
        <v>22</v>
      </c>
      <c r="Y836" t="e">
        <f>+_xlfn.XLOOKUP(tbl_encuesta[[#This Row],[Considero a Limtek como un buen lugar para trabajar]],#REF!,#REF!)</f>
        <v>#REF!</v>
      </c>
      <c r="Z836" t="s">
        <v>2118</v>
      </c>
      <c r="AA836" t="s">
        <v>2119</v>
      </c>
      <c r="AB836" t="s">
        <v>28</v>
      </c>
      <c r="AC836" s="3" t="s">
        <v>3859</v>
      </c>
      <c r="AD836" s="3" t="s">
        <v>3860</v>
      </c>
      <c r="AE836" t="s">
        <v>34</v>
      </c>
    </row>
    <row r="837" spans="1:31" x14ac:dyDescent="0.25">
      <c r="A837">
        <v>119027159799</v>
      </c>
      <c r="B837">
        <v>462598545</v>
      </c>
      <c r="C837" s="1">
        <v>46018.559999999998</v>
      </c>
      <c r="D837" s="1">
        <v>46018.563784722224</v>
      </c>
      <c r="E837" t="s">
        <v>2120</v>
      </c>
      <c r="F837" t="s">
        <v>23</v>
      </c>
      <c r="G837" t="e">
        <f>+_xlfn.XLOOKUP(tbl_encuesta[[#This Row],[Me siento a gusto con el ambiente de trabajo que se genera en mi equipo.]],#REF!,#REF!)</f>
        <v>#REF!</v>
      </c>
      <c r="H837" t="s">
        <v>23</v>
      </c>
      <c r="I837" t="e">
        <f>+_xlfn.XLOOKUP(tbl_encuesta[[#This Row],[Me siento motivado a dar lo mejor de mí y hacer un buen trabajo]],#REF!,#REF!)</f>
        <v>#REF!</v>
      </c>
      <c r="J837" t="s">
        <v>23</v>
      </c>
      <c r="K837" t="e">
        <f>+_xlfn.XLOOKUP(tbl_encuesta[[#This Row],[Mi supervisor o jefe directo me otorga el soporte que necesito para afrontar cualquier problema que afecte mi trabajo]],#REF!,#REF!)</f>
        <v>#REF!</v>
      </c>
      <c r="L837" t="s">
        <v>23</v>
      </c>
      <c r="M837" t="e">
        <f>+_xlfn.XLOOKUP(tbl_encuesta[[#This Row],[Mi supervisor o jefe directo fomenta que nos apoyemos entre todos en el equipo]],#REF!,#REF!)</f>
        <v>#REF!</v>
      </c>
      <c r="N837" t="s">
        <v>22</v>
      </c>
      <c r="O837" t="e">
        <f>+_xlfn.XLOOKUP(tbl_encuesta[[#This Row],[Siento que mi trabajo es reconocido por mi supervisor o jefe directo.]],#REF!,#REF!)</f>
        <v>#REF!</v>
      </c>
      <c r="P837" t="s">
        <v>31</v>
      </c>
      <c r="Q837" t="e">
        <f xml:space="preserve">
_xlfn.XLOOKUP(
tbl_encuesta[[#This Row],[Mi supervisor o jefe directo nos brinda charlas de 5 minutos y comunica las novedades relevantes a mi puesto de trabajo]],#REF!,#REF!
)</f>
        <v>#REF!</v>
      </c>
      <c r="R837" t="s">
        <v>17</v>
      </c>
      <c r="S837" t="s">
        <v>18</v>
      </c>
      <c r="W837" t="s">
        <v>25</v>
      </c>
      <c r="X837" t="s">
        <v>23</v>
      </c>
      <c r="Y837" t="e">
        <f>+_xlfn.XLOOKUP(tbl_encuesta[[#This Row],[Considero a Limtek como un buen lugar para trabajar]],#REF!,#REF!)</f>
        <v>#REF!</v>
      </c>
      <c r="Z837" t="s">
        <v>2121</v>
      </c>
      <c r="AA837" t="s">
        <v>2122</v>
      </c>
      <c r="AB837" t="s">
        <v>28</v>
      </c>
      <c r="AC837" s="3" t="s">
        <v>3859</v>
      </c>
      <c r="AD837" s="3" t="s">
        <v>3860</v>
      </c>
      <c r="AE837" t="s">
        <v>29</v>
      </c>
    </row>
    <row r="838" spans="1:31" x14ac:dyDescent="0.25">
      <c r="A838">
        <v>119027158349</v>
      </c>
      <c r="B838">
        <v>462598545</v>
      </c>
      <c r="C838" s="1">
        <v>46018.552766203706</v>
      </c>
      <c r="D838" s="1">
        <v>46018.560370370367</v>
      </c>
      <c r="E838" t="s">
        <v>2123</v>
      </c>
      <c r="F838" t="s">
        <v>23</v>
      </c>
      <c r="G838" t="e">
        <f>+_xlfn.XLOOKUP(tbl_encuesta[[#This Row],[Me siento a gusto con el ambiente de trabajo que se genera en mi equipo.]],#REF!,#REF!)</f>
        <v>#REF!</v>
      </c>
      <c r="H838" t="s">
        <v>23</v>
      </c>
      <c r="I838" t="e">
        <f>+_xlfn.XLOOKUP(tbl_encuesta[[#This Row],[Me siento motivado a dar lo mejor de mí y hacer un buen trabajo]],#REF!,#REF!)</f>
        <v>#REF!</v>
      </c>
      <c r="J838" t="s">
        <v>22</v>
      </c>
      <c r="K838" t="e">
        <f>+_xlfn.XLOOKUP(tbl_encuesta[[#This Row],[Mi supervisor o jefe directo me otorga el soporte que necesito para afrontar cualquier problema que afecte mi trabajo]],#REF!,#REF!)</f>
        <v>#REF!</v>
      </c>
      <c r="L838" t="s">
        <v>22</v>
      </c>
      <c r="M838" t="e">
        <f>+_xlfn.XLOOKUP(tbl_encuesta[[#This Row],[Mi supervisor o jefe directo fomenta que nos apoyemos entre todos en el equipo]],#REF!,#REF!)</f>
        <v>#REF!</v>
      </c>
      <c r="N838" t="s">
        <v>22</v>
      </c>
      <c r="O838" t="e">
        <f>+_xlfn.XLOOKUP(tbl_encuesta[[#This Row],[Siento que mi trabajo es reconocido por mi supervisor o jefe directo.]],#REF!,#REF!)</f>
        <v>#REF!</v>
      </c>
      <c r="P838" t="s">
        <v>31</v>
      </c>
      <c r="Q838" t="e">
        <f xml:space="preserve">
_xlfn.XLOOKUP(
tbl_encuesta[[#This Row],[Mi supervisor o jefe directo nos brinda charlas de 5 minutos y comunica las novedades relevantes a mi puesto de trabajo]],#REF!,#REF!
)</f>
        <v>#REF!</v>
      </c>
      <c r="R838" t="s">
        <v>17</v>
      </c>
      <c r="T838" t="s">
        <v>19</v>
      </c>
      <c r="W838" t="s">
        <v>25</v>
      </c>
      <c r="X838" t="s">
        <v>22</v>
      </c>
      <c r="Y838" t="e">
        <f>+_xlfn.XLOOKUP(tbl_encuesta[[#This Row],[Considero a Limtek como un buen lugar para trabajar]],#REF!,#REF!)</f>
        <v>#REF!</v>
      </c>
      <c r="Z838" t="s">
        <v>2124</v>
      </c>
      <c r="AA838" t="s">
        <v>2125</v>
      </c>
      <c r="AB838" t="s">
        <v>559</v>
      </c>
      <c r="AC838" t="s">
        <v>3744</v>
      </c>
      <c r="AD838" t="s">
        <v>3744</v>
      </c>
      <c r="AE838" t="s">
        <v>55</v>
      </c>
    </row>
    <row r="839" spans="1:31" x14ac:dyDescent="0.25">
      <c r="A839">
        <v>119027157552</v>
      </c>
      <c r="B839">
        <v>462598545</v>
      </c>
      <c r="C839" s="1">
        <v>46018.555798611109</v>
      </c>
      <c r="D839" s="1">
        <v>46018.558368055557</v>
      </c>
      <c r="E839" t="s">
        <v>2126</v>
      </c>
      <c r="F839" t="s">
        <v>22</v>
      </c>
      <c r="G839" t="e">
        <f>+_xlfn.XLOOKUP(tbl_encuesta[[#This Row],[Me siento a gusto con el ambiente de trabajo que se genera en mi equipo.]],#REF!,#REF!)</f>
        <v>#REF!</v>
      </c>
      <c r="H839" t="s">
        <v>23</v>
      </c>
      <c r="I839" t="e">
        <f>+_xlfn.XLOOKUP(tbl_encuesta[[#This Row],[Me siento motivado a dar lo mejor de mí y hacer un buen trabajo]],#REF!,#REF!)</f>
        <v>#REF!</v>
      </c>
      <c r="J839" t="s">
        <v>22</v>
      </c>
      <c r="K839" t="e">
        <f>+_xlfn.XLOOKUP(tbl_encuesta[[#This Row],[Mi supervisor o jefe directo me otorga el soporte que necesito para afrontar cualquier problema que afecte mi trabajo]],#REF!,#REF!)</f>
        <v>#REF!</v>
      </c>
      <c r="L839" t="s">
        <v>23</v>
      </c>
      <c r="M839" t="e">
        <f>+_xlfn.XLOOKUP(tbl_encuesta[[#This Row],[Mi supervisor o jefe directo fomenta que nos apoyemos entre todos en el equipo]],#REF!,#REF!)</f>
        <v>#REF!</v>
      </c>
      <c r="N839" t="s">
        <v>22</v>
      </c>
      <c r="O839" t="e">
        <f>+_xlfn.XLOOKUP(tbl_encuesta[[#This Row],[Siento que mi trabajo es reconocido por mi supervisor o jefe directo.]],#REF!,#REF!)</f>
        <v>#REF!</v>
      </c>
      <c r="P839" t="s">
        <v>31</v>
      </c>
      <c r="Q839" t="e">
        <f xml:space="preserve">
_xlfn.XLOOKUP(
tbl_encuesta[[#This Row],[Mi supervisor o jefe directo nos brinda charlas de 5 minutos y comunica las novedades relevantes a mi puesto de trabajo]],#REF!,#REF!
)</f>
        <v>#REF!</v>
      </c>
      <c r="S839" t="s">
        <v>18</v>
      </c>
      <c r="W839" t="s">
        <v>25</v>
      </c>
      <c r="X839" t="s">
        <v>23</v>
      </c>
      <c r="Y839" t="e">
        <f>+_xlfn.XLOOKUP(tbl_encuesta[[#This Row],[Considero a Limtek como un buen lugar para trabajar]],#REF!,#REF!)</f>
        <v>#REF!</v>
      </c>
      <c r="Z839" t="s">
        <v>2089</v>
      </c>
      <c r="AA839" t="s">
        <v>2127</v>
      </c>
      <c r="AB839" t="s">
        <v>28</v>
      </c>
      <c r="AC839" s="3" t="s">
        <v>3705</v>
      </c>
      <c r="AD839" s="3" t="s">
        <v>3706</v>
      </c>
      <c r="AE839" t="s">
        <v>69</v>
      </c>
    </row>
    <row r="840" spans="1:31" x14ac:dyDescent="0.25">
      <c r="A840">
        <v>119027155895</v>
      </c>
      <c r="B840">
        <v>462598545</v>
      </c>
      <c r="C840" s="1">
        <v>46018.546273148146</v>
      </c>
      <c r="D840" s="1">
        <v>46018.5544212963</v>
      </c>
      <c r="E840" t="s">
        <v>2128</v>
      </c>
      <c r="F840" t="s">
        <v>23</v>
      </c>
      <c r="G840" t="e">
        <f>+_xlfn.XLOOKUP(tbl_encuesta[[#This Row],[Me siento a gusto con el ambiente de trabajo que se genera en mi equipo.]],#REF!,#REF!)</f>
        <v>#REF!</v>
      </c>
      <c r="H840" t="s">
        <v>22</v>
      </c>
      <c r="I840" t="e">
        <f>+_xlfn.XLOOKUP(tbl_encuesta[[#This Row],[Me siento motivado a dar lo mejor de mí y hacer un buen trabajo]],#REF!,#REF!)</f>
        <v>#REF!</v>
      </c>
      <c r="J840" t="s">
        <v>23</v>
      </c>
      <c r="K840" t="e">
        <f>+_xlfn.XLOOKUP(tbl_encuesta[[#This Row],[Mi supervisor o jefe directo me otorga el soporte que necesito para afrontar cualquier problema que afecte mi trabajo]],#REF!,#REF!)</f>
        <v>#REF!</v>
      </c>
      <c r="L840" t="s">
        <v>23</v>
      </c>
      <c r="M840" t="e">
        <f>+_xlfn.XLOOKUP(tbl_encuesta[[#This Row],[Mi supervisor o jefe directo fomenta que nos apoyemos entre todos en el equipo]],#REF!,#REF!)</f>
        <v>#REF!</v>
      </c>
      <c r="N840" t="s">
        <v>23</v>
      </c>
      <c r="O840" t="e">
        <f>+_xlfn.XLOOKUP(tbl_encuesta[[#This Row],[Siento que mi trabajo es reconocido por mi supervisor o jefe directo.]],#REF!,#REF!)</f>
        <v>#REF!</v>
      </c>
      <c r="P840" t="s">
        <v>31</v>
      </c>
      <c r="Q840" t="e">
        <f xml:space="preserve">
_xlfn.XLOOKUP(
tbl_encuesta[[#This Row],[Mi supervisor o jefe directo nos brinda charlas de 5 minutos y comunica las novedades relevantes a mi puesto de trabajo]],#REF!,#REF!
)</f>
        <v>#REF!</v>
      </c>
      <c r="R840" t="s">
        <v>17</v>
      </c>
      <c r="S840" t="s">
        <v>18</v>
      </c>
      <c r="W840" t="s">
        <v>25</v>
      </c>
      <c r="X840" t="s">
        <v>23</v>
      </c>
      <c r="Y840" t="e">
        <f>+_xlfn.XLOOKUP(tbl_encuesta[[#This Row],[Considero a Limtek como un buen lugar para trabajar]],#REF!,#REF!)</f>
        <v>#REF!</v>
      </c>
      <c r="Z840" t="s">
        <v>2129</v>
      </c>
      <c r="AA840" t="s">
        <v>2130</v>
      </c>
      <c r="AB840" t="s">
        <v>28</v>
      </c>
      <c r="AC840" t="s">
        <v>3744</v>
      </c>
      <c r="AD840" t="s">
        <v>3744</v>
      </c>
      <c r="AE840" t="s">
        <v>55</v>
      </c>
    </row>
    <row r="841" spans="1:31" x14ac:dyDescent="0.25">
      <c r="A841">
        <v>119027152500</v>
      </c>
      <c r="B841">
        <v>462598545</v>
      </c>
      <c r="C841" s="1">
        <v>46018.541585648149</v>
      </c>
      <c r="D841" s="1">
        <v>46018.546319444446</v>
      </c>
      <c r="E841" t="s">
        <v>2131</v>
      </c>
      <c r="F841" t="s">
        <v>22</v>
      </c>
      <c r="G841" t="e">
        <f>+_xlfn.XLOOKUP(tbl_encuesta[[#This Row],[Me siento a gusto con el ambiente de trabajo que se genera en mi equipo.]],#REF!,#REF!)</f>
        <v>#REF!</v>
      </c>
      <c r="H841" t="s">
        <v>23</v>
      </c>
      <c r="I841" t="e">
        <f>+_xlfn.XLOOKUP(tbl_encuesta[[#This Row],[Me siento motivado a dar lo mejor de mí y hacer un buen trabajo]],#REF!,#REF!)</f>
        <v>#REF!</v>
      </c>
      <c r="J841" t="s">
        <v>22</v>
      </c>
      <c r="K841" t="e">
        <f>+_xlfn.XLOOKUP(tbl_encuesta[[#This Row],[Mi supervisor o jefe directo me otorga el soporte que necesito para afrontar cualquier problema que afecte mi trabajo]],#REF!,#REF!)</f>
        <v>#REF!</v>
      </c>
      <c r="L841" t="s">
        <v>22</v>
      </c>
      <c r="M841" t="e">
        <f>+_xlfn.XLOOKUP(tbl_encuesta[[#This Row],[Mi supervisor o jefe directo fomenta que nos apoyemos entre todos en el equipo]],#REF!,#REF!)</f>
        <v>#REF!</v>
      </c>
      <c r="N841" t="s">
        <v>22</v>
      </c>
      <c r="O841" t="e">
        <f>+_xlfn.XLOOKUP(tbl_encuesta[[#This Row],[Siento que mi trabajo es reconocido por mi supervisor o jefe directo.]],#REF!,#REF!)</f>
        <v>#REF!</v>
      </c>
      <c r="P841" t="s">
        <v>31</v>
      </c>
      <c r="Q841" t="e">
        <f xml:space="preserve">
_xlfn.XLOOKUP(
tbl_encuesta[[#This Row],[Mi supervisor o jefe directo nos brinda charlas de 5 minutos y comunica las novedades relevantes a mi puesto de trabajo]],#REF!,#REF!
)</f>
        <v>#REF!</v>
      </c>
      <c r="R841" t="s">
        <v>17</v>
      </c>
      <c r="U841" t="s">
        <v>20</v>
      </c>
      <c r="W841" t="s">
        <v>25</v>
      </c>
      <c r="X841" t="s">
        <v>23</v>
      </c>
      <c r="Y841" t="e">
        <f>+_xlfn.XLOOKUP(tbl_encuesta[[#This Row],[Considero a Limtek como un buen lugar para trabajar]],#REF!,#REF!)</f>
        <v>#REF!</v>
      </c>
      <c r="Z841" t="s">
        <v>2132</v>
      </c>
      <c r="AA841" t="s">
        <v>2133</v>
      </c>
      <c r="AB841" t="s">
        <v>28</v>
      </c>
      <c r="AC841" s="3" t="s">
        <v>3859</v>
      </c>
      <c r="AD841" s="3" t="s">
        <v>3860</v>
      </c>
      <c r="AE841" t="s">
        <v>29</v>
      </c>
    </row>
    <row r="842" spans="1:31" x14ac:dyDescent="0.25">
      <c r="A842">
        <v>119027152223</v>
      </c>
      <c r="B842">
        <v>462598545</v>
      </c>
      <c r="C842" s="1">
        <v>46018.543483796297</v>
      </c>
      <c r="D842" s="1">
        <v>46018.545694444445</v>
      </c>
      <c r="E842" t="s">
        <v>1300</v>
      </c>
      <c r="F842" t="s">
        <v>23</v>
      </c>
      <c r="G842" t="e">
        <f>+_xlfn.XLOOKUP(tbl_encuesta[[#This Row],[Me siento a gusto con el ambiente de trabajo que se genera en mi equipo.]],#REF!,#REF!)</f>
        <v>#REF!</v>
      </c>
      <c r="H842" t="s">
        <v>23</v>
      </c>
      <c r="I842" t="e">
        <f>+_xlfn.XLOOKUP(tbl_encuesta[[#This Row],[Me siento motivado a dar lo mejor de mí y hacer un buen trabajo]],#REF!,#REF!)</f>
        <v>#REF!</v>
      </c>
      <c r="J842" t="s">
        <v>23</v>
      </c>
      <c r="K842" t="e">
        <f>+_xlfn.XLOOKUP(tbl_encuesta[[#This Row],[Mi supervisor o jefe directo me otorga el soporte que necesito para afrontar cualquier problema que afecte mi trabajo]],#REF!,#REF!)</f>
        <v>#REF!</v>
      </c>
      <c r="L842" t="s">
        <v>23</v>
      </c>
      <c r="M842" t="e">
        <f>+_xlfn.XLOOKUP(tbl_encuesta[[#This Row],[Mi supervisor o jefe directo fomenta que nos apoyemos entre todos en el equipo]],#REF!,#REF!)</f>
        <v>#REF!</v>
      </c>
      <c r="N842" t="s">
        <v>22</v>
      </c>
      <c r="O842" t="e">
        <f>+_xlfn.XLOOKUP(tbl_encuesta[[#This Row],[Siento que mi trabajo es reconocido por mi supervisor o jefe directo.]],#REF!,#REF!)</f>
        <v>#REF!</v>
      </c>
      <c r="P842" t="s">
        <v>31</v>
      </c>
      <c r="Q842" t="e">
        <f xml:space="preserve">
_xlfn.XLOOKUP(
tbl_encuesta[[#This Row],[Mi supervisor o jefe directo nos brinda charlas de 5 minutos y comunica las novedades relevantes a mi puesto de trabajo]],#REF!,#REF!
)</f>
        <v>#REF!</v>
      </c>
      <c r="S842" t="s">
        <v>18</v>
      </c>
      <c r="W842" t="s">
        <v>25</v>
      </c>
      <c r="X842" t="s">
        <v>22</v>
      </c>
      <c r="Y842" t="e">
        <f>+_xlfn.XLOOKUP(tbl_encuesta[[#This Row],[Considero a Limtek como un buen lugar para trabajar]],#REF!,#REF!)</f>
        <v>#REF!</v>
      </c>
      <c r="Z842" t="s">
        <v>122</v>
      </c>
      <c r="AA842" t="s">
        <v>2134</v>
      </c>
      <c r="AB842" t="s">
        <v>28</v>
      </c>
      <c r="AC842" s="3" t="s">
        <v>3705</v>
      </c>
      <c r="AD842" s="3" t="s">
        <v>3709</v>
      </c>
      <c r="AE842" t="s">
        <v>61</v>
      </c>
    </row>
    <row r="843" spans="1:31" x14ac:dyDescent="0.25">
      <c r="A843">
        <v>119027151383</v>
      </c>
      <c r="B843">
        <v>462598545</v>
      </c>
      <c r="C843" s="1">
        <v>46018.535115740742</v>
      </c>
      <c r="D843" s="1">
        <v>46018.543692129628</v>
      </c>
      <c r="E843" t="s">
        <v>2135</v>
      </c>
      <c r="F843" t="s">
        <v>23</v>
      </c>
      <c r="G843" t="e">
        <f>+_xlfn.XLOOKUP(tbl_encuesta[[#This Row],[Me siento a gusto con el ambiente de trabajo que se genera en mi equipo.]],#REF!,#REF!)</f>
        <v>#REF!</v>
      </c>
      <c r="H843" t="s">
        <v>97</v>
      </c>
      <c r="I843" t="e">
        <f>+_xlfn.XLOOKUP(tbl_encuesta[[#This Row],[Me siento motivado a dar lo mejor de mí y hacer un buen trabajo]],#REF!,#REF!)</f>
        <v>#REF!</v>
      </c>
      <c r="J843" t="s">
        <v>23</v>
      </c>
      <c r="K843" t="e">
        <f>+_xlfn.XLOOKUP(tbl_encuesta[[#This Row],[Mi supervisor o jefe directo me otorga el soporte que necesito para afrontar cualquier problema que afecte mi trabajo]],#REF!,#REF!)</f>
        <v>#REF!</v>
      </c>
      <c r="L843" t="s">
        <v>23</v>
      </c>
      <c r="M843" t="e">
        <f>+_xlfn.XLOOKUP(tbl_encuesta[[#This Row],[Mi supervisor o jefe directo fomenta que nos apoyemos entre todos en el equipo]],#REF!,#REF!)</f>
        <v>#REF!</v>
      </c>
      <c r="N843" t="s">
        <v>23</v>
      </c>
      <c r="O843" t="e">
        <f>+_xlfn.XLOOKUP(tbl_encuesta[[#This Row],[Siento que mi trabajo es reconocido por mi supervisor o jefe directo.]],#REF!,#REF!)</f>
        <v>#REF!</v>
      </c>
      <c r="P843" t="s">
        <v>31</v>
      </c>
      <c r="Q843" t="e">
        <f xml:space="preserve">
_xlfn.XLOOKUP(
tbl_encuesta[[#This Row],[Mi supervisor o jefe directo nos brinda charlas de 5 minutos y comunica las novedades relevantes a mi puesto de trabajo]],#REF!,#REF!
)</f>
        <v>#REF!</v>
      </c>
      <c r="R843" t="s">
        <v>17</v>
      </c>
      <c r="V843" t="s">
        <v>2136</v>
      </c>
      <c r="W843" t="s">
        <v>46</v>
      </c>
      <c r="X843" t="s">
        <v>23</v>
      </c>
      <c r="Y843" t="e">
        <f>+_xlfn.XLOOKUP(tbl_encuesta[[#This Row],[Considero a Limtek como un buen lugar para trabajar]],#REF!,#REF!)</f>
        <v>#REF!</v>
      </c>
      <c r="Z843" t="s">
        <v>2137</v>
      </c>
      <c r="AA843" t="s">
        <v>2138</v>
      </c>
      <c r="AB843" t="s">
        <v>1431</v>
      </c>
      <c r="AC843" s="3" t="s">
        <v>3705</v>
      </c>
      <c r="AD843" s="3" t="s">
        <v>3709</v>
      </c>
      <c r="AE843" t="s">
        <v>55</v>
      </c>
    </row>
    <row r="844" spans="1:31" x14ac:dyDescent="0.25">
      <c r="A844">
        <v>119027151346</v>
      </c>
      <c r="B844">
        <v>462598545</v>
      </c>
      <c r="C844" s="1">
        <v>46018.539884259262</v>
      </c>
      <c r="D844" s="1">
        <v>46018.543611111112</v>
      </c>
      <c r="E844" t="s">
        <v>1300</v>
      </c>
      <c r="F844" t="s">
        <v>23</v>
      </c>
      <c r="G844" t="e">
        <f>+_xlfn.XLOOKUP(tbl_encuesta[[#This Row],[Me siento a gusto con el ambiente de trabajo que se genera en mi equipo.]],#REF!,#REF!)</f>
        <v>#REF!</v>
      </c>
      <c r="H844" t="s">
        <v>23</v>
      </c>
      <c r="I844" t="e">
        <f>+_xlfn.XLOOKUP(tbl_encuesta[[#This Row],[Me siento motivado a dar lo mejor de mí y hacer un buen trabajo]],#REF!,#REF!)</f>
        <v>#REF!</v>
      </c>
      <c r="J844" t="s">
        <v>23</v>
      </c>
      <c r="K844" t="e">
        <f>+_xlfn.XLOOKUP(tbl_encuesta[[#This Row],[Mi supervisor o jefe directo me otorga el soporte que necesito para afrontar cualquier problema que afecte mi trabajo]],#REF!,#REF!)</f>
        <v>#REF!</v>
      </c>
      <c r="L844" t="s">
        <v>23</v>
      </c>
      <c r="M844" t="e">
        <f>+_xlfn.XLOOKUP(tbl_encuesta[[#This Row],[Mi supervisor o jefe directo fomenta que nos apoyemos entre todos en el equipo]],#REF!,#REF!)</f>
        <v>#REF!</v>
      </c>
      <c r="N844" t="s">
        <v>23</v>
      </c>
      <c r="O844" t="e">
        <f>+_xlfn.XLOOKUP(tbl_encuesta[[#This Row],[Siento que mi trabajo es reconocido por mi supervisor o jefe directo.]],#REF!,#REF!)</f>
        <v>#REF!</v>
      </c>
      <c r="P844" t="s">
        <v>31</v>
      </c>
      <c r="Q844" t="e">
        <f xml:space="preserve">
_xlfn.XLOOKUP(
tbl_encuesta[[#This Row],[Mi supervisor o jefe directo nos brinda charlas de 5 minutos y comunica las novedades relevantes a mi puesto de trabajo]],#REF!,#REF!
)</f>
        <v>#REF!</v>
      </c>
      <c r="R844" t="s">
        <v>17</v>
      </c>
      <c r="S844" t="s">
        <v>18</v>
      </c>
      <c r="W844" t="s">
        <v>25</v>
      </c>
      <c r="X844" t="s">
        <v>23</v>
      </c>
      <c r="Y844" t="e">
        <f>+_xlfn.XLOOKUP(tbl_encuesta[[#This Row],[Considero a Limtek como un buen lugar para trabajar]],#REF!,#REF!)</f>
        <v>#REF!</v>
      </c>
      <c r="Z844" t="s">
        <v>2139</v>
      </c>
      <c r="AA844" t="s">
        <v>2140</v>
      </c>
      <c r="AB844" t="s">
        <v>28</v>
      </c>
      <c r="AC844" s="3" t="s">
        <v>3705</v>
      </c>
      <c r="AD844" s="3" t="s">
        <v>3709</v>
      </c>
      <c r="AE844" t="s">
        <v>69</v>
      </c>
    </row>
    <row r="845" spans="1:31" x14ac:dyDescent="0.25">
      <c r="A845">
        <v>119027151069</v>
      </c>
      <c r="B845">
        <v>462598545</v>
      </c>
      <c r="C845" s="1">
        <v>46018.539317129631</v>
      </c>
      <c r="D845" s="1">
        <v>46018.542881944442</v>
      </c>
      <c r="E845" t="s">
        <v>2141</v>
      </c>
      <c r="F845" t="s">
        <v>22</v>
      </c>
      <c r="G845" t="e">
        <f>+_xlfn.XLOOKUP(tbl_encuesta[[#This Row],[Me siento a gusto con el ambiente de trabajo que se genera en mi equipo.]],#REF!,#REF!)</f>
        <v>#REF!</v>
      </c>
      <c r="H845" t="s">
        <v>22</v>
      </c>
      <c r="I845" t="e">
        <f>+_xlfn.XLOOKUP(tbl_encuesta[[#This Row],[Me siento motivado a dar lo mejor de mí y hacer un buen trabajo]],#REF!,#REF!)</f>
        <v>#REF!</v>
      </c>
      <c r="J845" t="s">
        <v>23</v>
      </c>
      <c r="K845" t="e">
        <f>+_xlfn.XLOOKUP(tbl_encuesta[[#This Row],[Mi supervisor o jefe directo me otorga el soporte que necesito para afrontar cualquier problema que afecte mi trabajo]],#REF!,#REF!)</f>
        <v>#REF!</v>
      </c>
      <c r="L845" t="s">
        <v>23</v>
      </c>
      <c r="M845" t="e">
        <f>+_xlfn.XLOOKUP(tbl_encuesta[[#This Row],[Mi supervisor o jefe directo fomenta que nos apoyemos entre todos en el equipo]],#REF!,#REF!)</f>
        <v>#REF!</v>
      </c>
      <c r="N845" t="s">
        <v>22</v>
      </c>
      <c r="O845" t="e">
        <f>+_xlfn.XLOOKUP(tbl_encuesta[[#This Row],[Siento que mi trabajo es reconocido por mi supervisor o jefe directo.]],#REF!,#REF!)</f>
        <v>#REF!</v>
      </c>
      <c r="P845" t="s">
        <v>31</v>
      </c>
      <c r="Q845" t="e">
        <f xml:space="preserve">
_xlfn.XLOOKUP(
tbl_encuesta[[#This Row],[Mi supervisor o jefe directo nos brinda charlas de 5 minutos y comunica las novedades relevantes a mi puesto de trabajo]],#REF!,#REF!
)</f>
        <v>#REF!</v>
      </c>
      <c r="S845" t="s">
        <v>18</v>
      </c>
      <c r="W845" t="s">
        <v>25</v>
      </c>
      <c r="X845" t="s">
        <v>22</v>
      </c>
      <c r="Y845" t="e">
        <f>+_xlfn.XLOOKUP(tbl_encuesta[[#This Row],[Considero a Limtek como un buen lugar para trabajar]],#REF!,#REF!)</f>
        <v>#REF!</v>
      </c>
      <c r="Z845" t="s">
        <v>2139</v>
      </c>
      <c r="AA845" t="s">
        <v>2142</v>
      </c>
      <c r="AB845" t="s">
        <v>28</v>
      </c>
      <c r="AC845" s="3" t="s">
        <v>3705</v>
      </c>
      <c r="AD845" s="3" t="s">
        <v>3709</v>
      </c>
      <c r="AE845" t="s">
        <v>29</v>
      </c>
    </row>
    <row r="846" spans="1:31" x14ac:dyDescent="0.25">
      <c r="A846">
        <v>119027148670</v>
      </c>
      <c r="B846">
        <v>462598545</v>
      </c>
      <c r="C846" s="1">
        <v>46018.535219907404</v>
      </c>
      <c r="D846" s="1">
        <v>46018.53707175926</v>
      </c>
      <c r="E846" t="s">
        <v>2056</v>
      </c>
      <c r="F846" t="s">
        <v>22</v>
      </c>
      <c r="G846" t="e">
        <f>+_xlfn.XLOOKUP(tbl_encuesta[[#This Row],[Me siento a gusto con el ambiente de trabajo que se genera en mi equipo.]],#REF!,#REF!)</f>
        <v>#REF!</v>
      </c>
      <c r="H846" t="s">
        <v>23</v>
      </c>
      <c r="I846" t="e">
        <f>+_xlfn.XLOOKUP(tbl_encuesta[[#This Row],[Me siento motivado a dar lo mejor de mí y hacer un buen trabajo]],#REF!,#REF!)</f>
        <v>#REF!</v>
      </c>
      <c r="J846" t="s">
        <v>23</v>
      </c>
      <c r="K846" t="e">
        <f>+_xlfn.XLOOKUP(tbl_encuesta[[#This Row],[Mi supervisor o jefe directo me otorga el soporte que necesito para afrontar cualquier problema que afecte mi trabajo]],#REF!,#REF!)</f>
        <v>#REF!</v>
      </c>
      <c r="L846" t="s">
        <v>22</v>
      </c>
      <c r="M846" t="e">
        <f>+_xlfn.XLOOKUP(tbl_encuesta[[#This Row],[Mi supervisor o jefe directo fomenta que nos apoyemos entre todos en el equipo]],#REF!,#REF!)</f>
        <v>#REF!</v>
      </c>
      <c r="N846" t="s">
        <v>22</v>
      </c>
      <c r="O846" t="e">
        <f>+_xlfn.XLOOKUP(tbl_encuesta[[#This Row],[Siento que mi trabajo es reconocido por mi supervisor o jefe directo.]],#REF!,#REF!)</f>
        <v>#REF!</v>
      </c>
      <c r="P846" t="s">
        <v>31</v>
      </c>
      <c r="Q846" t="e">
        <f xml:space="preserve">
_xlfn.XLOOKUP(
tbl_encuesta[[#This Row],[Mi supervisor o jefe directo nos brinda charlas de 5 minutos y comunica las novedades relevantes a mi puesto de trabajo]],#REF!,#REF!
)</f>
        <v>#REF!</v>
      </c>
      <c r="S846" t="s">
        <v>18</v>
      </c>
      <c r="W846" t="s">
        <v>25</v>
      </c>
      <c r="X846" t="s">
        <v>22</v>
      </c>
      <c r="Y846" t="e">
        <f>+_xlfn.XLOOKUP(tbl_encuesta[[#This Row],[Considero a Limtek como un buen lugar para trabajar]],#REF!,#REF!)</f>
        <v>#REF!</v>
      </c>
      <c r="Z846" t="s">
        <v>1574</v>
      </c>
      <c r="AA846" t="s">
        <v>2073</v>
      </c>
      <c r="AB846" t="s">
        <v>28</v>
      </c>
      <c r="AC846" t="s">
        <v>3744</v>
      </c>
      <c r="AD846" t="s">
        <v>3744</v>
      </c>
      <c r="AE846" t="s">
        <v>61</v>
      </c>
    </row>
    <row r="847" spans="1:31" x14ac:dyDescent="0.25">
      <c r="A847">
        <v>119027147494</v>
      </c>
      <c r="B847">
        <v>462598545</v>
      </c>
      <c r="C847" s="1">
        <v>46018.530833333331</v>
      </c>
      <c r="D847" s="1">
        <v>46018.534375000003</v>
      </c>
      <c r="E847" t="s">
        <v>2056</v>
      </c>
      <c r="F847" t="s">
        <v>23</v>
      </c>
      <c r="G847" t="e">
        <f>+_xlfn.XLOOKUP(tbl_encuesta[[#This Row],[Me siento a gusto con el ambiente de trabajo que se genera en mi equipo.]],#REF!,#REF!)</f>
        <v>#REF!</v>
      </c>
      <c r="H847" t="s">
        <v>22</v>
      </c>
      <c r="I847" t="e">
        <f>+_xlfn.XLOOKUP(tbl_encuesta[[#This Row],[Me siento motivado a dar lo mejor de mí y hacer un buen trabajo]],#REF!,#REF!)</f>
        <v>#REF!</v>
      </c>
      <c r="J847" t="s">
        <v>23</v>
      </c>
      <c r="K847" t="e">
        <f>+_xlfn.XLOOKUP(tbl_encuesta[[#This Row],[Mi supervisor o jefe directo me otorga el soporte que necesito para afrontar cualquier problema que afecte mi trabajo]],#REF!,#REF!)</f>
        <v>#REF!</v>
      </c>
      <c r="L847" t="s">
        <v>23</v>
      </c>
      <c r="M847" t="e">
        <f>+_xlfn.XLOOKUP(tbl_encuesta[[#This Row],[Mi supervisor o jefe directo fomenta que nos apoyemos entre todos en el equipo]],#REF!,#REF!)</f>
        <v>#REF!</v>
      </c>
      <c r="N847" t="s">
        <v>22</v>
      </c>
      <c r="O847" t="e">
        <f>+_xlfn.XLOOKUP(tbl_encuesta[[#This Row],[Siento que mi trabajo es reconocido por mi supervisor o jefe directo.]],#REF!,#REF!)</f>
        <v>#REF!</v>
      </c>
      <c r="P847" t="s">
        <v>31</v>
      </c>
      <c r="Q847" t="e">
        <f xml:space="preserve">
_xlfn.XLOOKUP(
tbl_encuesta[[#This Row],[Mi supervisor o jefe directo nos brinda charlas de 5 minutos y comunica las novedades relevantes a mi puesto de trabajo]],#REF!,#REF!
)</f>
        <v>#REF!</v>
      </c>
      <c r="R847" t="s">
        <v>17</v>
      </c>
      <c r="U847" t="s">
        <v>20</v>
      </c>
      <c r="W847" t="s">
        <v>25</v>
      </c>
      <c r="X847" t="s">
        <v>23</v>
      </c>
      <c r="Y847" t="e">
        <f>+_xlfn.XLOOKUP(tbl_encuesta[[#This Row],[Considero a Limtek como un buen lugar para trabajar]],#REF!,#REF!)</f>
        <v>#REF!</v>
      </c>
      <c r="Z847" t="s">
        <v>2143</v>
      </c>
      <c r="AA847" t="s">
        <v>2062</v>
      </c>
      <c r="AB847" t="s">
        <v>28</v>
      </c>
      <c r="AC847" s="3" t="s">
        <v>3825</v>
      </c>
      <c r="AD847" s="3" t="s">
        <v>3826</v>
      </c>
      <c r="AE847" t="s">
        <v>29</v>
      </c>
    </row>
    <row r="848" spans="1:31" x14ac:dyDescent="0.25">
      <c r="A848">
        <v>119027147266</v>
      </c>
      <c r="B848">
        <v>462598545</v>
      </c>
      <c r="C848" s="1">
        <v>46018.531851851854</v>
      </c>
      <c r="D848" s="1">
        <v>46018.533831018518</v>
      </c>
      <c r="E848" t="s">
        <v>2144</v>
      </c>
      <c r="F848" t="s">
        <v>22</v>
      </c>
      <c r="G848" t="e">
        <f>+_xlfn.XLOOKUP(tbl_encuesta[[#This Row],[Me siento a gusto con el ambiente de trabajo que se genera en mi equipo.]],#REF!,#REF!)</f>
        <v>#REF!</v>
      </c>
      <c r="H848" t="s">
        <v>23</v>
      </c>
      <c r="I848" t="e">
        <f>+_xlfn.XLOOKUP(tbl_encuesta[[#This Row],[Me siento motivado a dar lo mejor de mí y hacer un buen trabajo]],#REF!,#REF!)</f>
        <v>#REF!</v>
      </c>
      <c r="J848" t="s">
        <v>22</v>
      </c>
      <c r="K848" t="e">
        <f>+_xlfn.XLOOKUP(tbl_encuesta[[#This Row],[Mi supervisor o jefe directo me otorga el soporte que necesito para afrontar cualquier problema que afecte mi trabajo]],#REF!,#REF!)</f>
        <v>#REF!</v>
      </c>
      <c r="L848" t="s">
        <v>22</v>
      </c>
      <c r="M848" t="e">
        <f>+_xlfn.XLOOKUP(tbl_encuesta[[#This Row],[Mi supervisor o jefe directo fomenta que nos apoyemos entre todos en el equipo]],#REF!,#REF!)</f>
        <v>#REF!</v>
      </c>
      <c r="N848" t="s">
        <v>22</v>
      </c>
      <c r="O848" t="e">
        <f>+_xlfn.XLOOKUP(tbl_encuesta[[#This Row],[Siento que mi trabajo es reconocido por mi supervisor o jefe directo.]],#REF!,#REF!)</f>
        <v>#REF!</v>
      </c>
      <c r="P848" t="s">
        <v>24</v>
      </c>
      <c r="Q848" t="e">
        <f xml:space="preserve">
_xlfn.XLOOKUP(
tbl_encuesta[[#This Row],[Mi supervisor o jefe directo nos brinda charlas de 5 minutos y comunica las novedades relevantes a mi puesto de trabajo]],#REF!,#REF!
)</f>
        <v>#REF!</v>
      </c>
      <c r="R848" t="s">
        <v>17</v>
      </c>
      <c r="W848" t="s">
        <v>25</v>
      </c>
      <c r="X848" t="s">
        <v>22</v>
      </c>
      <c r="Y848" t="e">
        <f>+_xlfn.XLOOKUP(tbl_encuesta[[#This Row],[Considero a Limtek como un buen lugar para trabajar]],#REF!,#REF!)</f>
        <v>#REF!</v>
      </c>
      <c r="Z848" t="s">
        <v>522</v>
      </c>
      <c r="AA848" t="s">
        <v>2145</v>
      </c>
      <c r="AB848" t="s">
        <v>559</v>
      </c>
      <c r="AC848" s="3" t="s">
        <v>3716</v>
      </c>
      <c r="AD848" s="3" t="s">
        <v>3716</v>
      </c>
      <c r="AE848" t="s">
        <v>29</v>
      </c>
    </row>
    <row r="849" spans="1:31" x14ac:dyDescent="0.25">
      <c r="A849">
        <v>119027147129</v>
      </c>
      <c r="B849">
        <v>462598545</v>
      </c>
      <c r="C849" s="1">
        <v>46018.531423611108</v>
      </c>
      <c r="D849" s="1">
        <v>46018.533518518518</v>
      </c>
      <c r="E849" t="s">
        <v>2146</v>
      </c>
      <c r="F849" t="s">
        <v>23</v>
      </c>
      <c r="G849" t="e">
        <f>+_xlfn.XLOOKUP(tbl_encuesta[[#This Row],[Me siento a gusto con el ambiente de trabajo que se genera en mi equipo.]],#REF!,#REF!)</f>
        <v>#REF!</v>
      </c>
      <c r="H849" t="s">
        <v>23</v>
      </c>
      <c r="I849" t="e">
        <f>+_xlfn.XLOOKUP(tbl_encuesta[[#This Row],[Me siento motivado a dar lo mejor de mí y hacer un buen trabajo]],#REF!,#REF!)</f>
        <v>#REF!</v>
      </c>
      <c r="J849" t="s">
        <v>23</v>
      </c>
      <c r="K849" t="e">
        <f>+_xlfn.XLOOKUP(tbl_encuesta[[#This Row],[Mi supervisor o jefe directo me otorga el soporte que necesito para afrontar cualquier problema que afecte mi trabajo]],#REF!,#REF!)</f>
        <v>#REF!</v>
      </c>
      <c r="L849" t="s">
        <v>23</v>
      </c>
      <c r="M849" t="e">
        <f>+_xlfn.XLOOKUP(tbl_encuesta[[#This Row],[Mi supervisor o jefe directo fomenta que nos apoyemos entre todos en el equipo]],#REF!,#REF!)</f>
        <v>#REF!</v>
      </c>
      <c r="N849" t="s">
        <v>23</v>
      </c>
      <c r="O849" t="e">
        <f>+_xlfn.XLOOKUP(tbl_encuesta[[#This Row],[Siento que mi trabajo es reconocido por mi supervisor o jefe directo.]],#REF!,#REF!)</f>
        <v>#REF!</v>
      </c>
      <c r="P849" t="s">
        <v>24</v>
      </c>
      <c r="Q849" t="e">
        <f xml:space="preserve">
_xlfn.XLOOKUP(
tbl_encuesta[[#This Row],[Mi supervisor o jefe directo nos brinda charlas de 5 minutos y comunica las novedades relevantes a mi puesto de trabajo]],#REF!,#REF!
)</f>
        <v>#REF!</v>
      </c>
      <c r="S849" t="s">
        <v>18</v>
      </c>
      <c r="W849" t="s">
        <v>25</v>
      </c>
      <c r="X849" t="s">
        <v>23</v>
      </c>
      <c r="Y849" t="e">
        <f>+_xlfn.XLOOKUP(tbl_encuesta[[#This Row],[Considero a Limtek como un buen lugar para trabajar]],#REF!,#REF!)</f>
        <v>#REF!</v>
      </c>
      <c r="Z849" t="s">
        <v>2147</v>
      </c>
      <c r="AA849" t="s">
        <v>2148</v>
      </c>
      <c r="AB849" t="s">
        <v>28</v>
      </c>
      <c r="AC849" s="3" t="s">
        <v>3705</v>
      </c>
      <c r="AD849" s="3" t="s">
        <v>3707</v>
      </c>
      <c r="AE849" t="s">
        <v>29</v>
      </c>
    </row>
    <row r="850" spans="1:31" x14ac:dyDescent="0.25">
      <c r="A850">
        <v>119027145963</v>
      </c>
      <c r="B850">
        <v>462598545</v>
      </c>
      <c r="C850" s="1">
        <v>46018.526006944441</v>
      </c>
      <c r="D850" s="1">
        <v>46018.530995370369</v>
      </c>
      <c r="E850" t="s">
        <v>2149</v>
      </c>
      <c r="F850" t="s">
        <v>23</v>
      </c>
      <c r="G850" t="e">
        <f>+_xlfn.XLOOKUP(tbl_encuesta[[#This Row],[Me siento a gusto con el ambiente de trabajo que se genera en mi equipo.]],#REF!,#REF!)</f>
        <v>#REF!</v>
      </c>
      <c r="H850" t="s">
        <v>23</v>
      </c>
      <c r="I850" t="e">
        <f>+_xlfn.XLOOKUP(tbl_encuesta[[#This Row],[Me siento motivado a dar lo mejor de mí y hacer un buen trabajo]],#REF!,#REF!)</f>
        <v>#REF!</v>
      </c>
      <c r="J850" t="s">
        <v>23</v>
      </c>
      <c r="K850" t="e">
        <f>+_xlfn.XLOOKUP(tbl_encuesta[[#This Row],[Mi supervisor o jefe directo me otorga el soporte que necesito para afrontar cualquier problema que afecte mi trabajo]],#REF!,#REF!)</f>
        <v>#REF!</v>
      </c>
      <c r="L850" t="s">
        <v>23</v>
      </c>
      <c r="M850" t="e">
        <f>+_xlfn.XLOOKUP(tbl_encuesta[[#This Row],[Mi supervisor o jefe directo fomenta que nos apoyemos entre todos en el equipo]],#REF!,#REF!)</f>
        <v>#REF!</v>
      </c>
      <c r="N850" t="s">
        <v>23</v>
      </c>
      <c r="O850" t="e">
        <f>+_xlfn.XLOOKUP(tbl_encuesta[[#This Row],[Siento que mi trabajo es reconocido por mi supervisor o jefe directo.]],#REF!,#REF!)</f>
        <v>#REF!</v>
      </c>
      <c r="P850" t="s">
        <v>67</v>
      </c>
      <c r="Q850" t="e">
        <f xml:space="preserve">
_xlfn.XLOOKUP(
tbl_encuesta[[#This Row],[Mi supervisor o jefe directo nos brinda charlas de 5 minutos y comunica las novedades relevantes a mi puesto de trabajo]],#REF!,#REF!
)</f>
        <v>#REF!</v>
      </c>
      <c r="S850" t="s">
        <v>18</v>
      </c>
      <c r="W850" t="s">
        <v>25</v>
      </c>
      <c r="X850" t="s">
        <v>23</v>
      </c>
      <c r="Y850" t="e">
        <f>+_xlfn.XLOOKUP(tbl_encuesta[[#This Row],[Considero a Limtek como un buen lugar para trabajar]],#REF!,#REF!)</f>
        <v>#REF!</v>
      </c>
      <c r="Z850" t="s">
        <v>2150</v>
      </c>
      <c r="AA850" t="s">
        <v>2151</v>
      </c>
      <c r="AB850" t="s">
        <v>28</v>
      </c>
      <c r="AC850" s="3" t="s">
        <v>3705</v>
      </c>
      <c r="AD850" s="3" t="s">
        <v>3707</v>
      </c>
      <c r="AE850" t="s">
        <v>69</v>
      </c>
    </row>
    <row r="851" spans="1:31" x14ac:dyDescent="0.25">
      <c r="A851">
        <v>119027145962</v>
      </c>
      <c r="B851">
        <v>462598545</v>
      </c>
      <c r="C851" s="1">
        <v>46018.526493055557</v>
      </c>
      <c r="D851" s="1">
        <v>46018.530995370369</v>
      </c>
      <c r="E851" t="s">
        <v>2146</v>
      </c>
      <c r="F851" t="s">
        <v>23</v>
      </c>
      <c r="G851" t="e">
        <f>+_xlfn.XLOOKUP(tbl_encuesta[[#This Row],[Me siento a gusto con el ambiente de trabajo que se genera en mi equipo.]],#REF!,#REF!)</f>
        <v>#REF!</v>
      </c>
      <c r="H851" t="s">
        <v>23</v>
      </c>
      <c r="I851" t="e">
        <f>+_xlfn.XLOOKUP(tbl_encuesta[[#This Row],[Me siento motivado a dar lo mejor de mí y hacer un buen trabajo]],#REF!,#REF!)</f>
        <v>#REF!</v>
      </c>
      <c r="J851" t="s">
        <v>23</v>
      </c>
      <c r="K851" t="e">
        <f>+_xlfn.XLOOKUP(tbl_encuesta[[#This Row],[Mi supervisor o jefe directo me otorga el soporte que necesito para afrontar cualquier problema que afecte mi trabajo]],#REF!,#REF!)</f>
        <v>#REF!</v>
      </c>
      <c r="L851" t="s">
        <v>23</v>
      </c>
      <c r="M851" t="e">
        <f>+_xlfn.XLOOKUP(tbl_encuesta[[#This Row],[Mi supervisor o jefe directo fomenta que nos apoyemos entre todos en el equipo]],#REF!,#REF!)</f>
        <v>#REF!</v>
      </c>
      <c r="N851" t="s">
        <v>23</v>
      </c>
      <c r="O851" t="e">
        <f>+_xlfn.XLOOKUP(tbl_encuesta[[#This Row],[Siento que mi trabajo es reconocido por mi supervisor o jefe directo.]],#REF!,#REF!)</f>
        <v>#REF!</v>
      </c>
      <c r="P851" t="s">
        <v>67</v>
      </c>
      <c r="Q851" t="e">
        <f xml:space="preserve">
_xlfn.XLOOKUP(
tbl_encuesta[[#This Row],[Mi supervisor o jefe directo nos brinda charlas de 5 minutos y comunica las novedades relevantes a mi puesto de trabajo]],#REF!,#REF!
)</f>
        <v>#REF!</v>
      </c>
      <c r="S851" t="s">
        <v>18</v>
      </c>
      <c r="W851" t="s">
        <v>25</v>
      </c>
      <c r="X851" t="s">
        <v>23</v>
      </c>
      <c r="Y851" t="e">
        <f>+_xlfn.XLOOKUP(tbl_encuesta[[#This Row],[Considero a Limtek como un buen lugar para trabajar]],#REF!,#REF!)</f>
        <v>#REF!</v>
      </c>
      <c r="Z851" t="s">
        <v>2152</v>
      </c>
      <c r="AA851" t="s">
        <v>2153</v>
      </c>
      <c r="AB851" t="s">
        <v>28</v>
      </c>
      <c r="AC851" s="3" t="s">
        <v>3705</v>
      </c>
      <c r="AD851" s="3" t="s">
        <v>3707</v>
      </c>
      <c r="AE851" t="s">
        <v>29</v>
      </c>
    </row>
    <row r="852" spans="1:31" x14ac:dyDescent="0.25">
      <c r="A852">
        <v>119027145657</v>
      </c>
      <c r="B852">
        <v>462598545</v>
      </c>
      <c r="C852" s="1">
        <v>46018.528668981482</v>
      </c>
      <c r="D852" s="1">
        <v>46018.530312499999</v>
      </c>
      <c r="E852" t="s">
        <v>2056</v>
      </c>
      <c r="F852" t="s">
        <v>22</v>
      </c>
      <c r="G852" t="e">
        <f>+_xlfn.XLOOKUP(tbl_encuesta[[#This Row],[Me siento a gusto con el ambiente de trabajo que se genera en mi equipo.]],#REF!,#REF!)</f>
        <v>#REF!</v>
      </c>
      <c r="H852" t="s">
        <v>23</v>
      </c>
      <c r="I852" t="e">
        <f>+_xlfn.XLOOKUP(tbl_encuesta[[#This Row],[Me siento motivado a dar lo mejor de mí y hacer un buen trabajo]],#REF!,#REF!)</f>
        <v>#REF!</v>
      </c>
      <c r="J852" t="s">
        <v>23</v>
      </c>
      <c r="K852" t="e">
        <f>+_xlfn.XLOOKUP(tbl_encuesta[[#This Row],[Mi supervisor o jefe directo me otorga el soporte que necesito para afrontar cualquier problema que afecte mi trabajo]],#REF!,#REF!)</f>
        <v>#REF!</v>
      </c>
      <c r="L852" t="s">
        <v>22</v>
      </c>
      <c r="M852" t="e">
        <f>+_xlfn.XLOOKUP(tbl_encuesta[[#This Row],[Mi supervisor o jefe directo fomenta que nos apoyemos entre todos en el equipo]],#REF!,#REF!)</f>
        <v>#REF!</v>
      </c>
      <c r="N852" t="s">
        <v>23</v>
      </c>
      <c r="O852" t="e">
        <f>+_xlfn.XLOOKUP(tbl_encuesta[[#This Row],[Siento que mi trabajo es reconocido por mi supervisor o jefe directo.]],#REF!,#REF!)</f>
        <v>#REF!</v>
      </c>
      <c r="P852" t="s">
        <v>31</v>
      </c>
      <c r="Q852" t="e">
        <f xml:space="preserve">
_xlfn.XLOOKUP(
tbl_encuesta[[#This Row],[Mi supervisor o jefe directo nos brinda charlas de 5 minutos y comunica las novedades relevantes a mi puesto de trabajo]],#REF!,#REF!
)</f>
        <v>#REF!</v>
      </c>
      <c r="R852" t="s">
        <v>17</v>
      </c>
      <c r="W852" t="s">
        <v>25</v>
      </c>
      <c r="X852" t="s">
        <v>23</v>
      </c>
      <c r="Y852" t="e">
        <f>+_xlfn.XLOOKUP(tbl_encuesta[[#This Row],[Considero a Limtek como un buen lugar para trabajar]],#REF!,#REF!)</f>
        <v>#REF!</v>
      </c>
      <c r="Z852" t="s">
        <v>193</v>
      </c>
      <c r="AA852" t="s">
        <v>2062</v>
      </c>
      <c r="AB852" t="s">
        <v>28</v>
      </c>
      <c r="AC852" s="3" t="s">
        <v>3825</v>
      </c>
      <c r="AD852" s="3" t="s">
        <v>3826</v>
      </c>
      <c r="AE852" t="s">
        <v>55</v>
      </c>
    </row>
    <row r="853" spans="1:31" x14ac:dyDescent="0.25">
      <c r="A853">
        <v>119027145324</v>
      </c>
      <c r="B853">
        <v>462598545</v>
      </c>
      <c r="C853" s="1">
        <v>46018.516770833332</v>
      </c>
      <c r="D853" s="1">
        <v>46018.52957175926</v>
      </c>
      <c r="E853" t="s">
        <v>2154</v>
      </c>
      <c r="F853" t="s">
        <v>23</v>
      </c>
      <c r="G853" t="e">
        <f>+_xlfn.XLOOKUP(tbl_encuesta[[#This Row],[Me siento a gusto con el ambiente de trabajo que se genera en mi equipo.]],#REF!,#REF!)</f>
        <v>#REF!</v>
      </c>
      <c r="H853" t="s">
        <v>23</v>
      </c>
      <c r="I853" t="e">
        <f>+_xlfn.XLOOKUP(tbl_encuesta[[#This Row],[Me siento motivado a dar lo mejor de mí y hacer un buen trabajo]],#REF!,#REF!)</f>
        <v>#REF!</v>
      </c>
      <c r="J853" t="s">
        <v>23</v>
      </c>
      <c r="K853" t="e">
        <f>+_xlfn.XLOOKUP(tbl_encuesta[[#This Row],[Mi supervisor o jefe directo me otorga el soporte que necesito para afrontar cualquier problema que afecte mi trabajo]],#REF!,#REF!)</f>
        <v>#REF!</v>
      </c>
      <c r="L853" t="s">
        <v>23</v>
      </c>
      <c r="M853" t="e">
        <f>+_xlfn.XLOOKUP(tbl_encuesta[[#This Row],[Mi supervisor o jefe directo fomenta que nos apoyemos entre todos en el equipo]],#REF!,#REF!)</f>
        <v>#REF!</v>
      </c>
      <c r="N853" t="s">
        <v>23</v>
      </c>
      <c r="O853" t="e">
        <f>+_xlfn.XLOOKUP(tbl_encuesta[[#This Row],[Siento que mi trabajo es reconocido por mi supervisor o jefe directo.]],#REF!,#REF!)</f>
        <v>#REF!</v>
      </c>
      <c r="P853" t="s">
        <v>31</v>
      </c>
      <c r="Q853" t="e">
        <f xml:space="preserve">
_xlfn.XLOOKUP(
tbl_encuesta[[#This Row],[Mi supervisor o jefe directo nos brinda charlas de 5 minutos y comunica las novedades relevantes a mi puesto de trabajo]],#REF!,#REF!
)</f>
        <v>#REF!</v>
      </c>
      <c r="S853" t="s">
        <v>18</v>
      </c>
      <c r="W853" t="s">
        <v>25</v>
      </c>
      <c r="X853" t="s">
        <v>23</v>
      </c>
      <c r="Y853" t="e">
        <f>+_xlfn.XLOOKUP(tbl_encuesta[[#This Row],[Considero a Limtek como un buen lugar para trabajar]],#REF!,#REF!)</f>
        <v>#REF!</v>
      </c>
      <c r="Z853" t="s">
        <v>2155</v>
      </c>
      <c r="AA853" t="s">
        <v>2156</v>
      </c>
      <c r="AB853" t="s">
        <v>28</v>
      </c>
      <c r="AC853" s="3" t="s">
        <v>3783</v>
      </c>
      <c r="AD853" s="3" t="s">
        <v>3784</v>
      </c>
      <c r="AE853" t="s">
        <v>29</v>
      </c>
    </row>
    <row r="854" spans="1:31" x14ac:dyDescent="0.25">
      <c r="A854">
        <v>119027144609</v>
      </c>
      <c r="B854">
        <v>462598545</v>
      </c>
      <c r="C854" s="1">
        <v>46018.52615740741</v>
      </c>
      <c r="D854" s="1">
        <v>46018.528009259258</v>
      </c>
      <c r="E854" t="s">
        <v>2056</v>
      </c>
      <c r="F854" t="s">
        <v>23</v>
      </c>
      <c r="G854" t="e">
        <f>+_xlfn.XLOOKUP(tbl_encuesta[[#This Row],[Me siento a gusto con el ambiente de trabajo que se genera en mi equipo.]],#REF!,#REF!)</f>
        <v>#REF!</v>
      </c>
      <c r="H854" t="s">
        <v>23</v>
      </c>
      <c r="I854" t="e">
        <f>+_xlfn.XLOOKUP(tbl_encuesta[[#This Row],[Me siento motivado a dar lo mejor de mí y hacer un buen trabajo]],#REF!,#REF!)</f>
        <v>#REF!</v>
      </c>
      <c r="J854" t="s">
        <v>23</v>
      </c>
      <c r="K854" t="e">
        <f>+_xlfn.XLOOKUP(tbl_encuesta[[#This Row],[Mi supervisor o jefe directo me otorga el soporte que necesito para afrontar cualquier problema que afecte mi trabajo]],#REF!,#REF!)</f>
        <v>#REF!</v>
      </c>
      <c r="L854" t="s">
        <v>23</v>
      </c>
      <c r="M854" t="e">
        <f>+_xlfn.XLOOKUP(tbl_encuesta[[#This Row],[Mi supervisor o jefe directo fomenta que nos apoyemos entre todos en el equipo]],#REF!,#REF!)</f>
        <v>#REF!</v>
      </c>
      <c r="N854" t="s">
        <v>23</v>
      </c>
      <c r="O854" t="e">
        <f>+_xlfn.XLOOKUP(tbl_encuesta[[#This Row],[Siento que mi trabajo es reconocido por mi supervisor o jefe directo.]],#REF!,#REF!)</f>
        <v>#REF!</v>
      </c>
      <c r="P854" t="s">
        <v>67</v>
      </c>
      <c r="Q854" t="e">
        <f xml:space="preserve">
_xlfn.XLOOKUP(
tbl_encuesta[[#This Row],[Mi supervisor o jefe directo nos brinda charlas de 5 minutos y comunica las novedades relevantes a mi puesto de trabajo]],#REF!,#REF!
)</f>
        <v>#REF!</v>
      </c>
      <c r="R854" t="s">
        <v>17</v>
      </c>
      <c r="S854" t="s">
        <v>18</v>
      </c>
      <c r="W854" t="s">
        <v>25</v>
      </c>
      <c r="X854" t="s">
        <v>23</v>
      </c>
      <c r="Y854" t="e">
        <f>+_xlfn.XLOOKUP(tbl_encuesta[[#This Row],[Considero a Limtek como un buen lugar para trabajar]],#REF!,#REF!)</f>
        <v>#REF!</v>
      </c>
      <c r="Z854" t="s">
        <v>145</v>
      </c>
      <c r="AA854" t="s">
        <v>2157</v>
      </c>
      <c r="AB854" t="s">
        <v>28</v>
      </c>
      <c r="AC854" s="3" t="s">
        <v>3825</v>
      </c>
      <c r="AD854" s="3" t="s">
        <v>3826</v>
      </c>
      <c r="AE854" t="s">
        <v>34</v>
      </c>
    </row>
    <row r="855" spans="1:31" x14ac:dyDescent="0.25">
      <c r="A855">
        <v>119027142974</v>
      </c>
      <c r="B855">
        <v>462598545</v>
      </c>
      <c r="C855" s="1">
        <v>46018.518657407411</v>
      </c>
      <c r="D855" s="1">
        <v>46018.524456018517</v>
      </c>
      <c r="E855" t="s">
        <v>2158</v>
      </c>
      <c r="F855" t="s">
        <v>22</v>
      </c>
      <c r="G855" t="e">
        <f>+_xlfn.XLOOKUP(tbl_encuesta[[#This Row],[Me siento a gusto con el ambiente de trabajo que se genera en mi equipo.]],#REF!,#REF!)</f>
        <v>#REF!</v>
      </c>
      <c r="H855" t="s">
        <v>22</v>
      </c>
      <c r="I855" t="e">
        <f>+_xlfn.XLOOKUP(tbl_encuesta[[#This Row],[Me siento motivado a dar lo mejor de mí y hacer un buen trabajo]],#REF!,#REF!)</f>
        <v>#REF!</v>
      </c>
      <c r="J855" t="s">
        <v>22</v>
      </c>
      <c r="K855" t="e">
        <f>+_xlfn.XLOOKUP(tbl_encuesta[[#This Row],[Mi supervisor o jefe directo me otorga el soporte que necesito para afrontar cualquier problema que afecte mi trabajo]],#REF!,#REF!)</f>
        <v>#REF!</v>
      </c>
      <c r="L855" t="s">
        <v>23</v>
      </c>
      <c r="M855" t="e">
        <f>+_xlfn.XLOOKUP(tbl_encuesta[[#This Row],[Mi supervisor o jefe directo fomenta que nos apoyemos entre todos en el equipo]],#REF!,#REF!)</f>
        <v>#REF!</v>
      </c>
      <c r="N855" t="s">
        <v>22</v>
      </c>
      <c r="O855" t="e">
        <f>+_xlfn.XLOOKUP(tbl_encuesta[[#This Row],[Siento que mi trabajo es reconocido por mi supervisor o jefe directo.]],#REF!,#REF!)</f>
        <v>#REF!</v>
      </c>
      <c r="P855" t="s">
        <v>24</v>
      </c>
      <c r="Q855" t="e">
        <f xml:space="preserve">
_xlfn.XLOOKUP(
tbl_encuesta[[#This Row],[Mi supervisor o jefe directo nos brinda charlas de 5 minutos y comunica las novedades relevantes a mi puesto de trabajo]],#REF!,#REF!
)</f>
        <v>#REF!</v>
      </c>
      <c r="R855" t="s">
        <v>17</v>
      </c>
      <c r="W855" t="s">
        <v>25</v>
      </c>
      <c r="X855" t="s">
        <v>22</v>
      </c>
      <c r="Y855" t="e">
        <f>+_xlfn.XLOOKUP(tbl_encuesta[[#This Row],[Considero a Limtek como un buen lugar para trabajar]],#REF!,#REF!)</f>
        <v>#REF!</v>
      </c>
      <c r="Z855" t="s">
        <v>2159</v>
      </c>
      <c r="AA855" t="s">
        <v>2160</v>
      </c>
      <c r="AB855" t="s">
        <v>559</v>
      </c>
      <c r="AC855" s="3" t="s">
        <v>3716</v>
      </c>
      <c r="AD855" s="3" t="s">
        <v>3716</v>
      </c>
      <c r="AE855" t="s">
        <v>29</v>
      </c>
    </row>
    <row r="856" spans="1:31" x14ac:dyDescent="0.25">
      <c r="A856">
        <v>119027142927</v>
      </c>
      <c r="B856">
        <v>462598545</v>
      </c>
      <c r="C856" s="1">
        <v>46018.521261574075</v>
      </c>
      <c r="D856" s="1">
        <v>46018.524363425924</v>
      </c>
      <c r="E856" t="s">
        <v>2056</v>
      </c>
      <c r="F856" t="s">
        <v>23</v>
      </c>
      <c r="G856" t="e">
        <f>+_xlfn.XLOOKUP(tbl_encuesta[[#This Row],[Me siento a gusto con el ambiente de trabajo que se genera en mi equipo.]],#REF!,#REF!)</f>
        <v>#REF!</v>
      </c>
      <c r="H856" t="s">
        <v>23</v>
      </c>
      <c r="I856" t="e">
        <f>+_xlfn.XLOOKUP(tbl_encuesta[[#This Row],[Me siento motivado a dar lo mejor de mí y hacer un buen trabajo]],#REF!,#REF!)</f>
        <v>#REF!</v>
      </c>
      <c r="J856" t="s">
        <v>23</v>
      </c>
      <c r="K856" t="e">
        <f>+_xlfn.XLOOKUP(tbl_encuesta[[#This Row],[Mi supervisor o jefe directo me otorga el soporte que necesito para afrontar cualquier problema que afecte mi trabajo]],#REF!,#REF!)</f>
        <v>#REF!</v>
      </c>
      <c r="L856" t="s">
        <v>23</v>
      </c>
      <c r="M856" t="e">
        <f>+_xlfn.XLOOKUP(tbl_encuesta[[#This Row],[Mi supervisor o jefe directo fomenta que nos apoyemos entre todos en el equipo]],#REF!,#REF!)</f>
        <v>#REF!</v>
      </c>
      <c r="N856" t="s">
        <v>23</v>
      </c>
      <c r="O856" t="e">
        <f>+_xlfn.XLOOKUP(tbl_encuesta[[#This Row],[Siento que mi trabajo es reconocido por mi supervisor o jefe directo.]],#REF!,#REF!)</f>
        <v>#REF!</v>
      </c>
      <c r="P856" t="s">
        <v>31</v>
      </c>
      <c r="Q856" t="e">
        <f xml:space="preserve">
_xlfn.XLOOKUP(
tbl_encuesta[[#This Row],[Mi supervisor o jefe directo nos brinda charlas de 5 minutos y comunica las novedades relevantes a mi puesto de trabajo]],#REF!,#REF!
)</f>
        <v>#REF!</v>
      </c>
      <c r="S856" t="s">
        <v>18</v>
      </c>
      <c r="W856" t="s">
        <v>25</v>
      </c>
      <c r="X856" t="s">
        <v>23</v>
      </c>
      <c r="Y856" t="e">
        <f>+_xlfn.XLOOKUP(tbl_encuesta[[#This Row],[Considero a Limtek como un buen lugar para trabajar]],#REF!,#REF!)</f>
        <v>#REF!</v>
      </c>
      <c r="Z856" t="s">
        <v>2161</v>
      </c>
      <c r="AA856" t="s">
        <v>750</v>
      </c>
      <c r="AB856" t="s">
        <v>28</v>
      </c>
      <c r="AC856" s="3" t="s">
        <v>3825</v>
      </c>
      <c r="AD856" s="3" t="s">
        <v>3826</v>
      </c>
      <c r="AE856" t="s">
        <v>69</v>
      </c>
    </row>
    <row r="857" spans="1:31" x14ac:dyDescent="0.25">
      <c r="A857">
        <v>119027142426</v>
      </c>
      <c r="B857">
        <v>462598545</v>
      </c>
      <c r="C857" s="1">
        <v>46018.51939814815</v>
      </c>
      <c r="D857" s="1">
        <v>46018.523564814815</v>
      </c>
      <c r="E857" t="s">
        <v>2162</v>
      </c>
      <c r="F857" t="s">
        <v>23</v>
      </c>
      <c r="G857" t="e">
        <f>+_xlfn.XLOOKUP(tbl_encuesta[[#This Row],[Me siento a gusto con el ambiente de trabajo que se genera en mi equipo.]],#REF!,#REF!)</f>
        <v>#REF!</v>
      </c>
      <c r="H857" t="s">
        <v>23</v>
      </c>
      <c r="I857" t="e">
        <f>+_xlfn.XLOOKUP(tbl_encuesta[[#This Row],[Me siento motivado a dar lo mejor de mí y hacer un buen trabajo]],#REF!,#REF!)</f>
        <v>#REF!</v>
      </c>
      <c r="J857" t="s">
        <v>23</v>
      </c>
      <c r="K857" t="e">
        <f>+_xlfn.XLOOKUP(tbl_encuesta[[#This Row],[Mi supervisor o jefe directo me otorga el soporte que necesito para afrontar cualquier problema que afecte mi trabajo]],#REF!,#REF!)</f>
        <v>#REF!</v>
      </c>
      <c r="L857" t="s">
        <v>23</v>
      </c>
      <c r="M857" t="e">
        <f>+_xlfn.XLOOKUP(tbl_encuesta[[#This Row],[Mi supervisor o jefe directo fomenta que nos apoyemos entre todos en el equipo]],#REF!,#REF!)</f>
        <v>#REF!</v>
      </c>
      <c r="N857" t="s">
        <v>23</v>
      </c>
      <c r="O857" t="e">
        <f>+_xlfn.XLOOKUP(tbl_encuesta[[#This Row],[Siento que mi trabajo es reconocido por mi supervisor o jefe directo.]],#REF!,#REF!)</f>
        <v>#REF!</v>
      </c>
      <c r="P857" t="s">
        <v>31</v>
      </c>
      <c r="Q857" t="e">
        <f xml:space="preserve">
_xlfn.XLOOKUP(
tbl_encuesta[[#This Row],[Mi supervisor o jefe directo nos brinda charlas de 5 minutos y comunica las novedades relevantes a mi puesto de trabajo]],#REF!,#REF!
)</f>
        <v>#REF!</v>
      </c>
      <c r="R857" t="s">
        <v>17</v>
      </c>
      <c r="W857" t="s">
        <v>46</v>
      </c>
      <c r="X857" t="s">
        <v>23</v>
      </c>
      <c r="Y857" t="e">
        <f>+_xlfn.XLOOKUP(tbl_encuesta[[#This Row],[Considero a Limtek como un buen lugar para trabajar]],#REF!,#REF!)</f>
        <v>#REF!</v>
      </c>
      <c r="Z857" t="s">
        <v>2163</v>
      </c>
      <c r="AA857" t="s">
        <v>2164</v>
      </c>
      <c r="AB857" t="s">
        <v>28</v>
      </c>
      <c r="AC857" s="3" t="s">
        <v>3825</v>
      </c>
      <c r="AD857" s="3" t="s">
        <v>3826</v>
      </c>
      <c r="AE857" t="s">
        <v>55</v>
      </c>
    </row>
    <row r="858" spans="1:31" x14ac:dyDescent="0.25">
      <c r="A858">
        <v>119027141381</v>
      </c>
      <c r="B858">
        <v>462598545</v>
      </c>
      <c r="C858" s="1">
        <v>46018.517789351848</v>
      </c>
      <c r="D858" s="1">
        <v>46018.521909722222</v>
      </c>
      <c r="E858" t="s">
        <v>2165</v>
      </c>
      <c r="F858" t="s">
        <v>23</v>
      </c>
      <c r="G858" t="e">
        <f>+_xlfn.XLOOKUP(tbl_encuesta[[#This Row],[Me siento a gusto con el ambiente de trabajo que se genera en mi equipo.]],#REF!,#REF!)</f>
        <v>#REF!</v>
      </c>
      <c r="H858" t="s">
        <v>23</v>
      </c>
      <c r="I858" t="e">
        <f>+_xlfn.XLOOKUP(tbl_encuesta[[#This Row],[Me siento motivado a dar lo mejor de mí y hacer un buen trabajo]],#REF!,#REF!)</f>
        <v>#REF!</v>
      </c>
      <c r="J858" t="s">
        <v>23</v>
      </c>
      <c r="K858" t="e">
        <f>+_xlfn.XLOOKUP(tbl_encuesta[[#This Row],[Mi supervisor o jefe directo me otorga el soporte que necesito para afrontar cualquier problema que afecte mi trabajo]],#REF!,#REF!)</f>
        <v>#REF!</v>
      </c>
      <c r="L858" t="s">
        <v>23</v>
      </c>
      <c r="M858" t="e">
        <f>+_xlfn.XLOOKUP(tbl_encuesta[[#This Row],[Mi supervisor o jefe directo fomenta que nos apoyemos entre todos en el equipo]],#REF!,#REF!)</f>
        <v>#REF!</v>
      </c>
      <c r="N858" t="s">
        <v>23</v>
      </c>
      <c r="O858" t="e">
        <f>+_xlfn.XLOOKUP(tbl_encuesta[[#This Row],[Siento que mi trabajo es reconocido por mi supervisor o jefe directo.]],#REF!,#REF!)</f>
        <v>#REF!</v>
      </c>
      <c r="P858" t="s">
        <v>31</v>
      </c>
      <c r="Q858" t="e">
        <f xml:space="preserve">
_xlfn.XLOOKUP(
tbl_encuesta[[#This Row],[Mi supervisor o jefe directo nos brinda charlas de 5 minutos y comunica las novedades relevantes a mi puesto de trabajo]],#REF!,#REF!
)</f>
        <v>#REF!</v>
      </c>
      <c r="R858" t="s">
        <v>17</v>
      </c>
      <c r="T858" t="s">
        <v>19</v>
      </c>
      <c r="W858" t="s">
        <v>25</v>
      </c>
      <c r="X858" t="s">
        <v>23</v>
      </c>
      <c r="Y858" t="e">
        <f>+_xlfn.XLOOKUP(tbl_encuesta[[#This Row],[Considero a Limtek como un buen lugar para trabajar]],#REF!,#REF!)</f>
        <v>#REF!</v>
      </c>
      <c r="Z858" t="s">
        <v>2166</v>
      </c>
      <c r="AA858" t="s">
        <v>2167</v>
      </c>
      <c r="AB858" t="s">
        <v>38</v>
      </c>
      <c r="AC858" s="3" t="s">
        <v>3610</v>
      </c>
      <c r="AD858" t="s">
        <v>2168</v>
      </c>
      <c r="AE858" t="s">
        <v>29</v>
      </c>
    </row>
    <row r="859" spans="1:31" x14ac:dyDescent="0.25">
      <c r="A859">
        <v>119027140681</v>
      </c>
      <c r="B859">
        <v>462598545</v>
      </c>
      <c r="C859" s="1">
        <v>46018.517222222225</v>
      </c>
      <c r="D859" s="1">
        <v>46018.52065972222</v>
      </c>
      <c r="E859" t="s">
        <v>2169</v>
      </c>
      <c r="F859" t="s">
        <v>23</v>
      </c>
      <c r="G859" t="e">
        <f>+_xlfn.XLOOKUP(tbl_encuesta[[#This Row],[Me siento a gusto con el ambiente de trabajo que se genera en mi equipo.]],#REF!,#REF!)</f>
        <v>#REF!</v>
      </c>
      <c r="H859" t="s">
        <v>23</v>
      </c>
      <c r="I859" t="e">
        <f>+_xlfn.XLOOKUP(tbl_encuesta[[#This Row],[Me siento motivado a dar lo mejor de mí y hacer un buen trabajo]],#REF!,#REF!)</f>
        <v>#REF!</v>
      </c>
      <c r="J859" t="s">
        <v>23</v>
      </c>
      <c r="K859" t="e">
        <f>+_xlfn.XLOOKUP(tbl_encuesta[[#This Row],[Mi supervisor o jefe directo me otorga el soporte que necesito para afrontar cualquier problema que afecte mi trabajo]],#REF!,#REF!)</f>
        <v>#REF!</v>
      </c>
      <c r="L859" t="s">
        <v>23</v>
      </c>
      <c r="M859" t="e">
        <f>+_xlfn.XLOOKUP(tbl_encuesta[[#This Row],[Mi supervisor o jefe directo fomenta que nos apoyemos entre todos en el equipo]],#REF!,#REF!)</f>
        <v>#REF!</v>
      </c>
      <c r="N859" t="s">
        <v>23</v>
      </c>
      <c r="O859" t="e">
        <f>+_xlfn.XLOOKUP(tbl_encuesta[[#This Row],[Siento que mi trabajo es reconocido por mi supervisor o jefe directo.]],#REF!,#REF!)</f>
        <v>#REF!</v>
      </c>
      <c r="P859" t="s">
        <v>31</v>
      </c>
      <c r="Q859" t="e">
        <f xml:space="preserve">
_xlfn.XLOOKUP(
tbl_encuesta[[#This Row],[Mi supervisor o jefe directo nos brinda charlas de 5 minutos y comunica las novedades relevantes a mi puesto de trabajo]],#REF!,#REF!
)</f>
        <v>#REF!</v>
      </c>
      <c r="R859" t="s">
        <v>17</v>
      </c>
      <c r="U859" t="s">
        <v>20</v>
      </c>
      <c r="W859" t="s">
        <v>25</v>
      </c>
      <c r="X859" t="s">
        <v>23</v>
      </c>
      <c r="Y859" t="e">
        <f>+_xlfn.XLOOKUP(tbl_encuesta[[#This Row],[Considero a Limtek como un buen lugar para trabajar]],#REF!,#REF!)</f>
        <v>#REF!</v>
      </c>
      <c r="Z859" t="s">
        <v>2170</v>
      </c>
      <c r="AA859" t="s">
        <v>122</v>
      </c>
      <c r="AB859" t="s">
        <v>28</v>
      </c>
      <c r="AC859" s="3" t="s">
        <v>3859</v>
      </c>
      <c r="AD859" s="3" t="s">
        <v>3860</v>
      </c>
      <c r="AE859" t="s">
        <v>69</v>
      </c>
    </row>
    <row r="860" spans="1:31" x14ac:dyDescent="0.25">
      <c r="A860">
        <v>119027139998</v>
      </c>
      <c r="B860">
        <v>462598545</v>
      </c>
      <c r="C860" s="1">
        <v>46018.514363425929</v>
      </c>
      <c r="D860" s="1">
        <v>46018.519328703704</v>
      </c>
      <c r="E860" t="s">
        <v>2171</v>
      </c>
      <c r="F860" t="s">
        <v>43</v>
      </c>
      <c r="G860" t="e">
        <f>+_xlfn.XLOOKUP(tbl_encuesta[[#This Row],[Me siento a gusto con el ambiente de trabajo que se genera en mi equipo.]],#REF!,#REF!)</f>
        <v>#REF!</v>
      </c>
      <c r="H860" t="s">
        <v>43</v>
      </c>
      <c r="I860" t="e">
        <f>+_xlfn.XLOOKUP(tbl_encuesta[[#This Row],[Me siento motivado a dar lo mejor de mí y hacer un buen trabajo]],#REF!,#REF!)</f>
        <v>#REF!</v>
      </c>
      <c r="J860" t="s">
        <v>22</v>
      </c>
      <c r="K860" t="e">
        <f>+_xlfn.XLOOKUP(tbl_encuesta[[#This Row],[Mi supervisor o jefe directo me otorga el soporte que necesito para afrontar cualquier problema que afecte mi trabajo]],#REF!,#REF!)</f>
        <v>#REF!</v>
      </c>
      <c r="L860" t="s">
        <v>23</v>
      </c>
      <c r="M860" t="e">
        <f>+_xlfn.XLOOKUP(tbl_encuesta[[#This Row],[Mi supervisor o jefe directo fomenta que nos apoyemos entre todos en el equipo]],#REF!,#REF!)</f>
        <v>#REF!</v>
      </c>
      <c r="N860" t="s">
        <v>97</v>
      </c>
      <c r="O860" t="e">
        <f>+_xlfn.XLOOKUP(tbl_encuesta[[#This Row],[Siento que mi trabajo es reconocido por mi supervisor o jefe directo.]],#REF!,#REF!)</f>
        <v>#REF!</v>
      </c>
      <c r="P860" t="s">
        <v>31</v>
      </c>
      <c r="Q860" t="e">
        <f xml:space="preserve">
_xlfn.XLOOKUP(
tbl_encuesta[[#This Row],[Mi supervisor o jefe directo nos brinda charlas de 5 minutos y comunica las novedades relevantes a mi puesto de trabajo]],#REF!,#REF!
)</f>
        <v>#REF!</v>
      </c>
      <c r="U860" t="s">
        <v>20</v>
      </c>
      <c r="W860" t="s">
        <v>25</v>
      </c>
      <c r="X860" t="s">
        <v>22</v>
      </c>
      <c r="Y860" t="e">
        <f>+_xlfn.XLOOKUP(tbl_encuesta[[#This Row],[Considero a Limtek como un buen lugar para trabajar]],#REF!,#REF!)</f>
        <v>#REF!</v>
      </c>
      <c r="Z860" t="s">
        <v>2172</v>
      </c>
      <c r="AA860" t="s">
        <v>2173</v>
      </c>
      <c r="AB860" t="s">
        <v>28</v>
      </c>
      <c r="AC860" t="s">
        <v>3744</v>
      </c>
      <c r="AD860" t="s">
        <v>3744</v>
      </c>
      <c r="AE860" t="s">
        <v>55</v>
      </c>
    </row>
    <row r="861" spans="1:31" x14ac:dyDescent="0.25">
      <c r="A861">
        <v>119027136455</v>
      </c>
      <c r="B861">
        <v>462598545</v>
      </c>
      <c r="C861" s="1">
        <v>46018.511180555557</v>
      </c>
      <c r="D861" s="1">
        <v>46018.513124999998</v>
      </c>
      <c r="E861" t="s">
        <v>2162</v>
      </c>
      <c r="F861" t="s">
        <v>22</v>
      </c>
      <c r="G861" t="e">
        <f>+_xlfn.XLOOKUP(tbl_encuesta[[#This Row],[Me siento a gusto con el ambiente de trabajo que se genera en mi equipo.]],#REF!,#REF!)</f>
        <v>#REF!</v>
      </c>
      <c r="H861" t="s">
        <v>23</v>
      </c>
      <c r="I861" t="e">
        <f>+_xlfn.XLOOKUP(tbl_encuesta[[#This Row],[Me siento motivado a dar lo mejor de mí y hacer un buen trabajo]],#REF!,#REF!)</f>
        <v>#REF!</v>
      </c>
      <c r="J861" t="s">
        <v>23</v>
      </c>
      <c r="K861" t="e">
        <f>+_xlfn.XLOOKUP(tbl_encuesta[[#This Row],[Mi supervisor o jefe directo me otorga el soporte que necesito para afrontar cualquier problema que afecte mi trabajo]],#REF!,#REF!)</f>
        <v>#REF!</v>
      </c>
      <c r="L861" t="s">
        <v>23</v>
      </c>
      <c r="M861" t="e">
        <f>+_xlfn.XLOOKUP(tbl_encuesta[[#This Row],[Mi supervisor o jefe directo fomenta que nos apoyemos entre todos en el equipo]],#REF!,#REF!)</f>
        <v>#REF!</v>
      </c>
      <c r="N861" t="s">
        <v>23</v>
      </c>
      <c r="O861" t="e">
        <f>+_xlfn.XLOOKUP(tbl_encuesta[[#This Row],[Siento que mi trabajo es reconocido por mi supervisor o jefe directo.]],#REF!,#REF!)</f>
        <v>#REF!</v>
      </c>
      <c r="P861" t="s">
        <v>31</v>
      </c>
      <c r="Q861" t="e">
        <f xml:space="preserve">
_xlfn.XLOOKUP(
tbl_encuesta[[#This Row],[Mi supervisor o jefe directo nos brinda charlas de 5 minutos y comunica las novedades relevantes a mi puesto de trabajo]],#REF!,#REF!
)</f>
        <v>#REF!</v>
      </c>
      <c r="S861" t="s">
        <v>18</v>
      </c>
      <c r="T861" t="s">
        <v>19</v>
      </c>
      <c r="W861" t="s">
        <v>25</v>
      </c>
      <c r="X861" t="s">
        <v>22</v>
      </c>
      <c r="Y861" t="e">
        <f>+_xlfn.XLOOKUP(tbl_encuesta[[#This Row],[Considero a Limtek como un buen lugar para trabajar]],#REF!,#REF!)</f>
        <v>#REF!</v>
      </c>
      <c r="Z861" t="s">
        <v>145</v>
      </c>
      <c r="AA861" t="s">
        <v>2062</v>
      </c>
      <c r="AB861" t="s">
        <v>28</v>
      </c>
      <c r="AC861" t="s">
        <v>3744</v>
      </c>
      <c r="AD861" t="s">
        <v>3744</v>
      </c>
      <c r="AE861" t="s">
        <v>69</v>
      </c>
    </row>
    <row r="862" spans="1:31" x14ac:dyDescent="0.25">
      <c r="A862">
        <v>119027135247</v>
      </c>
      <c r="B862">
        <v>462598545</v>
      </c>
      <c r="C862" s="1">
        <v>46018.507453703707</v>
      </c>
      <c r="D862" s="1">
        <v>46018.51054398148</v>
      </c>
      <c r="E862" t="s">
        <v>2174</v>
      </c>
      <c r="F862" t="s">
        <v>22</v>
      </c>
      <c r="G862" t="e">
        <f>+_xlfn.XLOOKUP(tbl_encuesta[[#This Row],[Me siento a gusto con el ambiente de trabajo que se genera en mi equipo.]],#REF!,#REF!)</f>
        <v>#REF!</v>
      </c>
      <c r="H862" t="s">
        <v>23</v>
      </c>
      <c r="I862" t="e">
        <f>+_xlfn.XLOOKUP(tbl_encuesta[[#This Row],[Me siento motivado a dar lo mejor de mí y hacer un buen trabajo]],#REF!,#REF!)</f>
        <v>#REF!</v>
      </c>
      <c r="J862" t="s">
        <v>23</v>
      </c>
      <c r="K862" t="e">
        <f>+_xlfn.XLOOKUP(tbl_encuesta[[#This Row],[Mi supervisor o jefe directo me otorga el soporte que necesito para afrontar cualquier problema que afecte mi trabajo]],#REF!,#REF!)</f>
        <v>#REF!</v>
      </c>
      <c r="L862" t="s">
        <v>22</v>
      </c>
      <c r="M862" t="e">
        <f>+_xlfn.XLOOKUP(tbl_encuesta[[#This Row],[Mi supervisor o jefe directo fomenta que nos apoyemos entre todos en el equipo]],#REF!,#REF!)</f>
        <v>#REF!</v>
      </c>
      <c r="N862" t="s">
        <v>22</v>
      </c>
      <c r="O862" t="e">
        <f>+_xlfn.XLOOKUP(tbl_encuesta[[#This Row],[Siento que mi trabajo es reconocido por mi supervisor o jefe directo.]],#REF!,#REF!)</f>
        <v>#REF!</v>
      </c>
      <c r="P862" t="s">
        <v>31</v>
      </c>
      <c r="Q862" t="e">
        <f xml:space="preserve">
_xlfn.XLOOKUP(
tbl_encuesta[[#This Row],[Mi supervisor o jefe directo nos brinda charlas de 5 minutos y comunica las novedades relevantes a mi puesto de trabajo]],#REF!,#REF!
)</f>
        <v>#REF!</v>
      </c>
      <c r="R862" t="s">
        <v>17</v>
      </c>
      <c r="S862" t="s">
        <v>18</v>
      </c>
      <c r="W862" t="s">
        <v>25</v>
      </c>
      <c r="X862" t="s">
        <v>23</v>
      </c>
      <c r="Y862" t="e">
        <f>+_xlfn.XLOOKUP(tbl_encuesta[[#This Row],[Considero a Limtek como un buen lugar para trabajar]],#REF!,#REF!)</f>
        <v>#REF!</v>
      </c>
      <c r="Z862" t="s">
        <v>325</v>
      </c>
      <c r="AA862" t="s">
        <v>527</v>
      </c>
      <c r="AB862" t="s">
        <v>28</v>
      </c>
      <c r="AC862" t="s">
        <v>3744</v>
      </c>
      <c r="AD862" t="s">
        <v>3744</v>
      </c>
      <c r="AE862" t="s">
        <v>69</v>
      </c>
    </row>
    <row r="863" spans="1:31" x14ac:dyDescent="0.25">
      <c r="A863">
        <v>119027134381</v>
      </c>
      <c r="B863">
        <v>462598545</v>
      </c>
      <c r="C863" s="1">
        <v>46018.502557870372</v>
      </c>
      <c r="D863" s="1">
        <v>46018.508773148147</v>
      </c>
      <c r="E863" t="s">
        <v>2175</v>
      </c>
      <c r="F863" t="s">
        <v>22</v>
      </c>
      <c r="G863" t="e">
        <f>+_xlfn.XLOOKUP(tbl_encuesta[[#This Row],[Me siento a gusto con el ambiente de trabajo que se genera en mi equipo.]],#REF!,#REF!)</f>
        <v>#REF!</v>
      </c>
      <c r="H863" t="s">
        <v>23</v>
      </c>
      <c r="I863" t="e">
        <f>+_xlfn.XLOOKUP(tbl_encuesta[[#This Row],[Me siento motivado a dar lo mejor de mí y hacer un buen trabajo]],#REF!,#REF!)</f>
        <v>#REF!</v>
      </c>
      <c r="J863" t="s">
        <v>23</v>
      </c>
      <c r="K863" t="e">
        <f>+_xlfn.XLOOKUP(tbl_encuesta[[#This Row],[Mi supervisor o jefe directo me otorga el soporte que necesito para afrontar cualquier problema que afecte mi trabajo]],#REF!,#REF!)</f>
        <v>#REF!</v>
      </c>
      <c r="L863" t="s">
        <v>23</v>
      </c>
      <c r="M863" t="e">
        <f>+_xlfn.XLOOKUP(tbl_encuesta[[#This Row],[Mi supervisor o jefe directo fomenta que nos apoyemos entre todos en el equipo]],#REF!,#REF!)</f>
        <v>#REF!</v>
      </c>
      <c r="N863" t="s">
        <v>23</v>
      </c>
      <c r="O863" t="e">
        <f>+_xlfn.XLOOKUP(tbl_encuesta[[#This Row],[Siento que mi trabajo es reconocido por mi supervisor o jefe directo.]],#REF!,#REF!)</f>
        <v>#REF!</v>
      </c>
      <c r="P863" t="s">
        <v>24</v>
      </c>
      <c r="Q863" t="e">
        <f xml:space="preserve">
_xlfn.XLOOKUP(
tbl_encuesta[[#This Row],[Mi supervisor o jefe directo nos brinda charlas de 5 minutos y comunica las novedades relevantes a mi puesto de trabajo]],#REF!,#REF!
)</f>
        <v>#REF!</v>
      </c>
      <c r="R863" t="s">
        <v>17</v>
      </c>
      <c r="W863" t="s">
        <v>25</v>
      </c>
      <c r="X863" t="s">
        <v>23</v>
      </c>
      <c r="Y863" t="e">
        <f>+_xlfn.XLOOKUP(tbl_encuesta[[#This Row],[Considero a Limtek como un buen lugar para trabajar]],#REF!,#REF!)</f>
        <v>#REF!</v>
      </c>
      <c r="Z863" t="s">
        <v>2176</v>
      </c>
      <c r="AA863" t="s">
        <v>2177</v>
      </c>
      <c r="AB863" t="s">
        <v>28</v>
      </c>
      <c r="AC863" s="3" t="s">
        <v>3705</v>
      </c>
      <c r="AD863" s="3" t="s">
        <v>3709</v>
      </c>
      <c r="AE863" t="s">
        <v>29</v>
      </c>
    </row>
    <row r="864" spans="1:31" x14ac:dyDescent="0.25">
      <c r="A864">
        <v>119027134135</v>
      </c>
      <c r="B864">
        <v>462598545</v>
      </c>
      <c r="C864" s="1">
        <v>46018.504340277781</v>
      </c>
      <c r="D864" s="1">
        <v>46018.508275462962</v>
      </c>
      <c r="E864" t="s">
        <v>2178</v>
      </c>
      <c r="F864" t="s">
        <v>23</v>
      </c>
      <c r="G864" t="e">
        <f>+_xlfn.XLOOKUP(tbl_encuesta[[#This Row],[Me siento a gusto con el ambiente de trabajo que se genera en mi equipo.]],#REF!,#REF!)</f>
        <v>#REF!</v>
      </c>
      <c r="H864" t="s">
        <v>23</v>
      </c>
      <c r="I864" t="e">
        <f>+_xlfn.XLOOKUP(tbl_encuesta[[#This Row],[Me siento motivado a dar lo mejor de mí y hacer un buen trabajo]],#REF!,#REF!)</f>
        <v>#REF!</v>
      </c>
      <c r="J864" t="s">
        <v>23</v>
      </c>
      <c r="K864" t="e">
        <f>+_xlfn.XLOOKUP(tbl_encuesta[[#This Row],[Mi supervisor o jefe directo me otorga el soporte que necesito para afrontar cualquier problema que afecte mi trabajo]],#REF!,#REF!)</f>
        <v>#REF!</v>
      </c>
      <c r="L864" t="s">
        <v>23</v>
      </c>
      <c r="M864" t="e">
        <f>+_xlfn.XLOOKUP(tbl_encuesta[[#This Row],[Mi supervisor o jefe directo fomenta que nos apoyemos entre todos en el equipo]],#REF!,#REF!)</f>
        <v>#REF!</v>
      </c>
      <c r="N864" t="s">
        <v>23</v>
      </c>
      <c r="O864" t="e">
        <f>+_xlfn.XLOOKUP(tbl_encuesta[[#This Row],[Siento que mi trabajo es reconocido por mi supervisor o jefe directo.]],#REF!,#REF!)</f>
        <v>#REF!</v>
      </c>
      <c r="P864" t="s">
        <v>31</v>
      </c>
      <c r="Q864" t="e">
        <f xml:space="preserve">
_xlfn.XLOOKUP(
tbl_encuesta[[#This Row],[Mi supervisor o jefe directo nos brinda charlas de 5 minutos y comunica las novedades relevantes a mi puesto de trabajo]],#REF!,#REF!
)</f>
        <v>#REF!</v>
      </c>
      <c r="R864" t="s">
        <v>17</v>
      </c>
      <c r="S864" t="s">
        <v>18</v>
      </c>
      <c r="W864" t="s">
        <v>25</v>
      </c>
      <c r="X864" t="s">
        <v>23</v>
      </c>
      <c r="Y864" t="e">
        <f>+_xlfn.XLOOKUP(tbl_encuesta[[#This Row],[Considero a Limtek como un buen lugar para trabajar]],#REF!,#REF!)</f>
        <v>#REF!</v>
      </c>
      <c r="Z864" t="s">
        <v>1483</v>
      </c>
      <c r="AA864" t="s">
        <v>122</v>
      </c>
      <c r="AB864" t="s">
        <v>28</v>
      </c>
      <c r="AC864" t="s">
        <v>3744</v>
      </c>
      <c r="AD864" t="s">
        <v>3744</v>
      </c>
      <c r="AE864" t="s">
        <v>29</v>
      </c>
    </row>
    <row r="865" spans="1:31" x14ac:dyDescent="0.25">
      <c r="A865">
        <v>119027134066</v>
      </c>
      <c r="B865">
        <v>462598545</v>
      </c>
      <c r="C865" s="1">
        <v>46018.50440972222</v>
      </c>
      <c r="D865" s="1">
        <v>46018.508148148147</v>
      </c>
      <c r="E865" t="s">
        <v>2179</v>
      </c>
      <c r="F865" t="s">
        <v>23</v>
      </c>
      <c r="G865" t="e">
        <f>+_xlfn.XLOOKUP(tbl_encuesta[[#This Row],[Me siento a gusto con el ambiente de trabajo que se genera en mi equipo.]],#REF!,#REF!)</f>
        <v>#REF!</v>
      </c>
      <c r="H865" t="s">
        <v>23</v>
      </c>
      <c r="I865" t="e">
        <f>+_xlfn.XLOOKUP(tbl_encuesta[[#This Row],[Me siento motivado a dar lo mejor de mí y hacer un buen trabajo]],#REF!,#REF!)</f>
        <v>#REF!</v>
      </c>
      <c r="J865" t="s">
        <v>23</v>
      </c>
      <c r="K865" t="e">
        <f>+_xlfn.XLOOKUP(tbl_encuesta[[#This Row],[Mi supervisor o jefe directo me otorga el soporte que necesito para afrontar cualquier problema que afecte mi trabajo]],#REF!,#REF!)</f>
        <v>#REF!</v>
      </c>
      <c r="L865" t="s">
        <v>23</v>
      </c>
      <c r="M865" t="e">
        <f>+_xlfn.XLOOKUP(tbl_encuesta[[#This Row],[Mi supervisor o jefe directo fomenta que nos apoyemos entre todos en el equipo]],#REF!,#REF!)</f>
        <v>#REF!</v>
      </c>
      <c r="N865" t="s">
        <v>23</v>
      </c>
      <c r="O865" t="e">
        <f>+_xlfn.XLOOKUP(tbl_encuesta[[#This Row],[Siento que mi trabajo es reconocido por mi supervisor o jefe directo.]],#REF!,#REF!)</f>
        <v>#REF!</v>
      </c>
      <c r="P865" t="s">
        <v>31</v>
      </c>
      <c r="Q865" t="e">
        <f xml:space="preserve">
_xlfn.XLOOKUP(
tbl_encuesta[[#This Row],[Mi supervisor o jefe directo nos brinda charlas de 5 minutos y comunica las novedades relevantes a mi puesto de trabajo]],#REF!,#REF!
)</f>
        <v>#REF!</v>
      </c>
      <c r="R865" t="s">
        <v>17</v>
      </c>
      <c r="W865" t="s">
        <v>25</v>
      </c>
      <c r="X865" t="s">
        <v>23</v>
      </c>
      <c r="Y865" t="e">
        <f>+_xlfn.XLOOKUP(tbl_encuesta[[#This Row],[Considero a Limtek como un buen lugar para trabajar]],#REF!,#REF!)</f>
        <v>#REF!</v>
      </c>
      <c r="Z865" t="s">
        <v>2180</v>
      </c>
      <c r="AA865" t="s">
        <v>2181</v>
      </c>
      <c r="AB865" t="s">
        <v>28</v>
      </c>
      <c r="AC865" t="s">
        <v>3744</v>
      </c>
      <c r="AD865" t="s">
        <v>3744</v>
      </c>
      <c r="AE865" t="s">
        <v>61</v>
      </c>
    </row>
    <row r="866" spans="1:31" x14ac:dyDescent="0.25">
      <c r="A866">
        <v>119027130774</v>
      </c>
      <c r="B866">
        <v>462598545</v>
      </c>
      <c r="C866" s="1">
        <v>46018.498726851853</v>
      </c>
      <c r="D866" s="1">
        <v>46018.501851851855</v>
      </c>
      <c r="E866" t="s">
        <v>2182</v>
      </c>
      <c r="F866" t="s">
        <v>23</v>
      </c>
      <c r="G866" t="e">
        <f>+_xlfn.XLOOKUP(tbl_encuesta[[#This Row],[Me siento a gusto con el ambiente de trabajo que se genera en mi equipo.]],#REF!,#REF!)</f>
        <v>#REF!</v>
      </c>
      <c r="H866" t="s">
        <v>23</v>
      </c>
      <c r="I866" t="e">
        <f>+_xlfn.XLOOKUP(tbl_encuesta[[#This Row],[Me siento motivado a dar lo mejor de mí y hacer un buen trabajo]],#REF!,#REF!)</f>
        <v>#REF!</v>
      </c>
      <c r="J866" t="s">
        <v>23</v>
      </c>
      <c r="K866" t="e">
        <f>+_xlfn.XLOOKUP(tbl_encuesta[[#This Row],[Mi supervisor o jefe directo me otorga el soporte que necesito para afrontar cualquier problema que afecte mi trabajo]],#REF!,#REF!)</f>
        <v>#REF!</v>
      </c>
      <c r="L866" t="s">
        <v>23</v>
      </c>
      <c r="M866" t="e">
        <f>+_xlfn.XLOOKUP(tbl_encuesta[[#This Row],[Mi supervisor o jefe directo fomenta que nos apoyemos entre todos en el equipo]],#REF!,#REF!)</f>
        <v>#REF!</v>
      </c>
      <c r="N866" t="s">
        <v>23</v>
      </c>
      <c r="O866" t="e">
        <f>+_xlfn.XLOOKUP(tbl_encuesta[[#This Row],[Siento que mi trabajo es reconocido por mi supervisor o jefe directo.]],#REF!,#REF!)</f>
        <v>#REF!</v>
      </c>
      <c r="P866" t="s">
        <v>31</v>
      </c>
      <c r="Q866" t="e">
        <f xml:space="preserve">
_xlfn.XLOOKUP(
tbl_encuesta[[#This Row],[Mi supervisor o jefe directo nos brinda charlas de 5 minutos y comunica las novedades relevantes a mi puesto de trabajo]],#REF!,#REF!
)</f>
        <v>#REF!</v>
      </c>
      <c r="R866" t="s">
        <v>17</v>
      </c>
      <c r="W866" t="s">
        <v>25</v>
      </c>
      <c r="X866" t="s">
        <v>23</v>
      </c>
      <c r="Y866" t="e">
        <f>+_xlfn.XLOOKUP(tbl_encuesta[[#This Row],[Considero a Limtek como un buen lugar para trabajar]],#REF!,#REF!)</f>
        <v>#REF!</v>
      </c>
      <c r="Z866" t="s">
        <v>2183</v>
      </c>
      <c r="AA866" t="s">
        <v>2081</v>
      </c>
      <c r="AB866" t="s">
        <v>28</v>
      </c>
      <c r="AC866" t="s">
        <v>3744</v>
      </c>
      <c r="AD866" t="s">
        <v>3744</v>
      </c>
      <c r="AE866" t="s">
        <v>55</v>
      </c>
    </row>
    <row r="867" spans="1:31" x14ac:dyDescent="0.25">
      <c r="A867">
        <v>119027130536</v>
      </c>
      <c r="B867">
        <v>462598545</v>
      </c>
      <c r="C867" s="1">
        <v>46018.49931712963</v>
      </c>
      <c r="D867" s="1">
        <v>46018.501354166663</v>
      </c>
      <c r="E867" t="s">
        <v>2184</v>
      </c>
      <c r="F867" t="s">
        <v>23</v>
      </c>
      <c r="G867" t="e">
        <f>+_xlfn.XLOOKUP(tbl_encuesta[[#This Row],[Me siento a gusto con el ambiente de trabajo que se genera en mi equipo.]],#REF!,#REF!)</f>
        <v>#REF!</v>
      </c>
      <c r="H867" t="s">
        <v>23</v>
      </c>
      <c r="I867" t="e">
        <f>+_xlfn.XLOOKUP(tbl_encuesta[[#This Row],[Me siento motivado a dar lo mejor de mí y hacer un buen trabajo]],#REF!,#REF!)</f>
        <v>#REF!</v>
      </c>
      <c r="J867" t="s">
        <v>22</v>
      </c>
      <c r="K867" t="e">
        <f>+_xlfn.XLOOKUP(tbl_encuesta[[#This Row],[Mi supervisor o jefe directo me otorga el soporte que necesito para afrontar cualquier problema que afecte mi trabajo]],#REF!,#REF!)</f>
        <v>#REF!</v>
      </c>
      <c r="L867" t="s">
        <v>22</v>
      </c>
      <c r="M867" t="e">
        <f>+_xlfn.XLOOKUP(tbl_encuesta[[#This Row],[Mi supervisor o jefe directo fomenta que nos apoyemos entre todos en el equipo]],#REF!,#REF!)</f>
        <v>#REF!</v>
      </c>
      <c r="N867" t="s">
        <v>22</v>
      </c>
      <c r="O867" t="e">
        <f>+_xlfn.XLOOKUP(tbl_encuesta[[#This Row],[Siento que mi trabajo es reconocido por mi supervisor o jefe directo.]],#REF!,#REF!)</f>
        <v>#REF!</v>
      </c>
      <c r="P867" t="s">
        <v>67</v>
      </c>
      <c r="Q867" t="e">
        <f xml:space="preserve">
_xlfn.XLOOKUP(
tbl_encuesta[[#This Row],[Mi supervisor o jefe directo nos brinda charlas de 5 minutos y comunica las novedades relevantes a mi puesto de trabajo]],#REF!,#REF!
)</f>
        <v>#REF!</v>
      </c>
      <c r="R867" t="s">
        <v>17</v>
      </c>
      <c r="S867" t="s">
        <v>18</v>
      </c>
      <c r="W867" t="s">
        <v>25</v>
      </c>
      <c r="X867" t="s">
        <v>23</v>
      </c>
      <c r="Y867" t="e">
        <f>+_xlfn.XLOOKUP(tbl_encuesta[[#This Row],[Considero a Limtek como un buen lugar para trabajar]],#REF!,#REF!)</f>
        <v>#REF!</v>
      </c>
      <c r="Z867" t="s">
        <v>2185</v>
      </c>
      <c r="AA867" t="s">
        <v>2186</v>
      </c>
      <c r="AB867" t="s">
        <v>28</v>
      </c>
      <c r="AC867" s="3" t="s">
        <v>3825</v>
      </c>
      <c r="AD867" s="3" t="s">
        <v>3826</v>
      </c>
      <c r="AE867" t="s">
        <v>61</v>
      </c>
    </row>
    <row r="868" spans="1:31" x14ac:dyDescent="0.25">
      <c r="A868">
        <v>119027130242</v>
      </c>
      <c r="B868">
        <v>462598545</v>
      </c>
      <c r="C868" s="1">
        <v>46018.493009259262</v>
      </c>
      <c r="D868" s="1">
        <v>46018.500752314816</v>
      </c>
      <c r="E868" t="s">
        <v>2187</v>
      </c>
      <c r="F868" t="s">
        <v>22</v>
      </c>
      <c r="G868" t="e">
        <f>+_xlfn.XLOOKUP(tbl_encuesta[[#This Row],[Me siento a gusto con el ambiente de trabajo que se genera en mi equipo.]],#REF!,#REF!)</f>
        <v>#REF!</v>
      </c>
      <c r="H868" t="s">
        <v>23</v>
      </c>
      <c r="I868" t="e">
        <f>+_xlfn.XLOOKUP(tbl_encuesta[[#This Row],[Me siento motivado a dar lo mejor de mí y hacer un buen trabajo]],#REF!,#REF!)</f>
        <v>#REF!</v>
      </c>
      <c r="J868" t="s">
        <v>23</v>
      </c>
      <c r="K868" t="e">
        <f>+_xlfn.XLOOKUP(tbl_encuesta[[#This Row],[Mi supervisor o jefe directo me otorga el soporte que necesito para afrontar cualquier problema que afecte mi trabajo]],#REF!,#REF!)</f>
        <v>#REF!</v>
      </c>
      <c r="L868" t="s">
        <v>23</v>
      </c>
      <c r="M868" t="e">
        <f>+_xlfn.XLOOKUP(tbl_encuesta[[#This Row],[Mi supervisor o jefe directo fomenta que nos apoyemos entre todos en el equipo]],#REF!,#REF!)</f>
        <v>#REF!</v>
      </c>
      <c r="N868" t="s">
        <v>23</v>
      </c>
      <c r="O868" t="e">
        <f>+_xlfn.XLOOKUP(tbl_encuesta[[#This Row],[Siento que mi trabajo es reconocido por mi supervisor o jefe directo.]],#REF!,#REF!)</f>
        <v>#REF!</v>
      </c>
      <c r="P868" t="s">
        <v>67</v>
      </c>
      <c r="Q868" t="e">
        <f xml:space="preserve">
_xlfn.XLOOKUP(
tbl_encuesta[[#This Row],[Mi supervisor o jefe directo nos brinda charlas de 5 minutos y comunica las novedades relevantes a mi puesto de trabajo]],#REF!,#REF!
)</f>
        <v>#REF!</v>
      </c>
      <c r="S868" t="s">
        <v>18</v>
      </c>
      <c r="U868" t="s">
        <v>20</v>
      </c>
      <c r="W868" t="s">
        <v>25</v>
      </c>
      <c r="X868" t="s">
        <v>23</v>
      </c>
      <c r="Y868" t="e">
        <f>+_xlfn.XLOOKUP(tbl_encuesta[[#This Row],[Considero a Limtek como un buen lugar para trabajar]],#REF!,#REF!)</f>
        <v>#REF!</v>
      </c>
      <c r="Z868" t="s">
        <v>2188</v>
      </c>
      <c r="AA868" t="s">
        <v>2189</v>
      </c>
      <c r="AB868" t="s">
        <v>72</v>
      </c>
      <c r="AC868" s="3" t="s">
        <v>3845</v>
      </c>
      <c r="AD868" s="3" t="s">
        <v>3846</v>
      </c>
      <c r="AE868" t="s">
        <v>34</v>
      </c>
    </row>
    <row r="869" spans="1:31" x14ac:dyDescent="0.25">
      <c r="A869">
        <v>119027130072</v>
      </c>
      <c r="B869">
        <v>462598545</v>
      </c>
      <c r="C869" s="1">
        <v>46018.499594907407</v>
      </c>
      <c r="D869" s="1">
        <v>46018.500439814816</v>
      </c>
      <c r="E869" t="s">
        <v>2056</v>
      </c>
      <c r="F869" t="s">
        <v>22</v>
      </c>
      <c r="G869" t="e">
        <f>+_xlfn.XLOOKUP(tbl_encuesta[[#This Row],[Me siento a gusto con el ambiente de trabajo que se genera en mi equipo.]],#REF!,#REF!)</f>
        <v>#REF!</v>
      </c>
      <c r="H869" t="s">
        <v>22</v>
      </c>
      <c r="I869" t="e">
        <f>+_xlfn.XLOOKUP(tbl_encuesta[[#This Row],[Me siento motivado a dar lo mejor de mí y hacer un buen trabajo]],#REF!,#REF!)</f>
        <v>#REF!</v>
      </c>
      <c r="J869" t="s">
        <v>22</v>
      </c>
      <c r="K869" t="e">
        <f>+_xlfn.XLOOKUP(tbl_encuesta[[#This Row],[Mi supervisor o jefe directo me otorga el soporte que necesito para afrontar cualquier problema que afecte mi trabajo]],#REF!,#REF!)</f>
        <v>#REF!</v>
      </c>
      <c r="L869" t="s">
        <v>22</v>
      </c>
      <c r="M869" t="e">
        <f>+_xlfn.XLOOKUP(tbl_encuesta[[#This Row],[Mi supervisor o jefe directo fomenta que nos apoyemos entre todos en el equipo]],#REF!,#REF!)</f>
        <v>#REF!</v>
      </c>
      <c r="N869" t="s">
        <v>22</v>
      </c>
      <c r="O869" t="e">
        <f>+_xlfn.XLOOKUP(tbl_encuesta[[#This Row],[Siento que mi trabajo es reconocido por mi supervisor o jefe directo.]],#REF!,#REF!)</f>
        <v>#REF!</v>
      </c>
      <c r="P869" t="s">
        <v>31</v>
      </c>
      <c r="Q869" t="e">
        <f xml:space="preserve">
_xlfn.XLOOKUP(
tbl_encuesta[[#This Row],[Mi supervisor o jefe directo nos brinda charlas de 5 minutos y comunica las novedades relevantes a mi puesto de trabajo]],#REF!,#REF!
)</f>
        <v>#REF!</v>
      </c>
      <c r="S869" t="s">
        <v>18</v>
      </c>
      <c r="W869" t="s">
        <v>25</v>
      </c>
      <c r="X869" t="s">
        <v>22</v>
      </c>
      <c r="Y869" t="e">
        <f>+_xlfn.XLOOKUP(tbl_encuesta[[#This Row],[Considero a Limtek como un buen lugar para trabajar]],#REF!,#REF!)</f>
        <v>#REF!</v>
      </c>
      <c r="Z869" t="s">
        <v>2190</v>
      </c>
      <c r="AA869" t="s">
        <v>2191</v>
      </c>
      <c r="AB869" t="s">
        <v>28</v>
      </c>
      <c r="AC869" s="3" t="s">
        <v>3825</v>
      </c>
      <c r="AD869" s="3" t="s">
        <v>3826</v>
      </c>
      <c r="AE869" t="s">
        <v>61</v>
      </c>
    </row>
    <row r="870" spans="1:31" x14ac:dyDescent="0.25">
      <c r="A870">
        <v>119027128492</v>
      </c>
      <c r="B870">
        <v>462598545</v>
      </c>
      <c r="C870" s="1">
        <v>46018.493217592593</v>
      </c>
      <c r="D870" s="1">
        <v>46018.496747685182</v>
      </c>
      <c r="E870" t="s">
        <v>2192</v>
      </c>
      <c r="F870" t="s">
        <v>23</v>
      </c>
      <c r="G870" t="e">
        <f>+_xlfn.XLOOKUP(tbl_encuesta[[#This Row],[Me siento a gusto con el ambiente de trabajo que se genera en mi equipo.]],#REF!,#REF!)</f>
        <v>#REF!</v>
      </c>
      <c r="H870" t="s">
        <v>23</v>
      </c>
      <c r="I870" t="e">
        <f>+_xlfn.XLOOKUP(tbl_encuesta[[#This Row],[Me siento motivado a dar lo mejor de mí y hacer un buen trabajo]],#REF!,#REF!)</f>
        <v>#REF!</v>
      </c>
      <c r="J870" t="s">
        <v>23</v>
      </c>
      <c r="K870" t="e">
        <f>+_xlfn.XLOOKUP(tbl_encuesta[[#This Row],[Mi supervisor o jefe directo me otorga el soporte que necesito para afrontar cualquier problema que afecte mi trabajo]],#REF!,#REF!)</f>
        <v>#REF!</v>
      </c>
      <c r="L870" t="s">
        <v>23</v>
      </c>
      <c r="M870" t="e">
        <f>+_xlfn.XLOOKUP(tbl_encuesta[[#This Row],[Mi supervisor o jefe directo fomenta que nos apoyemos entre todos en el equipo]],#REF!,#REF!)</f>
        <v>#REF!</v>
      </c>
      <c r="N870" t="s">
        <v>23</v>
      </c>
      <c r="O870" t="e">
        <f>+_xlfn.XLOOKUP(tbl_encuesta[[#This Row],[Siento que mi trabajo es reconocido por mi supervisor o jefe directo.]],#REF!,#REF!)</f>
        <v>#REF!</v>
      </c>
      <c r="P870" t="s">
        <v>31</v>
      </c>
      <c r="Q870" t="e">
        <f xml:space="preserve">
_xlfn.XLOOKUP(
tbl_encuesta[[#This Row],[Mi supervisor o jefe directo nos brinda charlas de 5 minutos y comunica las novedades relevantes a mi puesto de trabajo]],#REF!,#REF!
)</f>
        <v>#REF!</v>
      </c>
      <c r="R870" t="s">
        <v>17</v>
      </c>
      <c r="W870" t="s">
        <v>25</v>
      </c>
      <c r="X870" t="s">
        <v>23</v>
      </c>
      <c r="Y870" t="e">
        <f>+_xlfn.XLOOKUP(tbl_encuesta[[#This Row],[Considero a Limtek como un buen lugar para trabajar]],#REF!,#REF!)</f>
        <v>#REF!</v>
      </c>
      <c r="Z870" t="s">
        <v>2193</v>
      </c>
      <c r="AA870" t="s">
        <v>2194</v>
      </c>
      <c r="AB870" t="s">
        <v>28</v>
      </c>
      <c r="AC870" t="s">
        <v>3744</v>
      </c>
      <c r="AD870" t="s">
        <v>3744</v>
      </c>
      <c r="AE870" t="s">
        <v>61</v>
      </c>
    </row>
    <row r="871" spans="1:31" x14ac:dyDescent="0.25">
      <c r="A871">
        <v>119027127488</v>
      </c>
      <c r="B871">
        <v>462598545</v>
      </c>
      <c r="C871" s="1">
        <v>46018.485856481479</v>
      </c>
      <c r="D871" s="1">
        <v>46018.494398148148</v>
      </c>
      <c r="E871" t="s">
        <v>2056</v>
      </c>
      <c r="F871" t="s">
        <v>23</v>
      </c>
      <c r="G871" t="e">
        <f>+_xlfn.XLOOKUP(tbl_encuesta[[#This Row],[Me siento a gusto con el ambiente de trabajo que se genera en mi equipo.]],#REF!,#REF!)</f>
        <v>#REF!</v>
      </c>
      <c r="H871" t="s">
        <v>23</v>
      </c>
      <c r="I871" t="e">
        <f>+_xlfn.XLOOKUP(tbl_encuesta[[#This Row],[Me siento motivado a dar lo mejor de mí y hacer un buen trabajo]],#REF!,#REF!)</f>
        <v>#REF!</v>
      </c>
      <c r="J871" t="s">
        <v>23</v>
      </c>
      <c r="K871" t="e">
        <f>+_xlfn.XLOOKUP(tbl_encuesta[[#This Row],[Mi supervisor o jefe directo me otorga el soporte que necesito para afrontar cualquier problema que afecte mi trabajo]],#REF!,#REF!)</f>
        <v>#REF!</v>
      </c>
      <c r="L871" t="s">
        <v>43</v>
      </c>
      <c r="M871" t="e">
        <f>+_xlfn.XLOOKUP(tbl_encuesta[[#This Row],[Mi supervisor o jefe directo fomenta que nos apoyemos entre todos en el equipo]],#REF!,#REF!)</f>
        <v>#REF!</v>
      </c>
      <c r="N871" t="s">
        <v>23</v>
      </c>
      <c r="O871" t="e">
        <f>+_xlfn.XLOOKUP(tbl_encuesta[[#This Row],[Siento que mi trabajo es reconocido por mi supervisor o jefe directo.]],#REF!,#REF!)</f>
        <v>#REF!</v>
      </c>
      <c r="P871" t="s">
        <v>31</v>
      </c>
      <c r="Q871" t="e">
        <f xml:space="preserve">
_xlfn.XLOOKUP(
tbl_encuesta[[#This Row],[Mi supervisor o jefe directo nos brinda charlas de 5 minutos y comunica las novedades relevantes a mi puesto de trabajo]],#REF!,#REF!
)</f>
        <v>#REF!</v>
      </c>
      <c r="V871" t="s">
        <v>2195</v>
      </c>
      <c r="W871" t="s">
        <v>25</v>
      </c>
      <c r="X871" t="s">
        <v>23</v>
      </c>
      <c r="Y871" t="e">
        <f>+_xlfn.XLOOKUP(tbl_encuesta[[#This Row],[Considero a Limtek como un buen lugar para trabajar]],#REF!,#REF!)</f>
        <v>#REF!</v>
      </c>
      <c r="Z871" t="s">
        <v>2196</v>
      </c>
      <c r="AA871" t="s">
        <v>2197</v>
      </c>
      <c r="AB871" t="s">
        <v>28</v>
      </c>
      <c r="AC871" s="3" t="s">
        <v>3825</v>
      </c>
      <c r="AD871" s="3" t="s">
        <v>3826</v>
      </c>
      <c r="AE871" t="s">
        <v>34</v>
      </c>
    </row>
    <row r="872" spans="1:31" x14ac:dyDescent="0.25">
      <c r="A872">
        <v>119027126318</v>
      </c>
      <c r="B872">
        <v>462598545</v>
      </c>
      <c r="C872" s="1">
        <v>46018.486354166664</v>
      </c>
      <c r="D872" s="1">
        <v>46018.491770833331</v>
      </c>
      <c r="E872" t="s">
        <v>2198</v>
      </c>
      <c r="F872" t="s">
        <v>23</v>
      </c>
      <c r="G872" t="e">
        <f>+_xlfn.XLOOKUP(tbl_encuesta[[#This Row],[Me siento a gusto con el ambiente de trabajo que se genera en mi equipo.]],#REF!,#REF!)</f>
        <v>#REF!</v>
      </c>
      <c r="H872" t="s">
        <v>23</v>
      </c>
      <c r="I872" t="e">
        <f>+_xlfn.XLOOKUP(tbl_encuesta[[#This Row],[Me siento motivado a dar lo mejor de mí y hacer un buen trabajo]],#REF!,#REF!)</f>
        <v>#REF!</v>
      </c>
      <c r="J872" t="s">
        <v>23</v>
      </c>
      <c r="K872" t="e">
        <f>+_xlfn.XLOOKUP(tbl_encuesta[[#This Row],[Mi supervisor o jefe directo me otorga el soporte que necesito para afrontar cualquier problema que afecte mi trabajo]],#REF!,#REF!)</f>
        <v>#REF!</v>
      </c>
      <c r="L872" t="s">
        <v>23</v>
      </c>
      <c r="M872" t="e">
        <f>+_xlfn.XLOOKUP(tbl_encuesta[[#This Row],[Mi supervisor o jefe directo fomenta que nos apoyemos entre todos en el equipo]],#REF!,#REF!)</f>
        <v>#REF!</v>
      </c>
      <c r="N872" t="s">
        <v>22</v>
      </c>
      <c r="O872" t="e">
        <f>+_xlfn.XLOOKUP(tbl_encuesta[[#This Row],[Siento que mi trabajo es reconocido por mi supervisor o jefe directo.]],#REF!,#REF!)</f>
        <v>#REF!</v>
      </c>
      <c r="P872" t="s">
        <v>31</v>
      </c>
      <c r="Q872" t="e">
        <f xml:space="preserve">
_xlfn.XLOOKUP(
tbl_encuesta[[#This Row],[Mi supervisor o jefe directo nos brinda charlas de 5 minutos y comunica las novedades relevantes a mi puesto de trabajo]],#REF!,#REF!
)</f>
        <v>#REF!</v>
      </c>
      <c r="S872" t="s">
        <v>18</v>
      </c>
      <c r="T872" t="s">
        <v>19</v>
      </c>
      <c r="W872" t="s">
        <v>25</v>
      </c>
      <c r="X872" t="s">
        <v>23</v>
      </c>
      <c r="Y872" t="e">
        <f>+_xlfn.XLOOKUP(tbl_encuesta[[#This Row],[Considero a Limtek como un buen lugar para trabajar]],#REF!,#REF!)</f>
        <v>#REF!</v>
      </c>
      <c r="Z872" t="s">
        <v>2199</v>
      </c>
      <c r="AA872" t="s">
        <v>2200</v>
      </c>
      <c r="AB872" t="s">
        <v>28</v>
      </c>
      <c r="AC872" t="s">
        <v>3744</v>
      </c>
      <c r="AD872" t="s">
        <v>3744</v>
      </c>
      <c r="AE872" t="s">
        <v>61</v>
      </c>
    </row>
    <row r="873" spans="1:31" x14ac:dyDescent="0.25">
      <c r="A873">
        <v>119027121488</v>
      </c>
      <c r="B873">
        <v>462598545</v>
      </c>
      <c r="C873" s="1">
        <v>46018.474039351851</v>
      </c>
      <c r="D873" s="1">
        <v>46018.481226851851</v>
      </c>
      <c r="E873" t="s">
        <v>2201</v>
      </c>
      <c r="F873" t="s">
        <v>23</v>
      </c>
      <c r="G873" t="e">
        <f>+_xlfn.XLOOKUP(tbl_encuesta[[#This Row],[Me siento a gusto con el ambiente de trabajo que se genera en mi equipo.]],#REF!,#REF!)</f>
        <v>#REF!</v>
      </c>
      <c r="H873" t="s">
        <v>23</v>
      </c>
      <c r="I873" t="e">
        <f>+_xlfn.XLOOKUP(tbl_encuesta[[#This Row],[Me siento motivado a dar lo mejor de mí y hacer un buen trabajo]],#REF!,#REF!)</f>
        <v>#REF!</v>
      </c>
      <c r="J873" t="s">
        <v>23</v>
      </c>
      <c r="K873" t="e">
        <f>+_xlfn.XLOOKUP(tbl_encuesta[[#This Row],[Mi supervisor o jefe directo me otorga el soporte que necesito para afrontar cualquier problema que afecte mi trabajo]],#REF!,#REF!)</f>
        <v>#REF!</v>
      </c>
      <c r="L873" t="s">
        <v>23</v>
      </c>
      <c r="M873" t="e">
        <f>+_xlfn.XLOOKUP(tbl_encuesta[[#This Row],[Mi supervisor o jefe directo fomenta que nos apoyemos entre todos en el equipo]],#REF!,#REF!)</f>
        <v>#REF!</v>
      </c>
      <c r="N873" t="s">
        <v>23</v>
      </c>
      <c r="O873" t="e">
        <f>+_xlfn.XLOOKUP(tbl_encuesta[[#This Row],[Siento que mi trabajo es reconocido por mi supervisor o jefe directo.]],#REF!,#REF!)</f>
        <v>#REF!</v>
      </c>
      <c r="P873" t="s">
        <v>31</v>
      </c>
      <c r="Q873" t="e">
        <f xml:space="preserve">
_xlfn.XLOOKUP(
tbl_encuesta[[#This Row],[Mi supervisor o jefe directo nos brinda charlas de 5 minutos y comunica las novedades relevantes a mi puesto de trabajo]],#REF!,#REF!
)</f>
        <v>#REF!</v>
      </c>
      <c r="R873" t="s">
        <v>17</v>
      </c>
      <c r="T873" t="s">
        <v>19</v>
      </c>
      <c r="W873" t="s">
        <v>25</v>
      </c>
      <c r="X873" t="s">
        <v>23</v>
      </c>
      <c r="Y873" t="e">
        <f>+_xlfn.XLOOKUP(tbl_encuesta[[#This Row],[Considero a Limtek como un buen lugar para trabajar]],#REF!,#REF!)</f>
        <v>#REF!</v>
      </c>
      <c r="Z873" t="s">
        <v>2202</v>
      </c>
      <c r="AA873" t="s">
        <v>2203</v>
      </c>
      <c r="AB873" t="s">
        <v>28</v>
      </c>
      <c r="AC873" s="3" t="s">
        <v>3839</v>
      </c>
      <c r="AD873" s="3" t="s">
        <v>3839</v>
      </c>
      <c r="AE873" t="s">
        <v>69</v>
      </c>
    </row>
    <row r="874" spans="1:31" x14ac:dyDescent="0.25">
      <c r="A874">
        <v>119027117064</v>
      </c>
      <c r="B874">
        <v>462598545</v>
      </c>
      <c r="C874" s="1">
        <v>46018.466331018521</v>
      </c>
      <c r="D874" s="1">
        <v>46018.472118055557</v>
      </c>
      <c r="E874" t="s">
        <v>2204</v>
      </c>
      <c r="F874" t="s">
        <v>23</v>
      </c>
      <c r="G874" t="e">
        <f>+_xlfn.XLOOKUP(tbl_encuesta[[#This Row],[Me siento a gusto con el ambiente de trabajo que se genera en mi equipo.]],#REF!,#REF!)</f>
        <v>#REF!</v>
      </c>
      <c r="H874" t="s">
        <v>23</v>
      </c>
      <c r="I874" t="e">
        <f>+_xlfn.XLOOKUP(tbl_encuesta[[#This Row],[Me siento motivado a dar lo mejor de mí y hacer un buen trabajo]],#REF!,#REF!)</f>
        <v>#REF!</v>
      </c>
      <c r="J874" t="s">
        <v>23</v>
      </c>
      <c r="K874" t="e">
        <f>+_xlfn.XLOOKUP(tbl_encuesta[[#This Row],[Mi supervisor o jefe directo me otorga el soporte que necesito para afrontar cualquier problema que afecte mi trabajo]],#REF!,#REF!)</f>
        <v>#REF!</v>
      </c>
      <c r="L874" t="s">
        <v>23</v>
      </c>
      <c r="M874" t="e">
        <f>+_xlfn.XLOOKUP(tbl_encuesta[[#This Row],[Mi supervisor o jefe directo fomenta que nos apoyemos entre todos en el equipo]],#REF!,#REF!)</f>
        <v>#REF!</v>
      </c>
      <c r="N874" t="s">
        <v>23</v>
      </c>
      <c r="O874" t="e">
        <f>+_xlfn.XLOOKUP(tbl_encuesta[[#This Row],[Siento que mi trabajo es reconocido por mi supervisor o jefe directo.]],#REF!,#REF!)</f>
        <v>#REF!</v>
      </c>
      <c r="P874" t="s">
        <v>67</v>
      </c>
      <c r="Q874" t="e">
        <f xml:space="preserve">
_xlfn.XLOOKUP(
tbl_encuesta[[#This Row],[Mi supervisor o jefe directo nos brinda charlas de 5 minutos y comunica las novedades relevantes a mi puesto de trabajo]],#REF!,#REF!
)</f>
        <v>#REF!</v>
      </c>
      <c r="R874" t="s">
        <v>17</v>
      </c>
      <c r="T874" t="s">
        <v>19</v>
      </c>
      <c r="W874" t="s">
        <v>25</v>
      </c>
      <c r="X874" t="s">
        <v>23</v>
      </c>
      <c r="Y874" t="e">
        <f>+_xlfn.XLOOKUP(tbl_encuesta[[#This Row],[Considero a Limtek como un buen lugar para trabajar]],#REF!,#REF!)</f>
        <v>#REF!</v>
      </c>
      <c r="Z874" t="s">
        <v>2205</v>
      </c>
      <c r="AA874" t="s">
        <v>2206</v>
      </c>
      <c r="AB874" t="s">
        <v>28</v>
      </c>
      <c r="AC874" t="s">
        <v>3744</v>
      </c>
      <c r="AD874" t="s">
        <v>3744</v>
      </c>
      <c r="AE874" t="s">
        <v>34</v>
      </c>
    </row>
    <row r="875" spans="1:31" x14ac:dyDescent="0.25">
      <c r="A875">
        <v>119027113696</v>
      </c>
      <c r="B875">
        <v>462598545</v>
      </c>
      <c r="C875" s="1">
        <v>46018.458078703705</v>
      </c>
      <c r="D875" s="1">
        <v>46018.465324074074</v>
      </c>
      <c r="E875" t="s">
        <v>2207</v>
      </c>
      <c r="F875" t="s">
        <v>22</v>
      </c>
      <c r="G875" t="e">
        <f>+_xlfn.XLOOKUP(tbl_encuesta[[#This Row],[Me siento a gusto con el ambiente de trabajo que se genera en mi equipo.]],#REF!,#REF!)</f>
        <v>#REF!</v>
      </c>
      <c r="H875" t="s">
        <v>97</v>
      </c>
      <c r="I875" t="e">
        <f>+_xlfn.XLOOKUP(tbl_encuesta[[#This Row],[Me siento motivado a dar lo mejor de mí y hacer un buen trabajo]],#REF!,#REF!)</f>
        <v>#REF!</v>
      </c>
      <c r="J875" t="s">
        <v>22</v>
      </c>
      <c r="K875" t="e">
        <f>+_xlfn.XLOOKUP(tbl_encuesta[[#This Row],[Mi supervisor o jefe directo me otorga el soporte que necesito para afrontar cualquier problema que afecte mi trabajo]],#REF!,#REF!)</f>
        <v>#REF!</v>
      </c>
      <c r="L875" t="s">
        <v>97</v>
      </c>
      <c r="M875" t="e">
        <f>+_xlfn.XLOOKUP(tbl_encuesta[[#This Row],[Mi supervisor o jefe directo fomenta que nos apoyemos entre todos en el equipo]],#REF!,#REF!)</f>
        <v>#REF!</v>
      </c>
      <c r="N875" t="s">
        <v>22</v>
      </c>
      <c r="O875" t="e">
        <f>+_xlfn.XLOOKUP(tbl_encuesta[[#This Row],[Siento que mi trabajo es reconocido por mi supervisor o jefe directo.]],#REF!,#REF!)</f>
        <v>#REF!</v>
      </c>
      <c r="P875" t="s">
        <v>67</v>
      </c>
      <c r="Q875" t="e">
        <f xml:space="preserve">
_xlfn.XLOOKUP(
tbl_encuesta[[#This Row],[Mi supervisor o jefe directo nos brinda charlas de 5 minutos y comunica las novedades relevantes a mi puesto de trabajo]],#REF!,#REF!
)</f>
        <v>#REF!</v>
      </c>
      <c r="R875" t="s">
        <v>17</v>
      </c>
      <c r="W875" t="s">
        <v>25</v>
      </c>
      <c r="X875" t="s">
        <v>23</v>
      </c>
      <c r="Y875" t="e">
        <f>+_xlfn.XLOOKUP(tbl_encuesta[[#This Row],[Considero a Limtek como un buen lugar para trabajar]],#REF!,#REF!)</f>
        <v>#REF!</v>
      </c>
      <c r="Z875" t="s">
        <v>2208</v>
      </c>
      <c r="AA875" t="s">
        <v>2209</v>
      </c>
      <c r="AB875" t="s">
        <v>72</v>
      </c>
      <c r="AC875" s="3" t="s">
        <v>3845</v>
      </c>
      <c r="AD875" s="3" t="s">
        <v>3846</v>
      </c>
      <c r="AE875" t="s">
        <v>69</v>
      </c>
    </row>
    <row r="876" spans="1:31" x14ac:dyDescent="0.25">
      <c r="A876">
        <v>119027113650</v>
      </c>
      <c r="B876">
        <v>462598545</v>
      </c>
      <c r="C876" s="1">
        <v>46018.459456018521</v>
      </c>
      <c r="D876" s="1">
        <v>46018.465208333335</v>
      </c>
      <c r="E876" t="s">
        <v>2210</v>
      </c>
      <c r="F876" t="s">
        <v>23</v>
      </c>
      <c r="G876" t="e">
        <f>+_xlfn.XLOOKUP(tbl_encuesta[[#This Row],[Me siento a gusto con el ambiente de trabajo que se genera en mi equipo.]],#REF!,#REF!)</f>
        <v>#REF!</v>
      </c>
      <c r="H876" t="s">
        <v>23</v>
      </c>
      <c r="I876" t="e">
        <f>+_xlfn.XLOOKUP(tbl_encuesta[[#This Row],[Me siento motivado a dar lo mejor de mí y hacer un buen trabajo]],#REF!,#REF!)</f>
        <v>#REF!</v>
      </c>
      <c r="J876" t="s">
        <v>23</v>
      </c>
      <c r="K876" t="e">
        <f>+_xlfn.XLOOKUP(tbl_encuesta[[#This Row],[Mi supervisor o jefe directo me otorga el soporte que necesito para afrontar cualquier problema que afecte mi trabajo]],#REF!,#REF!)</f>
        <v>#REF!</v>
      </c>
      <c r="L876" t="s">
        <v>23</v>
      </c>
      <c r="M876" t="e">
        <f>+_xlfn.XLOOKUP(tbl_encuesta[[#This Row],[Mi supervisor o jefe directo fomenta que nos apoyemos entre todos en el equipo]],#REF!,#REF!)</f>
        <v>#REF!</v>
      </c>
      <c r="N876" t="s">
        <v>23</v>
      </c>
      <c r="O876" t="e">
        <f>+_xlfn.XLOOKUP(tbl_encuesta[[#This Row],[Siento que mi trabajo es reconocido por mi supervisor o jefe directo.]],#REF!,#REF!)</f>
        <v>#REF!</v>
      </c>
      <c r="P876" t="s">
        <v>67</v>
      </c>
      <c r="Q876" t="e">
        <f xml:space="preserve">
_xlfn.XLOOKUP(
tbl_encuesta[[#This Row],[Mi supervisor o jefe directo nos brinda charlas de 5 minutos y comunica las novedades relevantes a mi puesto de trabajo]],#REF!,#REF!
)</f>
        <v>#REF!</v>
      </c>
      <c r="R876" t="s">
        <v>17</v>
      </c>
      <c r="W876" t="s">
        <v>25</v>
      </c>
      <c r="X876" t="s">
        <v>23</v>
      </c>
      <c r="Y876" t="e">
        <f>+_xlfn.XLOOKUP(tbl_encuesta[[#This Row],[Considero a Limtek como un buen lugar para trabajar]],#REF!,#REF!)</f>
        <v>#REF!</v>
      </c>
      <c r="Z876" t="s">
        <v>2211</v>
      </c>
      <c r="AA876" t="s">
        <v>2212</v>
      </c>
      <c r="AB876" t="s">
        <v>72</v>
      </c>
      <c r="AC876" s="3" t="s">
        <v>3845</v>
      </c>
      <c r="AD876" s="3" t="s">
        <v>3846</v>
      </c>
      <c r="AE876" t="s">
        <v>29</v>
      </c>
    </row>
    <row r="877" spans="1:31" x14ac:dyDescent="0.25">
      <c r="A877">
        <v>119027113602</v>
      </c>
      <c r="B877">
        <v>462598545</v>
      </c>
      <c r="C877" s="1">
        <v>46018.458067129628</v>
      </c>
      <c r="D877" s="1">
        <v>46018.465127314812</v>
      </c>
      <c r="E877" t="s">
        <v>2213</v>
      </c>
      <c r="F877" t="s">
        <v>22</v>
      </c>
      <c r="G877" t="e">
        <f>+_xlfn.XLOOKUP(tbl_encuesta[[#This Row],[Me siento a gusto con el ambiente de trabajo que se genera en mi equipo.]],#REF!,#REF!)</f>
        <v>#REF!</v>
      </c>
      <c r="H877" t="s">
        <v>22</v>
      </c>
      <c r="I877" t="e">
        <f>+_xlfn.XLOOKUP(tbl_encuesta[[#This Row],[Me siento motivado a dar lo mejor de mí y hacer un buen trabajo]],#REF!,#REF!)</f>
        <v>#REF!</v>
      </c>
      <c r="J877" t="s">
        <v>22</v>
      </c>
      <c r="K877" t="e">
        <f>+_xlfn.XLOOKUP(tbl_encuesta[[#This Row],[Mi supervisor o jefe directo me otorga el soporte que necesito para afrontar cualquier problema que afecte mi trabajo]],#REF!,#REF!)</f>
        <v>#REF!</v>
      </c>
      <c r="L877" t="s">
        <v>97</v>
      </c>
      <c r="M877" t="e">
        <f>+_xlfn.XLOOKUP(tbl_encuesta[[#This Row],[Mi supervisor o jefe directo fomenta que nos apoyemos entre todos en el equipo]],#REF!,#REF!)</f>
        <v>#REF!</v>
      </c>
      <c r="N877" t="s">
        <v>22</v>
      </c>
      <c r="O877" t="e">
        <f>+_xlfn.XLOOKUP(tbl_encuesta[[#This Row],[Siento que mi trabajo es reconocido por mi supervisor o jefe directo.]],#REF!,#REF!)</f>
        <v>#REF!</v>
      </c>
      <c r="P877" t="s">
        <v>67</v>
      </c>
      <c r="Q877" t="e">
        <f xml:space="preserve">
_xlfn.XLOOKUP(
tbl_encuesta[[#This Row],[Mi supervisor o jefe directo nos brinda charlas de 5 minutos y comunica las novedades relevantes a mi puesto de trabajo]],#REF!,#REF!
)</f>
        <v>#REF!</v>
      </c>
      <c r="R877" t="s">
        <v>17</v>
      </c>
      <c r="W877" t="s">
        <v>25</v>
      </c>
      <c r="X877" t="s">
        <v>23</v>
      </c>
      <c r="Y877" t="e">
        <f>+_xlfn.XLOOKUP(tbl_encuesta[[#This Row],[Considero a Limtek como un buen lugar para trabajar]],#REF!,#REF!)</f>
        <v>#REF!</v>
      </c>
      <c r="Z877" t="s">
        <v>2208</v>
      </c>
      <c r="AA877" t="s">
        <v>2214</v>
      </c>
      <c r="AB877" t="s">
        <v>72</v>
      </c>
      <c r="AC877" s="3" t="s">
        <v>3845</v>
      </c>
      <c r="AD877" s="3" t="s">
        <v>3846</v>
      </c>
      <c r="AE877" t="s">
        <v>69</v>
      </c>
    </row>
    <row r="878" spans="1:31" x14ac:dyDescent="0.25">
      <c r="A878">
        <v>119027111201</v>
      </c>
      <c r="B878">
        <v>462598545</v>
      </c>
      <c r="C878" s="1">
        <v>46018.457673611112</v>
      </c>
      <c r="D878" s="1">
        <v>46018.460243055553</v>
      </c>
      <c r="E878" t="s">
        <v>2215</v>
      </c>
      <c r="F878" t="s">
        <v>97</v>
      </c>
      <c r="G878" t="e">
        <f>+_xlfn.XLOOKUP(tbl_encuesta[[#This Row],[Me siento a gusto con el ambiente de trabajo que se genera en mi equipo.]],#REF!,#REF!)</f>
        <v>#REF!</v>
      </c>
      <c r="H878" t="s">
        <v>23</v>
      </c>
      <c r="I878" t="e">
        <f>+_xlfn.XLOOKUP(tbl_encuesta[[#This Row],[Me siento motivado a dar lo mejor de mí y hacer un buen trabajo]],#REF!,#REF!)</f>
        <v>#REF!</v>
      </c>
      <c r="J878" t="s">
        <v>23</v>
      </c>
      <c r="K878" t="e">
        <f>+_xlfn.XLOOKUP(tbl_encuesta[[#This Row],[Mi supervisor o jefe directo me otorga el soporte que necesito para afrontar cualquier problema que afecte mi trabajo]],#REF!,#REF!)</f>
        <v>#REF!</v>
      </c>
      <c r="L878" t="s">
        <v>23</v>
      </c>
      <c r="M878" t="e">
        <f>+_xlfn.XLOOKUP(tbl_encuesta[[#This Row],[Mi supervisor o jefe directo fomenta que nos apoyemos entre todos en el equipo]],#REF!,#REF!)</f>
        <v>#REF!</v>
      </c>
      <c r="N878" t="s">
        <v>23</v>
      </c>
      <c r="O878" t="e">
        <f>+_xlfn.XLOOKUP(tbl_encuesta[[#This Row],[Siento que mi trabajo es reconocido por mi supervisor o jefe directo.]],#REF!,#REF!)</f>
        <v>#REF!</v>
      </c>
      <c r="P878" t="s">
        <v>31</v>
      </c>
      <c r="Q878" t="e">
        <f xml:space="preserve">
_xlfn.XLOOKUP(
tbl_encuesta[[#This Row],[Mi supervisor o jefe directo nos brinda charlas de 5 minutos y comunica las novedades relevantes a mi puesto de trabajo]],#REF!,#REF!
)</f>
        <v>#REF!</v>
      </c>
      <c r="R878" t="s">
        <v>17</v>
      </c>
      <c r="W878" t="s">
        <v>25</v>
      </c>
      <c r="X878" t="s">
        <v>23</v>
      </c>
      <c r="Y878" t="e">
        <f>+_xlfn.XLOOKUP(tbl_encuesta[[#This Row],[Considero a Limtek como un buen lugar para trabajar]],#REF!,#REF!)</f>
        <v>#REF!</v>
      </c>
      <c r="Z878" t="s">
        <v>1459</v>
      </c>
      <c r="AA878" t="s">
        <v>2216</v>
      </c>
      <c r="AB878" t="s">
        <v>72</v>
      </c>
      <c r="AC878" t="s">
        <v>3744</v>
      </c>
      <c r="AD878" t="s">
        <v>3744</v>
      </c>
      <c r="AE878" t="s">
        <v>69</v>
      </c>
    </row>
    <row r="879" spans="1:31" x14ac:dyDescent="0.25">
      <c r="A879">
        <v>119027110127</v>
      </c>
      <c r="B879">
        <v>462598545</v>
      </c>
      <c r="C879" s="1">
        <v>46018.447523148148</v>
      </c>
      <c r="D879" s="1">
        <v>46018.458136574074</v>
      </c>
      <c r="E879" t="s">
        <v>1906</v>
      </c>
      <c r="F879" t="s">
        <v>22</v>
      </c>
      <c r="G879" t="e">
        <f>+_xlfn.XLOOKUP(tbl_encuesta[[#This Row],[Me siento a gusto con el ambiente de trabajo que se genera en mi equipo.]],#REF!,#REF!)</f>
        <v>#REF!</v>
      </c>
      <c r="H879" t="s">
        <v>23</v>
      </c>
      <c r="I879" t="e">
        <f>+_xlfn.XLOOKUP(tbl_encuesta[[#This Row],[Me siento motivado a dar lo mejor de mí y hacer un buen trabajo]],#REF!,#REF!)</f>
        <v>#REF!</v>
      </c>
      <c r="J879" t="s">
        <v>23</v>
      </c>
      <c r="K879" t="e">
        <f>+_xlfn.XLOOKUP(tbl_encuesta[[#This Row],[Mi supervisor o jefe directo me otorga el soporte que necesito para afrontar cualquier problema que afecte mi trabajo]],#REF!,#REF!)</f>
        <v>#REF!</v>
      </c>
      <c r="L879" t="s">
        <v>22</v>
      </c>
      <c r="M879" t="e">
        <f>+_xlfn.XLOOKUP(tbl_encuesta[[#This Row],[Mi supervisor o jefe directo fomenta que nos apoyemos entre todos en el equipo]],#REF!,#REF!)</f>
        <v>#REF!</v>
      </c>
      <c r="N879" t="s">
        <v>22</v>
      </c>
      <c r="O879" t="e">
        <f>+_xlfn.XLOOKUP(tbl_encuesta[[#This Row],[Siento que mi trabajo es reconocido por mi supervisor o jefe directo.]],#REF!,#REF!)</f>
        <v>#REF!</v>
      </c>
      <c r="P879" t="s">
        <v>67</v>
      </c>
      <c r="Q879" t="e">
        <f xml:space="preserve">
_xlfn.XLOOKUP(
tbl_encuesta[[#This Row],[Mi supervisor o jefe directo nos brinda charlas de 5 minutos y comunica las novedades relevantes a mi puesto de trabajo]],#REF!,#REF!
)</f>
        <v>#REF!</v>
      </c>
      <c r="R879" t="s">
        <v>17</v>
      </c>
      <c r="S879" t="s">
        <v>18</v>
      </c>
      <c r="W879" t="s">
        <v>25</v>
      </c>
      <c r="X879" t="s">
        <v>22</v>
      </c>
      <c r="Y879" t="e">
        <f>+_xlfn.XLOOKUP(tbl_encuesta[[#This Row],[Considero a Limtek como un buen lugar para trabajar]],#REF!,#REF!)</f>
        <v>#REF!</v>
      </c>
      <c r="Z879" t="s">
        <v>2217</v>
      </c>
      <c r="AA879" t="s">
        <v>2218</v>
      </c>
      <c r="AB879" t="s">
        <v>559</v>
      </c>
      <c r="AC879" s="3" t="s">
        <v>3716</v>
      </c>
      <c r="AD879" s="3" t="s">
        <v>3716</v>
      </c>
      <c r="AE879" t="s">
        <v>29</v>
      </c>
    </row>
    <row r="880" spans="1:31" x14ac:dyDescent="0.25">
      <c r="A880">
        <v>119027101722</v>
      </c>
      <c r="B880">
        <v>462598545</v>
      </c>
      <c r="C880" s="1">
        <v>46018.439479166664</v>
      </c>
      <c r="D880" s="1">
        <v>46018.441724537035</v>
      </c>
      <c r="E880" t="s">
        <v>2219</v>
      </c>
      <c r="F880" t="s">
        <v>22</v>
      </c>
      <c r="G880" t="e">
        <f>+_xlfn.XLOOKUP(tbl_encuesta[[#This Row],[Me siento a gusto con el ambiente de trabajo que se genera en mi equipo.]],#REF!,#REF!)</f>
        <v>#REF!</v>
      </c>
      <c r="H880" t="s">
        <v>23</v>
      </c>
      <c r="I880" t="e">
        <f>+_xlfn.XLOOKUP(tbl_encuesta[[#This Row],[Me siento motivado a dar lo mejor de mí y hacer un buen trabajo]],#REF!,#REF!)</f>
        <v>#REF!</v>
      </c>
      <c r="J880" t="s">
        <v>23</v>
      </c>
      <c r="K880" t="e">
        <f>+_xlfn.XLOOKUP(tbl_encuesta[[#This Row],[Mi supervisor o jefe directo me otorga el soporte que necesito para afrontar cualquier problema que afecte mi trabajo]],#REF!,#REF!)</f>
        <v>#REF!</v>
      </c>
      <c r="L880" t="s">
        <v>22</v>
      </c>
      <c r="M880" t="e">
        <f>+_xlfn.XLOOKUP(tbl_encuesta[[#This Row],[Mi supervisor o jefe directo fomenta que nos apoyemos entre todos en el equipo]],#REF!,#REF!)</f>
        <v>#REF!</v>
      </c>
      <c r="N880" t="s">
        <v>22</v>
      </c>
      <c r="O880" t="e">
        <f>+_xlfn.XLOOKUP(tbl_encuesta[[#This Row],[Siento que mi trabajo es reconocido por mi supervisor o jefe directo.]],#REF!,#REF!)</f>
        <v>#REF!</v>
      </c>
      <c r="P880" t="s">
        <v>31</v>
      </c>
      <c r="Q880" t="e">
        <f xml:space="preserve">
_xlfn.XLOOKUP(
tbl_encuesta[[#This Row],[Mi supervisor o jefe directo nos brinda charlas de 5 minutos y comunica las novedades relevantes a mi puesto de trabajo]],#REF!,#REF!
)</f>
        <v>#REF!</v>
      </c>
      <c r="S880" t="s">
        <v>18</v>
      </c>
      <c r="W880" t="s">
        <v>46</v>
      </c>
      <c r="X880" t="s">
        <v>23</v>
      </c>
      <c r="Y880" t="e">
        <f>+_xlfn.XLOOKUP(tbl_encuesta[[#This Row],[Considero a Limtek como un buen lugar para trabajar]],#REF!,#REF!)</f>
        <v>#REF!</v>
      </c>
      <c r="Z880" t="s">
        <v>2220</v>
      </c>
      <c r="AA880" t="s">
        <v>2221</v>
      </c>
      <c r="AB880" t="s">
        <v>559</v>
      </c>
      <c r="AC880" s="3" t="s">
        <v>3794</v>
      </c>
      <c r="AD880" s="3" t="s">
        <v>3794</v>
      </c>
      <c r="AE880" t="s">
        <v>69</v>
      </c>
    </row>
    <row r="881" spans="1:31" x14ac:dyDescent="0.25">
      <c r="A881">
        <v>119027076500</v>
      </c>
      <c r="B881">
        <v>462598545</v>
      </c>
      <c r="C881" s="1">
        <v>46018.382708333331</v>
      </c>
      <c r="D881" s="1">
        <v>46018.389062499999</v>
      </c>
      <c r="E881" t="s">
        <v>2222</v>
      </c>
      <c r="F881" t="s">
        <v>22</v>
      </c>
      <c r="G881" t="e">
        <f>+_xlfn.XLOOKUP(tbl_encuesta[[#This Row],[Me siento a gusto con el ambiente de trabajo que se genera en mi equipo.]],#REF!,#REF!)</f>
        <v>#REF!</v>
      </c>
      <c r="H881" t="s">
        <v>23</v>
      </c>
      <c r="I881" t="e">
        <f>+_xlfn.XLOOKUP(tbl_encuesta[[#This Row],[Me siento motivado a dar lo mejor de mí y hacer un buen trabajo]],#REF!,#REF!)</f>
        <v>#REF!</v>
      </c>
      <c r="J881" t="s">
        <v>23</v>
      </c>
      <c r="K881" t="e">
        <f>+_xlfn.XLOOKUP(tbl_encuesta[[#This Row],[Mi supervisor o jefe directo me otorga el soporte que necesito para afrontar cualquier problema que afecte mi trabajo]],#REF!,#REF!)</f>
        <v>#REF!</v>
      </c>
      <c r="L881" t="s">
        <v>23</v>
      </c>
      <c r="M881" t="e">
        <f>+_xlfn.XLOOKUP(tbl_encuesta[[#This Row],[Mi supervisor o jefe directo fomenta que nos apoyemos entre todos en el equipo]],#REF!,#REF!)</f>
        <v>#REF!</v>
      </c>
      <c r="N881" t="s">
        <v>22</v>
      </c>
      <c r="O881" t="e">
        <f>+_xlfn.XLOOKUP(tbl_encuesta[[#This Row],[Siento que mi trabajo es reconocido por mi supervisor o jefe directo.]],#REF!,#REF!)</f>
        <v>#REF!</v>
      </c>
      <c r="P881" t="s">
        <v>67</v>
      </c>
      <c r="Q881" t="e">
        <f xml:space="preserve">
_xlfn.XLOOKUP(
tbl_encuesta[[#This Row],[Mi supervisor o jefe directo nos brinda charlas de 5 minutos y comunica las novedades relevantes a mi puesto de trabajo]],#REF!,#REF!
)</f>
        <v>#REF!</v>
      </c>
      <c r="R881" t="s">
        <v>17</v>
      </c>
      <c r="S881" t="s">
        <v>18</v>
      </c>
      <c r="W881" t="s">
        <v>25</v>
      </c>
      <c r="X881" t="s">
        <v>23</v>
      </c>
      <c r="Y881" t="e">
        <f>+_xlfn.XLOOKUP(tbl_encuesta[[#This Row],[Considero a Limtek como un buen lugar para trabajar]],#REF!,#REF!)</f>
        <v>#REF!</v>
      </c>
      <c r="Z881" t="s">
        <v>2223</v>
      </c>
      <c r="AA881" t="s">
        <v>58</v>
      </c>
      <c r="AB881" t="s">
        <v>559</v>
      </c>
      <c r="AC881" s="3" t="s">
        <v>3716</v>
      </c>
      <c r="AD881" s="3" t="s">
        <v>3716</v>
      </c>
      <c r="AE881" t="s">
        <v>29</v>
      </c>
    </row>
    <row r="882" spans="1:31" x14ac:dyDescent="0.25">
      <c r="A882">
        <v>119027076181</v>
      </c>
      <c r="B882">
        <v>462598545</v>
      </c>
      <c r="C882" s="1">
        <v>46018.381851851853</v>
      </c>
      <c r="D882" s="1">
        <v>46018.388344907406</v>
      </c>
      <c r="E882" t="s">
        <v>2224</v>
      </c>
      <c r="F882" t="s">
        <v>97</v>
      </c>
      <c r="G882" t="e">
        <f>+_xlfn.XLOOKUP(tbl_encuesta[[#This Row],[Me siento a gusto con el ambiente de trabajo que se genera en mi equipo.]],#REF!,#REF!)</f>
        <v>#REF!</v>
      </c>
      <c r="H882" t="s">
        <v>23</v>
      </c>
      <c r="I882" t="e">
        <f>+_xlfn.XLOOKUP(tbl_encuesta[[#This Row],[Me siento motivado a dar lo mejor de mí y hacer un buen trabajo]],#REF!,#REF!)</f>
        <v>#REF!</v>
      </c>
      <c r="J882" t="s">
        <v>22</v>
      </c>
      <c r="K882" t="e">
        <f>+_xlfn.XLOOKUP(tbl_encuesta[[#This Row],[Mi supervisor o jefe directo me otorga el soporte que necesito para afrontar cualquier problema que afecte mi trabajo]],#REF!,#REF!)</f>
        <v>#REF!</v>
      </c>
      <c r="L882" t="s">
        <v>22</v>
      </c>
      <c r="M882" t="e">
        <f>+_xlfn.XLOOKUP(tbl_encuesta[[#This Row],[Mi supervisor o jefe directo fomenta que nos apoyemos entre todos en el equipo]],#REF!,#REF!)</f>
        <v>#REF!</v>
      </c>
      <c r="N882" t="s">
        <v>22</v>
      </c>
      <c r="O882" t="e">
        <f>+_xlfn.XLOOKUP(tbl_encuesta[[#This Row],[Siento que mi trabajo es reconocido por mi supervisor o jefe directo.]],#REF!,#REF!)</f>
        <v>#REF!</v>
      </c>
      <c r="P882" t="s">
        <v>31</v>
      </c>
      <c r="Q882" t="e">
        <f xml:space="preserve">
_xlfn.XLOOKUP(
tbl_encuesta[[#This Row],[Mi supervisor o jefe directo nos brinda charlas de 5 minutos y comunica las novedades relevantes a mi puesto de trabajo]],#REF!,#REF!
)</f>
        <v>#REF!</v>
      </c>
      <c r="S882" t="s">
        <v>18</v>
      </c>
      <c r="V882" t="s">
        <v>2225</v>
      </c>
      <c r="W882" t="s">
        <v>25</v>
      </c>
      <c r="X882" t="s">
        <v>23</v>
      </c>
      <c r="Y882" t="e">
        <f>+_xlfn.XLOOKUP(tbl_encuesta[[#This Row],[Considero a Limtek como un buen lugar para trabajar]],#REF!,#REF!)</f>
        <v>#REF!</v>
      </c>
      <c r="Z882" t="s">
        <v>2226</v>
      </c>
      <c r="AA882" t="s">
        <v>2227</v>
      </c>
      <c r="AB882" t="s">
        <v>559</v>
      </c>
      <c r="AC882" s="3" t="s">
        <v>3794</v>
      </c>
      <c r="AD882" s="3" t="s">
        <v>3794</v>
      </c>
      <c r="AE882" t="s">
        <v>29</v>
      </c>
    </row>
    <row r="883" spans="1:31" x14ac:dyDescent="0.25">
      <c r="A883">
        <v>119027045994</v>
      </c>
      <c r="B883">
        <v>462598545</v>
      </c>
      <c r="C883" s="1">
        <v>46018.313263888886</v>
      </c>
      <c r="D883" s="1">
        <v>46018.31695601852</v>
      </c>
      <c r="E883" t="s">
        <v>2228</v>
      </c>
      <c r="F883" t="s">
        <v>23</v>
      </c>
      <c r="G883" t="e">
        <f>+_xlfn.XLOOKUP(tbl_encuesta[[#This Row],[Me siento a gusto con el ambiente de trabajo que se genera en mi equipo.]],#REF!,#REF!)</f>
        <v>#REF!</v>
      </c>
      <c r="H883" t="s">
        <v>23</v>
      </c>
      <c r="I883" t="e">
        <f>+_xlfn.XLOOKUP(tbl_encuesta[[#This Row],[Me siento motivado a dar lo mejor de mí y hacer un buen trabajo]],#REF!,#REF!)</f>
        <v>#REF!</v>
      </c>
      <c r="J883" t="s">
        <v>22</v>
      </c>
      <c r="K883" t="e">
        <f>+_xlfn.XLOOKUP(tbl_encuesta[[#This Row],[Mi supervisor o jefe directo me otorga el soporte que necesito para afrontar cualquier problema que afecte mi trabajo]],#REF!,#REF!)</f>
        <v>#REF!</v>
      </c>
      <c r="L883" t="s">
        <v>22</v>
      </c>
      <c r="M883" t="e">
        <f>+_xlfn.XLOOKUP(tbl_encuesta[[#This Row],[Mi supervisor o jefe directo fomenta que nos apoyemos entre todos en el equipo]],#REF!,#REF!)</f>
        <v>#REF!</v>
      </c>
      <c r="N883" t="s">
        <v>22</v>
      </c>
      <c r="O883" t="e">
        <f>+_xlfn.XLOOKUP(tbl_encuesta[[#This Row],[Siento que mi trabajo es reconocido por mi supervisor o jefe directo.]],#REF!,#REF!)</f>
        <v>#REF!</v>
      </c>
      <c r="P883" t="s">
        <v>175</v>
      </c>
      <c r="Q883" t="e">
        <f xml:space="preserve">
_xlfn.XLOOKUP(
tbl_encuesta[[#This Row],[Mi supervisor o jefe directo nos brinda charlas de 5 minutos y comunica las novedades relevantes a mi puesto de trabajo]],#REF!,#REF!
)</f>
        <v>#REF!</v>
      </c>
      <c r="S883" t="s">
        <v>18</v>
      </c>
      <c r="T883" t="s">
        <v>19</v>
      </c>
      <c r="W883" t="s">
        <v>25</v>
      </c>
      <c r="X883" t="s">
        <v>23</v>
      </c>
      <c r="Y883" t="e">
        <f>+_xlfn.XLOOKUP(tbl_encuesta[[#This Row],[Considero a Limtek como un buen lugar para trabajar]],#REF!,#REF!)</f>
        <v>#REF!</v>
      </c>
      <c r="Z883" t="s">
        <v>2229</v>
      </c>
      <c r="AA883" t="s">
        <v>2230</v>
      </c>
      <c r="AB883" t="s">
        <v>28</v>
      </c>
      <c r="AC883" s="3" t="s">
        <v>3859</v>
      </c>
      <c r="AD883" s="3" t="s">
        <v>3860</v>
      </c>
      <c r="AE883" t="s">
        <v>69</v>
      </c>
    </row>
    <row r="884" spans="1:31" x14ac:dyDescent="0.25">
      <c r="A884">
        <v>119027043689</v>
      </c>
      <c r="B884">
        <v>462598545</v>
      </c>
      <c r="C884" s="1">
        <v>46018.304328703707</v>
      </c>
      <c r="D884" s="1">
        <v>46018.310902777775</v>
      </c>
      <c r="E884" t="s">
        <v>2231</v>
      </c>
      <c r="F884" t="s">
        <v>23</v>
      </c>
      <c r="G884" t="e">
        <f>+_xlfn.XLOOKUP(tbl_encuesta[[#This Row],[Me siento a gusto con el ambiente de trabajo que se genera en mi equipo.]],#REF!,#REF!)</f>
        <v>#REF!</v>
      </c>
      <c r="H884" t="s">
        <v>23</v>
      </c>
      <c r="I884" t="e">
        <f>+_xlfn.XLOOKUP(tbl_encuesta[[#This Row],[Me siento motivado a dar lo mejor de mí y hacer un buen trabajo]],#REF!,#REF!)</f>
        <v>#REF!</v>
      </c>
      <c r="J884" t="s">
        <v>23</v>
      </c>
      <c r="K884" t="e">
        <f>+_xlfn.XLOOKUP(tbl_encuesta[[#This Row],[Mi supervisor o jefe directo me otorga el soporte que necesito para afrontar cualquier problema que afecte mi trabajo]],#REF!,#REF!)</f>
        <v>#REF!</v>
      </c>
      <c r="L884" t="s">
        <v>23</v>
      </c>
      <c r="M884" t="e">
        <f>+_xlfn.XLOOKUP(tbl_encuesta[[#This Row],[Mi supervisor o jefe directo fomenta que nos apoyemos entre todos en el equipo]],#REF!,#REF!)</f>
        <v>#REF!</v>
      </c>
      <c r="N884" t="s">
        <v>23</v>
      </c>
      <c r="O884" t="e">
        <f>+_xlfn.XLOOKUP(tbl_encuesta[[#This Row],[Siento que mi trabajo es reconocido por mi supervisor o jefe directo.]],#REF!,#REF!)</f>
        <v>#REF!</v>
      </c>
      <c r="P884" t="s">
        <v>31</v>
      </c>
      <c r="Q884" t="e">
        <f xml:space="preserve">
_xlfn.XLOOKUP(
tbl_encuesta[[#This Row],[Mi supervisor o jefe directo nos brinda charlas de 5 minutos y comunica las novedades relevantes a mi puesto de trabajo]],#REF!,#REF!
)</f>
        <v>#REF!</v>
      </c>
      <c r="R884" t="s">
        <v>17</v>
      </c>
      <c r="S884" t="s">
        <v>18</v>
      </c>
      <c r="W884" t="s">
        <v>25</v>
      </c>
      <c r="X884" t="s">
        <v>23</v>
      </c>
      <c r="Y884" t="e">
        <f>+_xlfn.XLOOKUP(tbl_encuesta[[#This Row],[Considero a Limtek como un buen lugar para trabajar]],#REF!,#REF!)</f>
        <v>#REF!</v>
      </c>
      <c r="Z884" t="s">
        <v>859</v>
      </c>
      <c r="AA884" t="s">
        <v>2232</v>
      </c>
      <c r="AB884" t="s">
        <v>726</v>
      </c>
      <c r="AC884" s="3" t="s">
        <v>3705</v>
      </c>
      <c r="AD884" s="3" t="s">
        <v>3708</v>
      </c>
      <c r="AE884" t="s">
        <v>69</v>
      </c>
    </row>
    <row r="885" spans="1:31" x14ac:dyDescent="0.25">
      <c r="A885">
        <v>119027042994</v>
      </c>
      <c r="B885">
        <v>462598545</v>
      </c>
      <c r="C885" s="1">
        <v>46018.304560185185</v>
      </c>
      <c r="D885" s="1">
        <v>46018.309120370373</v>
      </c>
      <c r="E885" t="s">
        <v>2233</v>
      </c>
      <c r="F885" t="s">
        <v>23</v>
      </c>
      <c r="G885" t="e">
        <f>+_xlfn.XLOOKUP(tbl_encuesta[[#This Row],[Me siento a gusto con el ambiente de trabajo que se genera en mi equipo.]],#REF!,#REF!)</f>
        <v>#REF!</v>
      </c>
      <c r="H885" t="s">
        <v>22</v>
      </c>
      <c r="I885" t="e">
        <f>+_xlfn.XLOOKUP(tbl_encuesta[[#This Row],[Me siento motivado a dar lo mejor de mí y hacer un buen trabajo]],#REF!,#REF!)</f>
        <v>#REF!</v>
      </c>
      <c r="J885" t="s">
        <v>23</v>
      </c>
      <c r="K885" t="e">
        <f>+_xlfn.XLOOKUP(tbl_encuesta[[#This Row],[Mi supervisor o jefe directo me otorga el soporte que necesito para afrontar cualquier problema que afecte mi trabajo]],#REF!,#REF!)</f>
        <v>#REF!</v>
      </c>
      <c r="L885" t="s">
        <v>22</v>
      </c>
      <c r="M885" t="e">
        <f>+_xlfn.XLOOKUP(tbl_encuesta[[#This Row],[Mi supervisor o jefe directo fomenta que nos apoyemos entre todos en el equipo]],#REF!,#REF!)</f>
        <v>#REF!</v>
      </c>
      <c r="N885" t="s">
        <v>22</v>
      </c>
      <c r="O885" t="e">
        <f>+_xlfn.XLOOKUP(tbl_encuesta[[#This Row],[Siento que mi trabajo es reconocido por mi supervisor o jefe directo.]],#REF!,#REF!)</f>
        <v>#REF!</v>
      </c>
      <c r="P885" t="s">
        <v>31</v>
      </c>
      <c r="Q885" t="e">
        <f xml:space="preserve">
_xlfn.XLOOKUP(
tbl_encuesta[[#This Row],[Mi supervisor o jefe directo nos brinda charlas de 5 minutos y comunica las novedades relevantes a mi puesto de trabajo]],#REF!,#REF!
)</f>
        <v>#REF!</v>
      </c>
      <c r="V885" t="s">
        <v>2234</v>
      </c>
      <c r="W885" t="s">
        <v>25</v>
      </c>
      <c r="X885" t="s">
        <v>23</v>
      </c>
      <c r="Y885" t="e">
        <f>+_xlfn.XLOOKUP(tbl_encuesta[[#This Row],[Considero a Limtek como un buen lugar para trabajar]],#REF!,#REF!)</f>
        <v>#REF!</v>
      </c>
      <c r="Z885" t="s">
        <v>145</v>
      </c>
      <c r="AA885" t="s">
        <v>2235</v>
      </c>
      <c r="AB885" t="s">
        <v>726</v>
      </c>
      <c r="AC885" s="3" t="s">
        <v>3705</v>
      </c>
      <c r="AD885" s="3" t="s">
        <v>3708</v>
      </c>
      <c r="AE885" t="s">
        <v>34</v>
      </c>
    </row>
    <row r="886" spans="1:31" x14ac:dyDescent="0.25">
      <c r="A886">
        <v>119027042045</v>
      </c>
      <c r="B886">
        <v>462598545</v>
      </c>
      <c r="C886" s="1">
        <v>46018.303935185184</v>
      </c>
      <c r="D886" s="1">
        <v>46018.306759259256</v>
      </c>
      <c r="E886" t="s">
        <v>2236</v>
      </c>
      <c r="F886" t="s">
        <v>23</v>
      </c>
      <c r="G886" t="e">
        <f>+_xlfn.XLOOKUP(tbl_encuesta[[#This Row],[Me siento a gusto con el ambiente de trabajo que se genera en mi equipo.]],#REF!,#REF!)</f>
        <v>#REF!</v>
      </c>
      <c r="H886" t="s">
        <v>23</v>
      </c>
      <c r="I886" t="e">
        <f>+_xlfn.XLOOKUP(tbl_encuesta[[#This Row],[Me siento motivado a dar lo mejor de mí y hacer un buen trabajo]],#REF!,#REF!)</f>
        <v>#REF!</v>
      </c>
      <c r="J886" t="s">
        <v>23</v>
      </c>
      <c r="K886" t="e">
        <f>+_xlfn.XLOOKUP(tbl_encuesta[[#This Row],[Mi supervisor o jefe directo me otorga el soporte que necesito para afrontar cualquier problema que afecte mi trabajo]],#REF!,#REF!)</f>
        <v>#REF!</v>
      </c>
      <c r="L886" t="s">
        <v>23</v>
      </c>
      <c r="M886" t="e">
        <f>+_xlfn.XLOOKUP(tbl_encuesta[[#This Row],[Mi supervisor o jefe directo fomenta que nos apoyemos entre todos en el equipo]],#REF!,#REF!)</f>
        <v>#REF!</v>
      </c>
      <c r="N886" t="s">
        <v>23</v>
      </c>
      <c r="O886" t="e">
        <f>+_xlfn.XLOOKUP(tbl_encuesta[[#This Row],[Siento que mi trabajo es reconocido por mi supervisor o jefe directo.]],#REF!,#REF!)</f>
        <v>#REF!</v>
      </c>
      <c r="P886" t="s">
        <v>67</v>
      </c>
      <c r="Q886" t="e">
        <f xml:space="preserve">
_xlfn.XLOOKUP(
tbl_encuesta[[#This Row],[Mi supervisor o jefe directo nos brinda charlas de 5 minutos y comunica las novedades relevantes a mi puesto de trabajo]],#REF!,#REF!
)</f>
        <v>#REF!</v>
      </c>
      <c r="R886" t="s">
        <v>17</v>
      </c>
      <c r="U886" t="s">
        <v>20</v>
      </c>
      <c r="W886" t="s">
        <v>25</v>
      </c>
      <c r="X886" t="s">
        <v>23</v>
      </c>
      <c r="Y886" t="e">
        <f>+_xlfn.XLOOKUP(tbl_encuesta[[#This Row],[Considero a Limtek como un buen lugar para trabajar]],#REF!,#REF!)</f>
        <v>#REF!</v>
      </c>
      <c r="Z886" t="s">
        <v>2237</v>
      </c>
      <c r="AA886" t="s">
        <v>2238</v>
      </c>
      <c r="AB886" t="s">
        <v>28</v>
      </c>
      <c r="AC886" s="3" t="s">
        <v>3820</v>
      </c>
      <c r="AD886" t="s">
        <v>3821</v>
      </c>
      <c r="AE886" t="s">
        <v>34</v>
      </c>
    </row>
    <row r="887" spans="1:31" x14ac:dyDescent="0.25">
      <c r="A887">
        <v>119027040175</v>
      </c>
      <c r="B887">
        <v>462598545</v>
      </c>
      <c r="C887" s="1">
        <v>46018.295185185183</v>
      </c>
      <c r="D887" s="1">
        <v>46018.301921296297</v>
      </c>
      <c r="E887" t="s">
        <v>2239</v>
      </c>
      <c r="F887" t="s">
        <v>23</v>
      </c>
      <c r="G887" t="e">
        <f>+_xlfn.XLOOKUP(tbl_encuesta[[#This Row],[Me siento a gusto con el ambiente de trabajo que se genera en mi equipo.]],#REF!,#REF!)</f>
        <v>#REF!</v>
      </c>
      <c r="H887" t="s">
        <v>23</v>
      </c>
      <c r="I887" t="e">
        <f>+_xlfn.XLOOKUP(tbl_encuesta[[#This Row],[Me siento motivado a dar lo mejor de mí y hacer un buen trabajo]],#REF!,#REF!)</f>
        <v>#REF!</v>
      </c>
      <c r="J887" t="s">
        <v>22</v>
      </c>
      <c r="K887" t="e">
        <f>+_xlfn.XLOOKUP(tbl_encuesta[[#This Row],[Mi supervisor o jefe directo me otorga el soporte que necesito para afrontar cualquier problema que afecte mi trabajo]],#REF!,#REF!)</f>
        <v>#REF!</v>
      </c>
      <c r="L887" t="s">
        <v>22</v>
      </c>
      <c r="M887" t="e">
        <f>+_xlfn.XLOOKUP(tbl_encuesta[[#This Row],[Mi supervisor o jefe directo fomenta que nos apoyemos entre todos en el equipo]],#REF!,#REF!)</f>
        <v>#REF!</v>
      </c>
      <c r="N887" t="s">
        <v>23</v>
      </c>
      <c r="O887" t="e">
        <f>+_xlfn.XLOOKUP(tbl_encuesta[[#This Row],[Siento que mi trabajo es reconocido por mi supervisor o jefe directo.]],#REF!,#REF!)</f>
        <v>#REF!</v>
      </c>
      <c r="P887" t="s">
        <v>31</v>
      </c>
      <c r="Q887" t="e">
        <f xml:space="preserve">
_xlfn.XLOOKUP(
tbl_encuesta[[#This Row],[Mi supervisor o jefe directo nos brinda charlas de 5 minutos y comunica las novedades relevantes a mi puesto de trabajo]],#REF!,#REF!
)</f>
        <v>#REF!</v>
      </c>
      <c r="S887" t="s">
        <v>18</v>
      </c>
      <c r="W887" t="s">
        <v>25</v>
      </c>
      <c r="X887" t="s">
        <v>22</v>
      </c>
      <c r="Y887" t="e">
        <f>+_xlfn.XLOOKUP(tbl_encuesta[[#This Row],[Considero a Limtek como un buen lugar para trabajar]],#REF!,#REF!)</f>
        <v>#REF!</v>
      </c>
      <c r="Z887" t="s">
        <v>2240</v>
      </c>
      <c r="AA887" t="s">
        <v>2241</v>
      </c>
      <c r="AB887" t="s">
        <v>559</v>
      </c>
      <c r="AC887" s="3" t="s">
        <v>3794</v>
      </c>
      <c r="AD887" s="3" t="s">
        <v>3794</v>
      </c>
      <c r="AE887" t="s">
        <v>34</v>
      </c>
    </row>
    <row r="888" spans="1:31" x14ac:dyDescent="0.25">
      <c r="A888">
        <v>119027034735</v>
      </c>
      <c r="B888">
        <v>462598545</v>
      </c>
      <c r="C888" s="1">
        <v>46018.285567129627</v>
      </c>
      <c r="D888" s="1">
        <v>46018.288078703707</v>
      </c>
      <c r="E888" t="s">
        <v>2242</v>
      </c>
      <c r="F888" t="s">
        <v>23</v>
      </c>
      <c r="G888" t="e">
        <f>+_xlfn.XLOOKUP(tbl_encuesta[[#This Row],[Me siento a gusto con el ambiente de trabajo que se genera en mi equipo.]],#REF!,#REF!)</f>
        <v>#REF!</v>
      </c>
      <c r="H888" t="s">
        <v>23</v>
      </c>
      <c r="I888" t="e">
        <f>+_xlfn.XLOOKUP(tbl_encuesta[[#This Row],[Me siento motivado a dar lo mejor de mí y hacer un buen trabajo]],#REF!,#REF!)</f>
        <v>#REF!</v>
      </c>
      <c r="J888" t="s">
        <v>23</v>
      </c>
      <c r="K888" t="e">
        <f>+_xlfn.XLOOKUP(tbl_encuesta[[#This Row],[Mi supervisor o jefe directo me otorga el soporte que necesito para afrontar cualquier problema que afecte mi trabajo]],#REF!,#REF!)</f>
        <v>#REF!</v>
      </c>
      <c r="L888" t="s">
        <v>23</v>
      </c>
      <c r="M888" t="e">
        <f>+_xlfn.XLOOKUP(tbl_encuesta[[#This Row],[Mi supervisor o jefe directo fomenta que nos apoyemos entre todos en el equipo]],#REF!,#REF!)</f>
        <v>#REF!</v>
      </c>
      <c r="N888" t="s">
        <v>22</v>
      </c>
      <c r="O888" t="e">
        <f>+_xlfn.XLOOKUP(tbl_encuesta[[#This Row],[Siento que mi trabajo es reconocido por mi supervisor o jefe directo.]],#REF!,#REF!)</f>
        <v>#REF!</v>
      </c>
      <c r="P888" t="s">
        <v>31</v>
      </c>
      <c r="Q888" t="e">
        <f xml:space="preserve">
_xlfn.XLOOKUP(
tbl_encuesta[[#This Row],[Mi supervisor o jefe directo nos brinda charlas de 5 minutos y comunica las novedades relevantes a mi puesto de trabajo]],#REF!,#REF!
)</f>
        <v>#REF!</v>
      </c>
      <c r="R888" t="s">
        <v>17</v>
      </c>
      <c r="W888" t="s">
        <v>25</v>
      </c>
      <c r="X888" t="s">
        <v>23</v>
      </c>
      <c r="Y888" t="e">
        <f>+_xlfn.XLOOKUP(tbl_encuesta[[#This Row],[Considero a Limtek como un buen lugar para trabajar]],#REF!,#REF!)</f>
        <v>#REF!</v>
      </c>
      <c r="Z888" t="s">
        <v>2243</v>
      </c>
      <c r="AA888" t="s">
        <v>2244</v>
      </c>
      <c r="AB888" t="s">
        <v>28</v>
      </c>
      <c r="AC888" s="3" t="s">
        <v>3859</v>
      </c>
      <c r="AD888" s="3" t="s">
        <v>3860</v>
      </c>
      <c r="AE888" t="s">
        <v>34</v>
      </c>
    </row>
    <row r="889" spans="1:31" x14ac:dyDescent="0.25">
      <c r="A889">
        <v>119027034637</v>
      </c>
      <c r="B889">
        <v>462598545</v>
      </c>
      <c r="C889" s="1">
        <v>46018.284791666665</v>
      </c>
      <c r="D889" s="1">
        <v>46018.287847222222</v>
      </c>
      <c r="E889" t="s">
        <v>2245</v>
      </c>
      <c r="F889" t="s">
        <v>22</v>
      </c>
      <c r="G889" t="e">
        <f>+_xlfn.XLOOKUP(tbl_encuesta[[#This Row],[Me siento a gusto con el ambiente de trabajo que se genera en mi equipo.]],#REF!,#REF!)</f>
        <v>#REF!</v>
      </c>
      <c r="H889" t="s">
        <v>23</v>
      </c>
      <c r="I889" t="e">
        <f>+_xlfn.XLOOKUP(tbl_encuesta[[#This Row],[Me siento motivado a dar lo mejor de mí y hacer un buen trabajo]],#REF!,#REF!)</f>
        <v>#REF!</v>
      </c>
      <c r="J889" t="s">
        <v>22</v>
      </c>
      <c r="K889" t="e">
        <f>+_xlfn.XLOOKUP(tbl_encuesta[[#This Row],[Mi supervisor o jefe directo me otorga el soporte que necesito para afrontar cualquier problema que afecte mi trabajo]],#REF!,#REF!)</f>
        <v>#REF!</v>
      </c>
      <c r="L889" t="s">
        <v>22</v>
      </c>
      <c r="M889" t="e">
        <f>+_xlfn.XLOOKUP(tbl_encuesta[[#This Row],[Mi supervisor o jefe directo fomenta que nos apoyemos entre todos en el equipo]],#REF!,#REF!)</f>
        <v>#REF!</v>
      </c>
      <c r="N889" t="s">
        <v>97</v>
      </c>
      <c r="O889" t="e">
        <f>+_xlfn.XLOOKUP(tbl_encuesta[[#This Row],[Siento que mi trabajo es reconocido por mi supervisor o jefe directo.]],#REF!,#REF!)</f>
        <v>#REF!</v>
      </c>
      <c r="P889" t="s">
        <v>31</v>
      </c>
      <c r="Q889" t="e">
        <f xml:space="preserve">
_xlfn.XLOOKUP(
tbl_encuesta[[#This Row],[Mi supervisor o jefe directo nos brinda charlas de 5 minutos y comunica las novedades relevantes a mi puesto de trabajo]],#REF!,#REF!
)</f>
        <v>#REF!</v>
      </c>
      <c r="R889" t="s">
        <v>17</v>
      </c>
      <c r="U889" t="s">
        <v>20</v>
      </c>
      <c r="W889" t="s">
        <v>25</v>
      </c>
      <c r="X889" t="s">
        <v>23</v>
      </c>
      <c r="Y889" t="e">
        <f>+_xlfn.XLOOKUP(tbl_encuesta[[#This Row],[Considero a Limtek como un buen lugar para trabajar]],#REF!,#REF!)</f>
        <v>#REF!</v>
      </c>
      <c r="Z889" t="s">
        <v>1248</v>
      </c>
      <c r="AA889" t="s">
        <v>2246</v>
      </c>
      <c r="AB889" t="s">
        <v>28</v>
      </c>
      <c r="AC889" s="3" t="s">
        <v>3792</v>
      </c>
      <c r="AD889" s="3" t="s">
        <v>3793</v>
      </c>
      <c r="AE889" t="s">
        <v>34</v>
      </c>
    </row>
    <row r="890" spans="1:31" x14ac:dyDescent="0.25">
      <c r="A890">
        <v>119027034102</v>
      </c>
      <c r="B890">
        <v>462598545</v>
      </c>
      <c r="C890" s="1">
        <v>46018.284421296295</v>
      </c>
      <c r="D890" s="1">
        <v>46018.286493055559</v>
      </c>
      <c r="E890" t="s">
        <v>2247</v>
      </c>
      <c r="F890" t="s">
        <v>23</v>
      </c>
      <c r="G890" t="e">
        <f>+_xlfn.XLOOKUP(tbl_encuesta[[#This Row],[Me siento a gusto con el ambiente de trabajo que se genera en mi equipo.]],#REF!,#REF!)</f>
        <v>#REF!</v>
      </c>
      <c r="H890" t="s">
        <v>23</v>
      </c>
      <c r="I890" t="e">
        <f>+_xlfn.XLOOKUP(tbl_encuesta[[#This Row],[Me siento motivado a dar lo mejor de mí y hacer un buen trabajo]],#REF!,#REF!)</f>
        <v>#REF!</v>
      </c>
      <c r="J890" t="s">
        <v>23</v>
      </c>
      <c r="K890" t="e">
        <f>+_xlfn.XLOOKUP(tbl_encuesta[[#This Row],[Mi supervisor o jefe directo me otorga el soporte que necesito para afrontar cualquier problema que afecte mi trabajo]],#REF!,#REF!)</f>
        <v>#REF!</v>
      </c>
      <c r="L890" t="s">
        <v>23</v>
      </c>
      <c r="M890" t="e">
        <f>+_xlfn.XLOOKUP(tbl_encuesta[[#This Row],[Mi supervisor o jefe directo fomenta que nos apoyemos entre todos en el equipo]],#REF!,#REF!)</f>
        <v>#REF!</v>
      </c>
      <c r="N890" t="s">
        <v>23</v>
      </c>
      <c r="O890" t="e">
        <f>+_xlfn.XLOOKUP(tbl_encuesta[[#This Row],[Siento que mi trabajo es reconocido por mi supervisor o jefe directo.]],#REF!,#REF!)</f>
        <v>#REF!</v>
      </c>
      <c r="P890" t="s">
        <v>31</v>
      </c>
      <c r="Q890" t="e">
        <f xml:space="preserve">
_xlfn.XLOOKUP(
tbl_encuesta[[#This Row],[Mi supervisor o jefe directo nos brinda charlas de 5 minutos y comunica las novedades relevantes a mi puesto de trabajo]],#REF!,#REF!
)</f>
        <v>#REF!</v>
      </c>
      <c r="U890" t="s">
        <v>20</v>
      </c>
      <c r="V890" t="s">
        <v>2248</v>
      </c>
      <c r="W890" t="s">
        <v>25</v>
      </c>
      <c r="X890" t="s">
        <v>23</v>
      </c>
      <c r="Y890" t="e">
        <f>+_xlfn.XLOOKUP(tbl_encuesta[[#This Row],[Considero a Limtek como un buen lugar para trabajar]],#REF!,#REF!)</f>
        <v>#REF!</v>
      </c>
      <c r="Z890" t="s">
        <v>2249</v>
      </c>
      <c r="AA890" t="s">
        <v>1803</v>
      </c>
      <c r="AB890" t="s">
        <v>28</v>
      </c>
      <c r="AC890" t="s">
        <v>3744</v>
      </c>
      <c r="AD890" t="s">
        <v>3744</v>
      </c>
      <c r="AE890" t="s">
        <v>29</v>
      </c>
    </row>
    <row r="891" spans="1:31" x14ac:dyDescent="0.25">
      <c r="A891">
        <v>119027033925</v>
      </c>
      <c r="B891">
        <v>462598545</v>
      </c>
      <c r="C891" s="1">
        <v>46018.284710648149</v>
      </c>
      <c r="D891" s="1">
        <v>46018.285983796297</v>
      </c>
      <c r="E891" t="s">
        <v>2250</v>
      </c>
      <c r="F891" t="s">
        <v>22</v>
      </c>
      <c r="G891" t="e">
        <f>+_xlfn.XLOOKUP(tbl_encuesta[[#This Row],[Me siento a gusto con el ambiente de trabajo que se genera en mi equipo.]],#REF!,#REF!)</f>
        <v>#REF!</v>
      </c>
      <c r="H891" t="s">
        <v>22</v>
      </c>
      <c r="I891" t="e">
        <f>+_xlfn.XLOOKUP(tbl_encuesta[[#This Row],[Me siento motivado a dar lo mejor de mí y hacer un buen trabajo]],#REF!,#REF!)</f>
        <v>#REF!</v>
      </c>
      <c r="J891" t="s">
        <v>22</v>
      </c>
      <c r="K891" t="e">
        <f>+_xlfn.XLOOKUP(tbl_encuesta[[#This Row],[Mi supervisor o jefe directo me otorga el soporte que necesito para afrontar cualquier problema que afecte mi trabajo]],#REF!,#REF!)</f>
        <v>#REF!</v>
      </c>
      <c r="L891" t="s">
        <v>22</v>
      </c>
      <c r="M891" t="e">
        <f>+_xlfn.XLOOKUP(tbl_encuesta[[#This Row],[Mi supervisor o jefe directo fomenta que nos apoyemos entre todos en el equipo]],#REF!,#REF!)</f>
        <v>#REF!</v>
      </c>
      <c r="N891" t="s">
        <v>23</v>
      </c>
      <c r="O891" t="e">
        <f>+_xlfn.XLOOKUP(tbl_encuesta[[#This Row],[Siento que mi trabajo es reconocido por mi supervisor o jefe directo.]],#REF!,#REF!)</f>
        <v>#REF!</v>
      </c>
      <c r="P891" t="s">
        <v>67</v>
      </c>
      <c r="Q891" t="e">
        <f xml:space="preserve">
_xlfn.XLOOKUP(
tbl_encuesta[[#This Row],[Mi supervisor o jefe directo nos brinda charlas de 5 minutos y comunica las novedades relevantes a mi puesto de trabajo]],#REF!,#REF!
)</f>
        <v>#REF!</v>
      </c>
      <c r="S891" t="s">
        <v>18</v>
      </c>
      <c r="W891" t="s">
        <v>25</v>
      </c>
      <c r="X891" t="s">
        <v>22</v>
      </c>
      <c r="Y891" t="e">
        <f>+_xlfn.XLOOKUP(tbl_encuesta[[#This Row],[Considero a Limtek como un buen lugar para trabajar]],#REF!,#REF!)</f>
        <v>#REF!</v>
      </c>
      <c r="Z891" t="s">
        <v>193</v>
      </c>
      <c r="AA891" t="s">
        <v>2251</v>
      </c>
      <c r="AB891" t="s">
        <v>28</v>
      </c>
      <c r="AC891" s="3" t="s">
        <v>3859</v>
      </c>
      <c r="AD891" s="3" t="s">
        <v>3860</v>
      </c>
      <c r="AE891" t="s">
        <v>69</v>
      </c>
    </row>
    <row r="892" spans="1:31" x14ac:dyDescent="0.25">
      <c r="A892">
        <v>119027033153</v>
      </c>
      <c r="B892">
        <v>462598545</v>
      </c>
      <c r="C892" s="1">
        <v>46018.281817129631</v>
      </c>
      <c r="D892" s="1">
        <v>46018.283541666664</v>
      </c>
      <c r="E892" t="s">
        <v>2252</v>
      </c>
      <c r="F892" t="s">
        <v>22</v>
      </c>
      <c r="G892" t="e">
        <f>+_xlfn.XLOOKUP(tbl_encuesta[[#This Row],[Me siento a gusto con el ambiente de trabajo que se genera en mi equipo.]],#REF!,#REF!)</f>
        <v>#REF!</v>
      </c>
      <c r="H892" t="s">
        <v>22</v>
      </c>
      <c r="I892" t="e">
        <f>+_xlfn.XLOOKUP(tbl_encuesta[[#This Row],[Me siento motivado a dar lo mejor de mí y hacer un buen trabajo]],#REF!,#REF!)</f>
        <v>#REF!</v>
      </c>
      <c r="J892" t="s">
        <v>22</v>
      </c>
      <c r="K892" t="e">
        <f>+_xlfn.XLOOKUP(tbl_encuesta[[#This Row],[Mi supervisor o jefe directo me otorga el soporte que necesito para afrontar cualquier problema que afecte mi trabajo]],#REF!,#REF!)</f>
        <v>#REF!</v>
      </c>
      <c r="L892" t="s">
        <v>22</v>
      </c>
      <c r="M892" t="e">
        <f>+_xlfn.XLOOKUP(tbl_encuesta[[#This Row],[Mi supervisor o jefe directo fomenta que nos apoyemos entre todos en el equipo]],#REF!,#REF!)</f>
        <v>#REF!</v>
      </c>
      <c r="N892" t="s">
        <v>22</v>
      </c>
      <c r="O892" t="e">
        <f>+_xlfn.XLOOKUP(tbl_encuesta[[#This Row],[Siento que mi trabajo es reconocido por mi supervisor o jefe directo.]],#REF!,#REF!)</f>
        <v>#REF!</v>
      </c>
      <c r="P892" t="s">
        <v>31</v>
      </c>
      <c r="Q892" t="e">
        <f xml:space="preserve">
_xlfn.XLOOKUP(
tbl_encuesta[[#This Row],[Mi supervisor o jefe directo nos brinda charlas de 5 minutos y comunica las novedades relevantes a mi puesto de trabajo]],#REF!,#REF!
)</f>
        <v>#REF!</v>
      </c>
      <c r="S892" t="s">
        <v>18</v>
      </c>
      <c r="W892" t="s">
        <v>25</v>
      </c>
      <c r="X892" t="s">
        <v>22</v>
      </c>
      <c r="Y892" t="e">
        <f>+_xlfn.XLOOKUP(tbl_encuesta[[#This Row],[Considero a Limtek como un buen lugar para trabajar]],#REF!,#REF!)</f>
        <v>#REF!</v>
      </c>
      <c r="Z892" t="s">
        <v>2253</v>
      </c>
      <c r="AA892" t="s">
        <v>2254</v>
      </c>
      <c r="AB892" t="s">
        <v>28</v>
      </c>
      <c r="AC892" s="3" t="s">
        <v>3859</v>
      </c>
      <c r="AD892" s="3" t="s">
        <v>3860</v>
      </c>
      <c r="AE892" t="s">
        <v>55</v>
      </c>
    </row>
    <row r="893" spans="1:31" x14ac:dyDescent="0.25">
      <c r="A893">
        <v>119027032840</v>
      </c>
      <c r="B893">
        <v>462598545</v>
      </c>
      <c r="C893" s="1">
        <v>46018.274293981478</v>
      </c>
      <c r="D893" s="1">
        <v>46018.28261574074</v>
      </c>
      <c r="E893" t="s">
        <v>2128</v>
      </c>
      <c r="F893" t="s">
        <v>22</v>
      </c>
      <c r="G893" t="e">
        <f>+_xlfn.XLOOKUP(tbl_encuesta[[#This Row],[Me siento a gusto con el ambiente de trabajo que se genera en mi equipo.]],#REF!,#REF!)</f>
        <v>#REF!</v>
      </c>
      <c r="H893" t="s">
        <v>22</v>
      </c>
      <c r="I893" t="e">
        <f>+_xlfn.XLOOKUP(tbl_encuesta[[#This Row],[Me siento motivado a dar lo mejor de mí y hacer un buen trabajo]],#REF!,#REF!)</f>
        <v>#REF!</v>
      </c>
      <c r="J893" t="s">
        <v>22</v>
      </c>
      <c r="K893" t="e">
        <f>+_xlfn.XLOOKUP(tbl_encuesta[[#This Row],[Mi supervisor o jefe directo me otorga el soporte que necesito para afrontar cualquier problema que afecte mi trabajo]],#REF!,#REF!)</f>
        <v>#REF!</v>
      </c>
      <c r="L893" t="s">
        <v>23</v>
      </c>
      <c r="M893" t="e">
        <f>+_xlfn.XLOOKUP(tbl_encuesta[[#This Row],[Mi supervisor o jefe directo fomenta que nos apoyemos entre todos en el equipo]],#REF!,#REF!)</f>
        <v>#REF!</v>
      </c>
      <c r="N893" t="s">
        <v>23</v>
      </c>
      <c r="O893" t="e">
        <f>+_xlfn.XLOOKUP(tbl_encuesta[[#This Row],[Siento que mi trabajo es reconocido por mi supervisor o jefe directo.]],#REF!,#REF!)</f>
        <v>#REF!</v>
      </c>
      <c r="P893" t="s">
        <v>31</v>
      </c>
      <c r="Q893" t="e">
        <f xml:space="preserve">
_xlfn.XLOOKUP(
tbl_encuesta[[#This Row],[Mi supervisor o jefe directo nos brinda charlas de 5 minutos y comunica las novedades relevantes a mi puesto de trabajo]],#REF!,#REF!
)</f>
        <v>#REF!</v>
      </c>
      <c r="R893" t="s">
        <v>17</v>
      </c>
      <c r="U893" t="s">
        <v>20</v>
      </c>
      <c r="W893" t="s">
        <v>25</v>
      </c>
      <c r="X893" t="s">
        <v>23</v>
      </c>
      <c r="Y893" t="e">
        <f>+_xlfn.XLOOKUP(tbl_encuesta[[#This Row],[Considero a Limtek como un buen lugar para trabajar]],#REF!,#REF!)</f>
        <v>#REF!</v>
      </c>
      <c r="Z893" t="s">
        <v>101</v>
      </c>
      <c r="AA893" t="s">
        <v>2255</v>
      </c>
      <c r="AB893" t="s">
        <v>28</v>
      </c>
      <c r="AC893" s="3" t="s">
        <v>3859</v>
      </c>
      <c r="AD893" s="3" t="s">
        <v>3860</v>
      </c>
      <c r="AE893" t="s">
        <v>55</v>
      </c>
    </row>
    <row r="894" spans="1:31" x14ac:dyDescent="0.25">
      <c r="A894">
        <v>119027032794</v>
      </c>
      <c r="B894">
        <v>462598545</v>
      </c>
      <c r="C894" s="1">
        <v>46018.279074074075</v>
      </c>
      <c r="D894" s="1">
        <v>46018.282465277778</v>
      </c>
      <c r="E894" t="s">
        <v>2250</v>
      </c>
      <c r="F894" t="s">
        <v>22</v>
      </c>
      <c r="G894" t="e">
        <f>+_xlfn.XLOOKUP(tbl_encuesta[[#This Row],[Me siento a gusto con el ambiente de trabajo que se genera en mi equipo.]],#REF!,#REF!)</f>
        <v>#REF!</v>
      </c>
      <c r="H894" t="s">
        <v>22</v>
      </c>
      <c r="I894" t="e">
        <f>+_xlfn.XLOOKUP(tbl_encuesta[[#This Row],[Me siento motivado a dar lo mejor de mí y hacer un buen trabajo]],#REF!,#REF!)</f>
        <v>#REF!</v>
      </c>
      <c r="J894" t="s">
        <v>22</v>
      </c>
      <c r="K894" t="e">
        <f>+_xlfn.XLOOKUP(tbl_encuesta[[#This Row],[Mi supervisor o jefe directo me otorga el soporte que necesito para afrontar cualquier problema que afecte mi trabajo]],#REF!,#REF!)</f>
        <v>#REF!</v>
      </c>
      <c r="L894" t="s">
        <v>22</v>
      </c>
      <c r="M894" t="e">
        <f>+_xlfn.XLOOKUP(tbl_encuesta[[#This Row],[Mi supervisor o jefe directo fomenta que nos apoyemos entre todos en el equipo]],#REF!,#REF!)</f>
        <v>#REF!</v>
      </c>
      <c r="N894" t="s">
        <v>23</v>
      </c>
      <c r="O894" t="e">
        <f>+_xlfn.XLOOKUP(tbl_encuesta[[#This Row],[Siento que mi trabajo es reconocido por mi supervisor o jefe directo.]],#REF!,#REF!)</f>
        <v>#REF!</v>
      </c>
      <c r="P894" t="s">
        <v>67</v>
      </c>
      <c r="Q894" t="e">
        <f xml:space="preserve">
_xlfn.XLOOKUP(
tbl_encuesta[[#This Row],[Mi supervisor o jefe directo nos brinda charlas de 5 minutos y comunica las novedades relevantes a mi puesto de trabajo]],#REF!,#REF!
)</f>
        <v>#REF!</v>
      </c>
      <c r="S894" t="s">
        <v>18</v>
      </c>
      <c r="W894" t="s">
        <v>25</v>
      </c>
      <c r="X894" t="s">
        <v>22</v>
      </c>
      <c r="Y894" t="e">
        <f>+_xlfn.XLOOKUP(tbl_encuesta[[#This Row],[Considero a Limtek como un buen lugar para trabajar]],#REF!,#REF!)</f>
        <v>#REF!</v>
      </c>
      <c r="Z894" t="s">
        <v>2137</v>
      </c>
      <c r="AA894" t="s">
        <v>2256</v>
      </c>
      <c r="AB894" t="s">
        <v>28</v>
      </c>
      <c r="AC894" s="3" t="s">
        <v>3859</v>
      </c>
      <c r="AD894" s="3" t="s">
        <v>3860</v>
      </c>
      <c r="AE894" t="s">
        <v>69</v>
      </c>
    </row>
    <row r="895" spans="1:31" x14ac:dyDescent="0.25">
      <c r="A895">
        <v>119027031715</v>
      </c>
      <c r="B895">
        <v>462598545</v>
      </c>
      <c r="C895" s="1">
        <v>46018.276307870372</v>
      </c>
      <c r="D895" s="1">
        <v>46018.278912037036</v>
      </c>
      <c r="E895" t="s">
        <v>2257</v>
      </c>
      <c r="F895" t="s">
        <v>23</v>
      </c>
      <c r="G895" t="e">
        <f>+_xlfn.XLOOKUP(tbl_encuesta[[#This Row],[Me siento a gusto con el ambiente de trabajo que se genera en mi equipo.]],#REF!,#REF!)</f>
        <v>#REF!</v>
      </c>
      <c r="H895" t="s">
        <v>23</v>
      </c>
      <c r="I895" t="e">
        <f>+_xlfn.XLOOKUP(tbl_encuesta[[#This Row],[Me siento motivado a dar lo mejor de mí y hacer un buen trabajo]],#REF!,#REF!)</f>
        <v>#REF!</v>
      </c>
      <c r="J895" t="s">
        <v>22</v>
      </c>
      <c r="K895" t="e">
        <f>+_xlfn.XLOOKUP(tbl_encuesta[[#This Row],[Mi supervisor o jefe directo me otorga el soporte que necesito para afrontar cualquier problema que afecte mi trabajo]],#REF!,#REF!)</f>
        <v>#REF!</v>
      </c>
      <c r="L895" t="s">
        <v>23</v>
      </c>
      <c r="M895" t="e">
        <f>+_xlfn.XLOOKUP(tbl_encuesta[[#This Row],[Mi supervisor o jefe directo fomenta que nos apoyemos entre todos en el equipo]],#REF!,#REF!)</f>
        <v>#REF!</v>
      </c>
      <c r="N895" t="s">
        <v>22</v>
      </c>
      <c r="O895" t="e">
        <f>+_xlfn.XLOOKUP(tbl_encuesta[[#This Row],[Siento que mi trabajo es reconocido por mi supervisor o jefe directo.]],#REF!,#REF!)</f>
        <v>#REF!</v>
      </c>
      <c r="P895" t="s">
        <v>31</v>
      </c>
      <c r="Q895" t="e">
        <f xml:space="preserve">
_xlfn.XLOOKUP(
tbl_encuesta[[#This Row],[Mi supervisor o jefe directo nos brinda charlas de 5 minutos y comunica las novedades relevantes a mi puesto de trabajo]],#REF!,#REF!
)</f>
        <v>#REF!</v>
      </c>
      <c r="S895" t="s">
        <v>18</v>
      </c>
      <c r="W895" t="s">
        <v>25</v>
      </c>
      <c r="X895" t="s">
        <v>23</v>
      </c>
      <c r="Y895" t="e">
        <f>+_xlfn.XLOOKUP(tbl_encuesta[[#This Row],[Considero a Limtek como un buen lugar para trabajar]],#REF!,#REF!)</f>
        <v>#REF!</v>
      </c>
      <c r="Z895" t="s">
        <v>2258</v>
      </c>
      <c r="AA895" t="s">
        <v>2259</v>
      </c>
      <c r="AB895" t="s">
        <v>28</v>
      </c>
      <c r="AC895" s="3" t="s">
        <v>3859</v>
      </c>
      <c r="AD895" s="3" t="s">
        <v>3860</v>
      </c>
      <c r="AE895" t="s">
        <v>34</v>
      </c>
    </row>
    <row r="896" spans="1:31" x14ac:dyDescent="0.25">
      <c r="A896">
        <v>119027030408</v>
      </c>
      <c r="B896">
        <v>462598545</v>
      </c>
      <c r="C896" s="1">
        <v>46018.269861111112</v>
      </c>
      <c r="D896" s="1">
        <v>46018.274942129632</v>
      </c>
      <c r="E896" t="s">
        <v>2245</v>
      </c>
      <c r="F896" t="s">
        <v>22</v>
      </c>
      <c r="G896" t="e">
        <f>+_xlfn.XLOOKUP(tbl_encuesta[[#This Row],[Me siento a gusto con el ambiente de trabajo que se genera en mi equipo.]],#REF!,#REF!)</f>
        <v>#REF!</v>
      </c>
      <c r="H896" t="s">
        <v>23</v>
      </c>
      <c r="I896" t="e">
        <f>+_xlfn.XLOOKUP(tbl_encuesta[[#This Row],[Me siento motivado a dar lo mejor de mí y hacer un buen trabajo]],#REF!,#REF!)</f>
        <v>#REF!</v>
      </c>
      <c r="J896" t="s">
        <v>97</v>
      </c>
      <c r="K896" t="e">
        <f>+_xlfn.XLOOKUP(tbl_encuesta[[#This Row],[Mi supervisor o jefe directo me otorga el soporte que necesito para afrontar cualquier problema que afecte mi trabajo]],#REF!,#REF!)</f>
        <v>#REF!</v>
      </c>
      <c r="L896" t="s">
        <v>23</v>
      </c>
      <c r="M896" t="e">
        <f>+_xlfn.XLOOKUP(tbl_encuesta[[#This Row],[Mi supervisor o jefe directo fomenta que nos apoyemos entre todos en el equipo]],#REF!,#REF!)</f>
        <v>#REF!</v>
      </c>
      <c r="N896" t="s">
        <v>23</v>
      </c>
      <c r="O896" t="e">
        <f>+_xlfn.XLOOKUP(tbl_encuesta[[#This Row],[Siento que mi trabajo es reconocido por mi supervisor o jefe directo.]],#REF!,#REF!)</f>
        <v>#REF!</v>
      </c>
      <c r="P896" t="s">
        <v>31</v>
      </c>
      <c r="Q896" t="e">
        <f xml:space="preserve">
_xlfn.XLOOKUP(
tbl_encuesta[[#This Row],[Mi supervisor o jefe directo nos brinda charlas de 5 minutos y comunica las novedades relevantes a mi puesto de trabajo]],#REF!,#REF!
)</f>
        <v>#REF!</v>
      </c>
      <c r="R896" t="s">
        <v>17</v>
      </c>
      <c r="U896" t="s">
        <v>20</v>
      </c>
      <c r="W896" t="s">
        <v>25</v>
      </c>
      <c r="X896" t="s">
        <v>23</v>
      </c>
      <c r="Y896" t="e">
        <f>+_xlfn.XLOOKUP(tbl_encuesta[[#This Row],[Considero a Limtek como un buen lugar para trabajar]],#REF!,#REF!)</f>
        <v>#REF!</v>
      </c>
      <c r="Z896" t="s">
        <v>1248</v>
      </c>
      <c r="AA896" t="s">
        <v>2260</v>
      </c>
      <c r="AB896" t="s">
        <v>28</v>
      </c>
      <c r="AC896" s="3" t="s">
        <v>3792</v>
      </c>
      <c r="AD896" s="3" t="s">
        <v>3793</v>
      </c>
      <c r="AE896" t="s">
        <v>34</v>
      </c>
    </row>
    <row r="897" spans="1:31" x14ac:dyDescent="0.25">
      <c r="A897">
        <v>119027029210</v>
      </c>
      <c r="B897">
        <v>462598545</v>
      </c>
      <c r="C897" s="1">
        <v>46018.267222222225</v>
      </c>
      <c r="D897" s="1">
        <v>46018.271516203706</v>
      </c>
      <c r="E897" t="s">
        <v>2261</v>
      </c>
      <c r="F897" t="s">
        <v>23</v>
      </c>
      <c r="G897" t="e">
        <f>+_xlfn.XLOOKUP(tbl_encuesta[[#This Row],[Me siento a gusto con el ambiente de trabajo que se genera en mi equipo.]],#REF!,#REF!)</f>
        <v>#REF!</v>
      </c>
      <c r="H897" t="s">
        <v>23</v>
      </c>
      <c r="I897" t="e">
        <f>+_xlfn.XLOOKUP(tbl_encuesta[[#This Row],[Me siento motivado a dar lo mejor de mí y hacer un buen trabajo]],#REF!,#REF!)</f>
        <v>#REF!</v>
      </c>
      <c r="J897" t="s">
        <v>23</v>
      </c>
      <c r="K897" t="e">
        <f>+_xlfn.XLOOKUP(tbl_encuesta[[#This Row],[Mi supervisor o jefe directo me otorga el soporte que necesito para afrontar cualquier problema que afecte mi trabajo]],#REF!,#REF!)</f>
        <v>#REF!</v>
      </c>
      <c r="L897" t="s">
        <v>23</v>
      </c>
      <c r="M897" t="e">
        <f>+_xlfn.XLOOKUP(tbl_encuesta[[#This Row],[Mi supervisor o jefe directo fomenta que nos apoyemos entre todos en el equipo]],#REF!,#REF!)</f>
        <v>#REF!</v>
      </c>
      <c r="N897" t="s">
        <v>23</v>
      </c>
      <c r="O897" t="e">
        <f>+_xlfn.XLOOKUP(tbl_encuesta[[#This Row],[Siento que mi trabajo es reconocido por mi supervisor o jefe directo.]],#REF!,#REF!)</f>
        <v>#REF!</v>
      </c>
      <c r="P897" t="s">
        <v>31</v>
      </c>
      <c r="Q897" t="e">
        <f xml:space="preserve">
_xlfn.XLOOKUP(
tbl_encuesta[[#This Row],[Mi supervisor o jefe directo nos brinda charlas de 5 minutos y comunica las novedades relevantes a mi puesto de trabajo]],#REF!,#REF!
)</f>
        <v>#REF!</v>
      </c>
      <c r="R897" t="s">
        <v>17</v>
      </c>
      <c r="W897" t="s">
        <v>25</v>
      </c>
      <c r="X897" t="s">
        <v>23</v>
      </c>
      <c r="Y897" t="e">
        <f>+_xlfn.XLOOKUP(tbl_encuesta[[#This Row],[Considero a Limtek como un buen lugar para trabajar]],#REF!,#REF!)</f>
        <v>#REF!</v>
      </c>
      <c r="Z897" t="s">
        <v>2262</v>
      </c>
      <c r="AA897" t="s">
        <v>2263</v>
      </c>
      <c r="AB897" t="s">
        <v>28</v>
      </c>
      <c r="AC897" s="3" t="s">
        <v>3859</v>
      </c>
      <c r="AD897" s="3" t="s">
        <v>3860</v>
      </c>
      <c r="AE897" t="s">
        <v>34</v>
      </c>
    </row>
    <row r="898" spans="1:31" x14ac:dyDescent="0.25">
      <c r="A898">
        <v>119027029002</v>
      </c>
      <c r="B898">
        <v>462598545</v>
      </c>
      <c r="C898" s="1">
        <v>46018.268182870372</v>
      </c>
      <c r="D898" s="1">
        <v>46018.271006944444</v>
      </c>
      <c r="E898" t="s">
        <v>2264</v>
      </c>
      <c r="F898" t="s">
        <v>22</v>
      </c>
      <c r="G898" t="e">
        <f>+_xlfn.XLOOKUP(tbl_encuesta[[#This Row],[Me siento a gusto con el ambiente de trabajo que se genera en mi equipo.]],#REF!,#REF!)</f>
        <v>#REF!</v>
      </c>
      <c r="H898" t="s">
        <v>22</v>
      </c>
      <c r="I898" t="e">
        <f>+_xlfn.XLOOKUP(tbl_encuesta[[#This Row],[Me siento motivado a dar lo mejor de mí y hacer un buen trabajo]],#REF!,#REF!)</f>
        <v>#REF!</v>
      </c>
      <c r="J898" t="s">
        <v>22</v>
      </c>
      <c r="K898" t="e">
        <f>+_xlfn.XLOOKUP(tbl_encuesta[[#This Row],[Mi supervisor o jefe directo me otorga el soporte que necesito para afrontar cualquier problema que afecte mi trabajo]],#REF!,#REF!)</f>
        <v>#REF!</v>
      </c>
      <c r="L898" t="s">
        <v>23</v>
      </c>
      <c r="M898" t="e">
        <f>+_xlfn.XLOOKUP(tbl_encuesta[[#This Row],[Mi supervisor o jefe directo fomenta que nos apoyemos entre todos en el equipo]],#REF!,#REF!)</f>
        <v>#REF!</v>
      </c>
      <c r="N898" t="s">
        <v>23</v>
      </c>
      <c r="O898" t="e">
        <f>+_xlfn.XLOOKUP(tbl_encuesta[[#This Row],[Siento que mi trabajo es reconocido por mi supervisor o jefe directo.]],#REF!,#REF!)</f>
        <v>#REF!</v>
      </c>
      <c r="P898" t="s">
        <v>31</v>
      </c>
      <c r="Q898" t="e">
        <f xml:space="preserve">
_xlfn.XLOOKUP(
tbl_encuesta[[#This Row],[Mi supervisor o jefe directo nos brinda charlas de 5 minutos y comunica las novedades relevantes a mi puesto de trabajo]],#REF!,#REF!
)</f>
        <v>#REF!</v>
      </c>
      <c r="R898" t="s">
        <v>17</v>
      </c>
      <c r="W898" t="s">
        <v>25</v>
      </c>
      <c r="X898" t="s">
        <v>22</v>
      </c>
      <c r="Y898" t="e">
        <f>+_xlfn.XLOOKUP(tbl_encuesta[[#This Row],[Considero a Limtek como un buen lugar para trabajar]],#REF!,#REF!)</f>
        <v>#REF!</v>
      </c>
      <c r="Z898" t="s">
        <v>1045</v>
      </c>
      <c r="AA898" t="s">
        <v>2265</v>
      </c>
      <c r="AB898" t="s">
        <v>28</v>
      </c>
      <c r="AC898" s="3" t="s">
        <v>3859</v>
      </c>
      <c r="AD898" s="3" t="s">
        <v>3860</v>
      </c>
      <c r="AE898" t="s">
        <v>29</v>
      </c>
    </row>
    <row r="899" spans="1:31" x14ac:dyDescent="0.25">
      <c r="A899">
        <v>119027028848</v>
      </c>
      <c r="B899">
        <v>462598545</v>
      </c>
      <c r="C899" s="1">
        <v>46018.268043981479</v>
      </c>
      <c r="D899" s="1">
        <v>46018.270543981482</v>
      </c>
      <c r="E899" t="s">
        <v>2266</v>
      </c>
      <c r="F899" t="s">
        <v>22</v>
      </c>
      <c r="G899" t="e">
        <f>+_xlfn.XLOOKUP(tbl_encuesta[[#This Row],[Me siento a gusto con el ambiente de trabajo que se genera en mi equipo.]],#REF!,#REF!)</f>
        <v>#REF!</v>
      </c>
      <c r="H899" t="s">
        <v>23</v>
      </c>
      <c r="I899" t="e">
        <f>+_xlfn.XLOOKUP(tbl_encuesta[[#This Row],[Me siento motivado a dar lo mejor de mí y hacer un buen trabajo]],#REF!,#REF!)</f>
        <v>#REF!</v>
      </c>
      <c r="J899" t="s">
        <v>22</v>
      </c>
      <c r="K899" t="e">
        <f>+_xlfn.XLOOKUP(tbl_encuesta[[#This Row],[Mi supervisor o jefe directo me otorga el soporte que necesito para afrontar cualquier problema que afecte mi trabajo]],#REF!,#REF!)</f>
        <v>#REF!</v>
      </c>
      <c r="L899" t="s">
        <v>23</v>
      </c>
      <c r="M899" t="e">
        <f>+_xlfn.XLOOKUP(tbl_encuesta[[#This Row],[Mi supervisor o jefe directo fomenta que nos apoyemos entre todos en el equipo]],#REF!,#REF!)</f>
        <v>#REF!</v>
      </c>
      <c r="N899" t="s">
        <v>22</v>
      </c>
      <c r="O899" t="e">
        <f>+_xlfn.XLOOKUP(tbl_encuesta[[#This Row],[Siento que mi trabajo es reconocido por mi supervisor o jefe directo.]],#REF!,#REF!)</f>
        <v>#REF!</v>
      </c>
      <c r="P899" t="s">
        <v>31</v>
      </c>
      <c r="Q899" t="e">
        <f xml:space="preserve">
_xlfn.XLOOKUP(
tbl_encuesta[[#This Row],[Mi supervisor o jefe directo nos brinda charlas de 5 minutos y comunica las novedades relevantes a mi puesto de trabajo]],#REF!,#REF!
)</f>
        <v>#REF!</v>
      </c>
      <c r="R899" t="s">
        <v>17</v>
      </c>
      <c r="S899" t="s">
        <v>18</v>
      </c>
      <c r="W899" t="s">
        <v>25</v>
      </c>
      <c r="X899" t="s">
        <v>22</v>
      </c>
      <c r="Y899" t="e">
        <f>+_xlfn.XLOOKUP(tbl_encuesta[[#This Row],[Considero a Limtek como un buen lugar para trabajar]],#REF!,#REF!)</f>
        <v>#REF!</v>
      </c>
      <c r="Z899" t="s">
        <v>727</v>
      </c>
      <c r="AA899" t="s">
        <v>2267</v>
      </c>
      <c r="AB899" t="s">
        <v>28</v>
      </c>
      <c r="AC899" s="3" t="s">
        <v>3859</v>
      </c>
      <c r="AD899" s="3" t="s">
        <v>3860</v>
      </c>
      <c r="AE899" t="s">
        <v>29</v>
      </c>
    </row>
    <row r="900" spans="1:31" x14ac:dyDescent="0.25">
      <c r="A900">
        <v>119027027828</v>
      </c>
      <c r="B900">
        <v>462598545</v>
      </c>
      <c r="C900" s="1">
        <v>46018.265266203707</v>
      </c>
      <c r="D900" s="1">
        <v>46018.267511574071</v>
      </c>
      <c r="E900" t="s">
        <v>2268</v>
      </c>
      <c r="F900" t="s">
        <v>23</v>
      </c>
      <c r="G900" t="e">
        <f>+_xlfn.XLOOKUP(tbl_encuesta[[#This Row],[Me siento a gusto con el ambiente de trabajo que se genera en mi equipo.]],#REF!,#REF!)</f>
        <v>#REF!</v>
      </c>
      <c r="H900" t="s">
        <v>23</v>
      </c>
      <c r="I900" t="e">
        <f>+_xlfn.XLOOKUP(tbl_encuesta[[#This Row],[Me siento motivado a dar lo mejor de mí y hacer un buen trabajo]],#REF!,#REF!)</f>
        <v>#REF!</v>
      </c>
      <c r="J900" t="s">
        <v>23</v>
      </c>
      <c r="K900" t="e">
        <f>+_xlfn.XLOOKUP(tbl_encuesta[[#This Row],[Mi supervisor o jefe directo me otorga el soporte que necesito para afrontar cualquier problema que afecte mi trabajo]],#REF!,#REF!)</f>
        <v>#REF!</v>
      </c>
      <c r="L900" t="s">
        <v>23</v>
      </c>
      <c r="M900" t="e">
        <f>+_xlfn.XLOOKUP(tbl_encuesta[[#This Row],[Mi supervisor o jefe directo fomenta que nos apoyemos entre todos en el equipo]],#REF!,#REF!)</f>
        <v>#REF!</v>
      </c>
      <c r="N900" t="s">
        <v>23</v>
      </c>
      <c r="O900" t="e">
        <f>+_xlfn.XLOOKUP(tbl_encuesta[[#This Row],[Siento que mi trabajo es reconocido por mi supervisor o jefe directo.]],#REF!,#REF!)</f>
        <v>#REF!</v>
      </c>
      <c r="P900" t="s">
        <v>31</v>
      </c>
      <c r="Q900" t="e">
        <f xml:space="preserve">
_xlfn.XLOOKUP(
tbl_encuesta[[#This Row],[Mi supervisor o jefe directo nos brinda charlas de 5 minutos y comunica las novedades relevantes a mi puesto de trabajo]],#REF!,#REF!
)</f>
        <v>#REF!</v>
      </c>
      <c r="S900" t="s">
        <v>18</v>
      </c>
      <c r="W900" t="s">
        <v>25</v>
      </c>
      <c r="X900" t="s">
        <v>23</v>
      </c>
      <c r="Y900" t="e">
        <f>+_xlfn.XLOOKUP(tbl_encuesta[[#This Row],[Considero a Limtek como un buen lugar para trabajar]],#REF!,#REF!)</f>
        <v>#REF!</v>
      </c>
      <c r="Z900" t="s">
        <v>2269</v>
      </c>
      <c r="AA900" t="s">
        <v>122</v>
      </c>
      <c r="AB900" t="s">
        <v>28</v>
      </c>
      <c r="AC900" s="3" t="s">
        <v>3859</v>
      </c>
      <c r="AD900" s="3" t="s">
        <v>3860</v>
      </c>
      <c r="AE900" t="s">
        <v>29</v>
      </c>
    </row>
    <row r="901" spans="1:31" x14ac:dyDescent="0.25">
      <c r="A901">
        <v>119027026844</v>
      </c>
      <c r="B901">
        <v>462598545</v>
      </c>
      <c r="C901" s="1">
        <v>46018.261307870373</v>
      </c>
      <c r="D901" s="1">
        <v>46018.264664351853</v>
      </c>
      <c r="E901" t="s">
        <v>2270</v>
      </c>
      <c r="F901" t="s">
        <v>22</v>
      </c>
      <c r="G901" t="e">
        <f>+_xlfn.XLOOKUP(tbl_encuesta[[#This Row],[Me siento a gusto con el ambiente de trabajo que se genera en mi equipo.]],#REF!,#REF!)</f>
        <v>#REF!</v>
      </c>
      <c r="H901" t="s">
        <v>23</v>
      </c>
      <c r="I901" t="e">
        <f>+_xlfn.XLOOKUP(tbl_encuesta[[#This Row],[Me siento motivado a dar lo mejor de mí y hacer un buen trabajo]],#REF!,#REF!)</f>
        <v>#REF!</v>
      </c>
      <c r="J901" t="s">
        <v>22</v>
      </c>
      <c r="K901" t="e">
        <f>+_xlfn.XLOOKUP(tbl_encuesta[[#This Row],[Mi supervisor o jefe directo me otorga el soporte que necesito para afrontar cualquier problema que afecte mi trabajo]],#REF!,#REF!)</f>
        <v>#REF!</v>
      </c>
      <c r="L901" t="s">
        <v>23</v>
      </c>
      <c r="M901" t="e">
        <f>+_xlfn.XLOOKUP(tbl_encuesta[[#This Row],[Mi supervisor o jefe directo fomenta que nos apoyemos entre todos en el equipo]],#REF!,#REF!)</f>
        <v>#REF!</v>
      </c>
      <c r="N901" t="s">
        <v>22</v>
      </c>
      <c r="O901" t="e">
        <f>+_xlfn.XLOOKUP(tbl_encuesta[[#This Row],[Siento que mi trabajo es reconocido por mi supervisor o jefe directo.]],#REF!,#REF!)</f>
        <v>#REF!</v>
      </c>
      <c r="P901" t="s">
        <v>31</v>
      </c>
      <c r="Q901" t="e">
        <f xml:space="preserve">
_xlfn.XLOOKUP(
tbl_encuesta[[#This Row],[Mi supervisor o jefe directo nos brinda charlas de 5 minutos y comunica las novedades relevantes a mi puesto de trabajo]],#REF!,#REF!
)</f>
        <v>#REF!</v>
      </c>
      <c r="S901" t="s">
        <v>18</v>
      </c>
      <c r="U901" t="s">
        <v>20</v>
      </c>
      <c r="W901" t="s">
        <v>25</v>
      </c>
      <c r="X901" t="s">
        <v>23</v>
      </c>
      <c r="Y901" t="e">
        <f>+_xlfn.XLOOKUP(tbl_encuesta[[#This Row],[Considero a Limtek como un buen lugar para trabajar]],#REF!,#REF!)</f>
        <v>#REF!</v>
      </c>
      <c r="Z901" t="s">
        <v>2271</v>
      </c>
      <c r="AA901" t="s">
        <v>2272</v>
      </c>
      <c r="AB901" t="s">
        <v>28</v>
      </c>
      <c r="AC901" s="3" t="s">
        <v>3859</v>
      </c>
      <c r="AD901" s="3" t="s">
        <v>3860</v>
      </c>
      <c r="AE901" t="s">
        <v>34</v>
      </c>
    </row>
    <row r="902" spans="1:31" x14ac:dyDescent="0.25">
      <c r="A902">
        <v>119027026269</v>
      </c>
      <c r="B902">
        <v>462598545</v>
      </c>
      <c r="C902" s="1">
        <v>46018.255439814813</v>
      </c>
      <c r="D902" s="1">
        <v>46018.26284722222</v>
      </c>
      <c r="E902" t="s">
        <v>2273</v>
      </c>
      <c r="F902" t="s">
        <v>22</v>
      </c>
      <c r="G902" t="e">
        <f>+_xlfn.XLOOKUP(tbl_encuesta[[#This Row],[Me siento a gusto con el ambiente de trabajo que se genera en mi equipo.]],#REF!,#REF!)</f>
        <v>#REF!</v>
      </c>
      <c r="H902" t="s">
        <v>23</v>
      </c>
      <c r="I902" t="e">
        <f>+_xlfn.XLOOKUP(tbl_encuesta[[#This Row],[Me siento motivado a dar lo mejor de mí y hacer un buen trabajo]],#REF!,#REF!)</f>
        <v>#REF!</v>
      </c>
      <c r="J902" t="s">
        <v>22</v>
      </c>
      <c r="K902" t="e">
        <f>+_xlfn.XLOOKUP(tbl_encuesta[[#This Row],[Mi supervisor o jefe directo me otorga el soporte que necesito para afrontar cualquier problema que afecte mi trabajo]],#REF!,#REF!)</f>
        <v>#REF!</v>
      </c>
      <c r="L902" t="s">
        <v>97</v>
      </c>
      <c r="M902" t="e">
        <f>+_xlfn.XLOOKUP(tbl_encuesta[[#This Row],[Mi supervisor o jefe directo fomenta que nos apoyemos entre todos en el equipo]],#REF!,#REF!)</f>
        <v>#REF!</v>
      </c>
      <c r="N902" t="s">
        <v>23</v>
      </c>
      <c r="O902" t="e">
        <f>+_xlfn.XLOOKUP(tbl_encuesta[[#This Row],[Siento que mi trabajo es reconocido por mi supervisor o jefe directo.]],#REF!,#REF!)</f>
        <v>#REF!</v>
      </c>
      <c r="P902" t="s">
        <v>31</v>
      </c>
      <c r="Q902" t="e">
        <f xml:space="preserve">
_xlfn.XLOOKUP(
tbl_encuesta[[#This Row],[Mi supervisor o jefe directo nos brinda charlas de 5 minutos y comunica las novedades relevantes a mi puesto de trabajo]],#REF!,#REF!
)</f>
        <v>#REF!</v>
      </c>
      <c r="R902" t="s">
        <v>17</v>
      </c>
      <c r="W902" t="s">
        <v>25</v>
      </c>
      <c r="X902" t="s">
        <v>23</v>
      </c>
      <c r="Y902" t="e">
        <f>+_xlfn.XLOOKUP(tbl_encuesta[[#This Row],[Considero a Limtek como un buen lugar para trabajar]],#REF!,#REF!)</f>
        <v>#REF!</v>
      </c>
      <c r="Z902" t="s">
        <v>461</v>
      </c>
      <c r="AA902" t="s">
        <v>2274</v>
      </c>
      <c r="AB902" t="s">
        <v>28</v>
      </c>
      <c r="AC902" s="3" t="s">
        <v>3851</v>
      </c>
      <c r="AD902" s="3" t="s">
        <v>3852</v>
      </c>
      <c r="AE902" t="s">
        <v>34</v>
      </c>
    </row>
    <row r="903" spans="1:31" x14ac:dyDescent="0.25">
      <c r="A903">
        <v>119027026222</v>
      </c>
      <c r="B903">
        <v>462598545</v>
      </c>
      <c r="C903" s="1">
        <v>46018.261493055557</v>
      </c>
      <c r="D903" s="1">
        <v>46018.262708333335</v>
      </c>
      <c r="E903" t="s">
        <v>2275</v>
      </c>
      <c r="F903" t="s">
        <v>43</v>
      </c>
      <c r="G903" t="e">
        <f>+_xlfn.XLOOKUP(tbl_encuesta[[#This Row],[Me siento a gusto con el ambiente de trabajo que se genera en mi equipo.]],#REF!,#REF!)</f>
        <v>#REF!</v>
      </c>
      <c r="H903" t="s">
        <v>97</v>
      </c>
      <c r="I903" t="e">
        <f>+_xlfn.XLOOKUP(tbl_encuesta[[#This Row],[Me siento motivado a dar lo mejor de mí y hacer un buen trabajo]],#REF!,#REF!)</f>
        <v>#REF!</v>
      </c>
      <c r="J903" t="s">
        <v>97</v>
      </c>
      <c r="K903" t="e">
        <f>+_xlfn.XLOOKUP(tbl_encuesta[[#This Row],[Mi supervisor o jefe directo me otorga el soporte que necesito para afrontar cualquier problema que afecte mi trabajo]],#REF!,#REF!)</f>
        <v>#REF!</v>
      </c>
      <c r="L903" t="s">
        <v>97</v>
      </c>
      <c r="M903" t="e">
        <f>+_xlfn.XLOOKUP(tbl_encuesta[[#This Row],[Mi supervisor o jefe directo fomenta que nos apoyemos entre todos en el equipo]],#REF!,#REF!)</f>
        <v>#REF!</v>
      </c>
      <c r="N903" t="s">
        <v>97</v>
      </c>
      <c r="O903" t="e">
        <f>+_xlfn.XLOOKUP(tbl_encuesta[[#This Row],[Siento que mi trabajo es reconocido por mi supervisor o jefe directo.]],#REF!,#REF!)</f>
        <v>#REF!</v>
      </c>
      <c r="P903" t="s">
        <v>24</v>
      </c>
      <c r="Q903" t="e">
        <f xml:space="preserve">
_xlfn.XLOOKUP(
tbl_encuesta[[#This Row],[Mi supervisor o jefe directo nos brinda charlas de 5 minutos y comunica las novedades relevantes a mi puesto de trabajo]],#REF!,#REF!
)</f>
        <v>#REF!</v>
      </c>
      <c r="U903" t="s">
        <v>20</v>
      </c>
      <c r="W903" t="s">
        <v>25</v>
      </c>
      <c r="X903" t="s">
        <v>22</v>
      </c>
      <c r="Y903" t="e">
        <f>+_xlfn.XLOOKUP(tbl_encuesta[[#This Row],[Considero a Limtek como un buen lugar para trabajar]],#REF!,#REF!)</f>
        <v>#REF!</v>
      </c>
      <c r="Z903" t="s">
        <v>2276</v>
      </c>
      <c r="AA903" t="s">
        <v>2277</v>
      </c>
      <c r="AB903" t="s">
        <v>28</v>
      </c>
      <c r="AC903" s="3" t="s">
        <v>3851</v>
      </c>
      <c r="AD903" s="3" t="s">
        <v>3852</v>
      </c>
      <c r="AE903" t="s">
        <v>61</v>
      </c>
    </row>
    <row r="904" spans="1:31" x14ac:dyDescent="0.25">
      <c r="A904">
        <v>119027025906</v>
      </c>
      <c r="B904">
        <v>462598545</v>
      </c>
      <c r="C904" s="1">
        <v>46018.257164351853</v>
      </c>
      <c r="D904" s="1">
        <v>46018.261712962965</v>
      </c>
      <c r="E904" t="s">
        <v>2278</v>
      </c>
      <c r="F904" t="s">
        <v>23</v>
      </c>
      <c r="G904" t="e">
        <f>+_xlfn.XLOOKUP(tbl_encuesta[[#This Row],[Me siento a gusto con el ambiente de trabajo que se genera en mi equipo.]],#REF!,#REF!)</f>
        <v>#REF!</v>
      </c>
      <c r="H904" t="s">
        <v>23</v>
      </c>
      <c r="I904" t="e">
        <f>+_xlfn.XLOOKUP(tbl_encuesta[[#This Row],[Me siento motivado a dar lo mejor de mí y hacer un buen trabajo]],#REF!,#REF!)</f>
        <v>#REF!</v>
      </c>
      <c r="J904" t="s">
        <v>22</v>
      </c>
      <c r="K904" t="e">
        <f>+_xlfn.XLOOKUP(tbl_encuesta[[#This Row],[Mi supervisor o jefe directo me otorga el soporte que necesito para afrontar cualquier problema que afecte mi trabajo]],#REF!,#REF!)</f>
        <v>#REF!</v>
      </c>
      <c r="L904" t="s">
        <v>22</v>
      </c>
      <c r="M904" t="e">
        <f>+_xlfn.XLOOKUP(tbl_encuesta[[#This Row],[Mi supervisor o jefe directo fomenta que nos apoyemos entre todos en el equipo]],#REF!,#REF!)</f>
        <v>#REF!</v>
      </c>
      <c r="N904" t="s">
        <v>23</v>
      </c>
      <c r="O904" t="e">
        <f>+_xlfn.XLOOKUP(tbl_encuesta[[#This Row],[Siento que mi trabajo es reconocido por mi supervisor o jefe directo.]],#REF!,#REF!)</f>
        <v>#REF!</v>
      </c>
      <c r="P904" t="s">
        <v>67</v>
      </c>
      <c r="Q904" t="e">
        <f xml:space="preserve">
_xlfn.XLOOKUP(
tbl_encuesta[[#This Row],[Mi supervisor o jefe directo nos brinda charlas de 5 minutos y comunica las novedades relevantes a mi puesto de trabajo]],#REF!,#REF!
)</f>
        <v>#REF!</v>
      </c>
      <c r="R904" t="s">
        <v>17</v>
      </c>
      <c r="S904" t="s">
        <v>18</v>
      </c>
      <c r="W904" t="s">
        <v>25</v>
      </c>
      <c r="X904" t="s">
        <v>22</v>
      </c>
      <c r="Y904" t="e">
        <f>+_xlfn.XLOOKUP(tbl_encuesta[[#This Row],[Considero a Limtek como un buen lugar para trabajar]],#REF!,#REF!)</f>
        <v>#REF!</v>
      </c>
      <c r="Z904" t="s">
        <v>2279</v>
      </c>
      <c r="AA904" t="s">
        <v>2280</v>
      </c>
      <c r="AB904" t="s">
        <v>28</v>
      </c>
      <c r="AC904" s="3" t="s">
        <v>3851</v>
      </c>
      <c r="AD904" s="3" t="s">
        <v>3852</v>
      </c>
      <c r="AE904" t="s">
        <v>55</v>
      </c>
    </row>
    <row r="905" spans="1:31" x14ac:dyDescent="0.25">
      <c r="A905">
        <v>119027025575</v>
      </c>
      <c r="B905">
        <v>462598545</v>
      </c>
      <c r="C905" s="1">
        <v>46018.251956018517</v>
      </c>
      <c r="D905" s="1">
        <v>46018.260775462964</v>
      </c>
      <c r="E905" t="s">
        <v>2275</v>
      </c>
      <c r="F905" t="s">
        <v>23</v>
      </c>
      <c r="G905" t="e">
        <f>+_xlfn.XLOOKUP(tbl_encuesta[[#This Row],[Me siento a gusto con el ambiente de trabajo que se genera en mi equipo.]],#REF!,#REF!)</f>
        <v>#REF!</v>
      </c>
      <c r="H905" t="s">
        <v>23</v>
      </c>
      <c r="I905" t="e">
        <f>+_xlfn.XLOOKUP(tbl_encuesta[[#This Row],[Me siento motivado a dar lo mejor de mí y hacer un buen trabajo]],#REF!,#REF!)</f>
        <v>#REF!</v>
      </c>
      <c r="J905" t="s">
        <v>23</v>
      </c>
      <c r="K905" t="e">
        <f>+_xlfn.XLOOKUP(tbl_encuesta[[#This Row],[Mi supervisor o jefe directo me otorga el soporte que necesito para afrontar cualquier problema que afecte mi trabajo]],#REF!,#REF!)</f>
        <v>#REF!</v>
      </c>
      <c r="L905" t="s">
        <v>22</v>
      </c>
      <c r="M905" t="e">
        <f>+_xlfn.XLOOKUP(tbl_encuesta[[#This Row],[Mi supervisor o jefe directo fomenta que nos apoyemos entre todos en el equipo]],#REF!,#REF!)</f>
        <v>#REF!</v>
      </c>
      <c r="N905" t="s">
        <v>22</v>
      </c>
      <c r="O905" t="e">
        <f>+_xlfn.XLOOKUP(tbl_encuesta[[#This Row],[Siento que mi trabajo es reconocido por mi supervisor o jefe directo.]],#REF!,#REF!)</f>
        <v>#REF!</v>
      </c>
      <c r="P905" t="s">
        <v>67</v>
      </c>
      <c r="Q905" t="e">
        <f xml:space="preserve">
_xlfn.XLOOKUP(
tbl_encuesta[[#This Row],[Mi supervisor o jefe directo nos brinda charlas de 5 minutos y comunica las novedades relevantes a mi puesto de trabajo]],#REF!,#REF!
)</f>
        <v>#REF!</v>
      </c>
      <c r="R905" t="s">
        <v>17</v>
      </c>
      <c r="W905" t="s">
        <v>25</v>
      </c>
      <c r="X905" t="s">
        <v>23</v>
      </c>
      <c r="Y905" t="e">
        <f>+_xlfn.XLOOKUP(tbl_encuesta[[#This Row],[Considero a Limtek como un buen lugar para trabajar]],#REF!,#REF!)</f>
        <v>#REF!</v>
      </c>
      <c r="Z905" t="s">
        <v>2281</v>
      </c>
      <c r="AA905" t="s">
        <v>2282</v>
      </c>
      <c r="AB905" t="s">
        <v>28</v>
      </c>
      <c r="AC905" s="3" t="s">
        <v>3851</v>
      </c>
      <c r="AD905" s="3" t="s">
        <v>3852</v>
      </c>
      <c r="AE905" t="s">
        <v>61</v>
      </c>
    </row>
    <row r="906" spans="1:31" x14ac:dyDescent="0.25">
      <c r="A906">
        <v>119026981313</v>
      </c>
      <c r="B906">
        <v>462598545</v>
      </c>
      <c r="C906" s="1">
        <v>46018.124560185184</v>
      </c>
      <c r="D906" s="1">
        <v>46018.128067129626</v>
      </c>
      <c r="E906" t="s">
        <v>2283</v>
      </c>
      <c r="F906" t="s">
        <v>22</v>
      </c>
      <c r="G906" t="e">
        <f>+_xlfn.XLOOKUP(tbl_encuesta[[#This Row],[Me siento a gusto con el ambiente de trabajo que se genera en mi equipo.]],#REF!,#REF!)</f>
        <v>#REF!</v>
      </c>
      <c r="H906" t="s">
        <v>23</v>
      </c>
      <c r="I906" t="e">
        <f>+_xlfn.XLOOKUP(tbl_encuesta[[#This Row],[Me siento motivado a dar lo mejor de mí y hacer un buen trabajo]],#REF!,#REF!)</f>
        <v>#REF!</v>
      </c>
      <c r="J906" t="s">
        <v>22</v>
      </c>
      <c r="K906" t="e">
        <f>+_xlfn.XLOOKUP(tbl_encuesta[[#This Row],[Mi supervisor o jefe directo me otorga el soporte que necesito para afrontar cualquier problema que afecte mi trabajo]],#REF!,#REF!)</f>
        <v>#REF!</v>
      </c>
      <c r="L906" t="s">
        <v>23</v>
      </c>
      <c r="M906" t="e">
        <f>+_xlfn.XLOOKUP(tbl_encuesta[[#This Row],[Mi supervisor o jefe directo fomenta que nos apoyemos entre todos en el equipo]],#REF!,#REF!)</f>
        <v>#REF!</v>
      </c>
      <c r="N906" t="s">
        <v>23</v>
      </c>
      <c r="O906" t="e">
        <f>+_xlfn.XLOOKUP(tbl_encuesta[[#This Row],[Siento que mi trabajo es reconocido por mi supervisor o jefe directo.]],#REF!,#REF!)</f>
        <v>#REF!</v>
      </c>
      <c r="P906" t="s">
        <v>31</v>
      </c>
      <c r="Q906" t="e">
        <f xml:space="preserve">
_xlfn.XLOOKUP(
tbl_encuesta[[#This Row],[Mi supervisor o jefe directo nos brinda charlas de 5 minutos y comunica las novedades relevantes a mi puesto de trabajo]],#REF!,#REF!
)</f>
        <v>#REF!</v>
      </c>
      <c r="R906" t="s">
        <v>17</v>
      </c>
      <c r="W906" t="s">
        <v>25</v>
      </c>
      <c r="X906" t="s">
        <v>23</v>
      </c>
      <c r="Y906" t="e">
        <f>+_xlfn.XLOOKUP(tbl_encuesta[[#This Row],[Considero a Limtek como un buen lugar para trabajar]],#REF!,#REF!)</f>
        <v>#REF!</v>
      </c>
      <c r="Z906" t="s">
        <v>2284</v>
      </c>
      <c r="AA906" t="s">
        <v>2285</v>
      </c>
      <c r="AB906" t="s">
        <v>559</v>
      </c>
      <c r="AC906" s="3" t="s">
        <v>3794</v>
      </c>
      <c r="AD906" s="3" t="s">
        <v>3794</v>
      </c>
      <c r="AE906" t="s">
        <v>34</v>
      </c>
    </row>
    <row r="907" spans="1:31" x14ac:dyDescent="0.25">
      <c r="A907">
        <v>119026932332</v>
      </c>
      <c r="B907">
        <v>462598545</v>
      </c>
      <c r="C907" s="1">
        <v>46017.936620370368</v>
      </c>
      <c r="D907" s="1">
        <v>46017.944467592592</v>
      </c>
      <c r="E907" t="s">
        <v>2286</v>
      </c>
      <c r="F907" t="s">
        <v>23</v>
      </c>
      <c r="G907" t="e">
        <f>+_xlfn.XLOOKUP(tbl_encuesta[[#This Row],[Me siento a gusto con el ambiente de trabajo que se genera en mi equipo.]],#REF!,#REF!)</f>
        <v>#REF!</v>
      </c>
      <c r="H907" t="s">
        <v>23</v>
      </c>
      <c r="I907" t="e">
        <f>+_xlfn.XLOOKUP(tbl_encuesta[[#This Row],[Me siento motivado a dar lo mejor de mí y hacer un buen trabajo]],#REF!,#REF!)</f>
        <v>#REF!</v>
      </c>
      <c r="J907" t="s">
        <v>23</v>
      </c>
      <c r="K907" t="e">
        <f>+_xlfn.XLOOKUP(tbl_encuesta[[#This Row],[Mi supervisor o jefe directo me otorga el soporte que necesito para afrontar cualquier problema que afecte mi trabajo]],#REF!,#REF!)</f>
        <v>#REF!</v>
      </c>
      <c r="L907" t="s">
        <v>23</v>
      </c>
      <c r="M907" t="e">
        <f>+_xlfn.XLOOKUP(tbl_encuesta[[#This Row],[Mi supervisor o jefe directo fomenta que nos apoyemos entre todos en el equipo]],#REF!,#REF!)</f>
        <v>#REF!</v>
      </c>
      <c r="N907" t="s">
        <v>23</v>
      </c>
      <c r="O907" t="e">
        <f>+_xlfn.XLOOKUP(tbl_encuesta[[#This Row],[Siento que mi trabajo es reconocido por mi supervisor o jefe directo.]],#REF!,#REF!)</f>
        <v>#REF!</v>
      </c>
      <c r="P907" t="s">
        <v>31</v>
      </c>
      <c r="Q907" t="e">
        <f xml:space="preserve">
_xlfn.XLOOKUP(
tbl_encuesta[[#This Row],[Mi supervisor o jefe directo nos brinda charlas de 5 minutos y comunica las novedades relevantes a mi puesto de trabajo]],#REF!,#REF!
)</f>
        <v>#REF!</v>
      </c>
      <c r="R907" t="s">
        <v>17</v>
      </c>
      <c r="T907" t="s">
        <v>19</v>
      </c>
      <c r="W907" t="s">
        <v>46</v>
      </c>
      <c r="X907" t="s">
        <v>23</v>
      </c>
      <c r="Y907" t="e">
        <f>+_xlfn.XLOOKUP(tbl_encuesta[[#This Row],[Considero a Limtek como un buen lugar para trabajar]],#REF!,#REF!)</f>
        <v>#REF!</v>
      </c>
      <c r="Z907" t="s">
        <v>215</v>
      </c>
      <c r="AA907" t="s">
        <v>2287</v>
      </c>
      <c r="AB907" t="s">
        <v>559</v>
      </c>
      <c r="AC907" s="3" t="s">
        <v>3794</v>
      </c>
      <c r="AD907" s="3" t="s">
        <v>3794</v>
      </c>
      <c r="AE907" t="s">
        <v>29</v>
      </c>
    </row>
    <row r="908" spans="1:31" x14ac:dyDescent="0.25">
      <c r="A908">
        <v>119026930866</v>
      </c>
      <c r="B908">
        <v>462598545</v>
      </c>
      <c r="C908" s="1">
        <v>46017.932800925926</v>
      </c>
      <c r="D908" s="1">
        <v>46017.938993055555</v>
      </c>
      <c r="E908" t="s">
        <v>2288</v>
      </c>
      <c r="F908" t="s">
        <v>43</v>
      </c>
      <c r="G908" t="e">
        <f>+_xlfn.XLOOKUP(tbl_encuesta[[#This Row],[Me siento a gusto con el ambiente de trabajo que se genera en mi equipo.]],#REF!,#REF!)</f>
        <v>#REF!</v>
      </c>
      <c r="H908" t="s">
        <v>23</v>
      </c>
      <c r="I908" t="e">
        <f>+_xlfn.XLOOKUP(tbl_encuesta[[#This Row],[Me siento motivado a dar lo mejor de mí y hacer un buen trabajo]],#REF!,#REF!)</f>
        <v>#REF!</v>
      </c>
      <c r="J908" t="s">
        <v>22</v>
      </c>
      <c r="K908" t="e">
        <f>+_xlfn.XLOOKUP(tbl_encuesta[[#This Row],[Mi supervisor o jefe directo me otorga el soporte que necesito para afrontar cualquier problema que afecte mi trabajo]],#REF!,#REF!)</f>
        <v>#REF!</v>
      </c>
      <c r="L908" t="s">
        <v>22</v>
      </c>
      <c r="M908" t="e">
        <f>+_xlfn.XLOOKUP(tbl_encuesta[[#This Row],[Mi supervisor o jefe directo fomenta que nos apoyemos entre todos en el equipo]],#REF!,#REF!)</f>
        <v>#REF!</v>
      </c>
      <c r="N908" t="s">
        <v>22</v>
      </c>
      <c r="O908" t="e">
        <f>+_xlfn.XLOOKUP(tbl_encuesta[[#This Row],[Siento que mi trabajo es reconocido por mi supervisor o jefe directo.]],#REF!,#REF!)</f>
        <v>#REF!</v>
      </c>
      <c r="P908" t="s">
        <v>67</v>
      </c>
      <c r="Q908" t="e">
        <f xml:space="preserve">
_xlfn.XLOOKUP(
tbl_encuesta[[#This Row],[Mi supervisor o jefe directo nos brinda charlas de 5 minutos y comunica las novedades relevantes a mi puesto de trabajo]],#REF!,#REF!
)</f>
        <v>#REF!</v>
      </c>
      <c r="V908" t="s">
        <v>2289</v>
      </c>
      <c r="W908" t="s">
        <v>25</v>
      </c>
      <c r="X908" t="s">
        <v>23</v>
      </c>
      <c r="Y908" t="e">
        <f>+_xlfn.XLOOKUP(tbl_encuesta[[#This Row],[Considero a Limtek como un buen lugar para trabajar]],#REF!,#REF!)</f>
        <v>#REF!</v>
      </c>
      <c r="Z908" t="s">
        <v>388</v>
      </c>
      <c r="AA908" t="s">
        <v>2290</v>
      </c>
      <c r="AB908" t="s">
        <v>559</v>
      </c>
      <c r="AC908" s="3" t="s">
        <v>3794</v>
      </c>
      <c r="AD908" s="3" t="s">
        <v>3794</v>
      </c>
      <c r="AE908" t="s">
        <v>34</v>
      </c>
    </row>
    <row r="909" spans="1:31" x14ac:dyDescent="0.25">
      <c r="A909">
        <v>119026927047</v>
      </c>
      <c r="B909">
        <v>462598545</v>
      </c>
      <c r="C909" s="1">
        <v>46017.917118055557</v>
      </c>
      <c r="D909" s="1">
        <v>46017.925381944442</v>
      </c>
      <c r="E909" t="s">
        <v>2291</v>
      </c>
      <c r="F909" t="s">
        <v>22</v>
      </c>
      <c r="G909" t="e">
        <f>+_xlfn.XLOOKUP(tbl_encuesta[[#This Row],[Me siento a gusto con el ambiente de trabajo que se genera en mi equipo.]],#REF!,#REF!)</f>
        <v>#REF!</v>
      </c>
      <c r="H909" t="s">
        <v>23</v>
      </c>
      <c r="I909" t="e">
        <f>+_xlfn.XLOOKUP(tbl_encuesta[[#This Row],[Me siento motivado a dar lo mejor de mí y hacer un buen trabajo]],#REF!,#REF!)</f>
        <v>#REF!</v>
      </c>
      <c r="J909" t="s">
        <v>23</v>
      </c>
      <c r="K909" t="e">
        <f>+_xlfn.XLOOKUP(tbl_encuesta[[#This Row],[Mi supervisor o jefe directo me otorga el soporte que necesito para afrontar cualquier problema que afecte mi trabajo]],#REF!,#REF!)</f>
        <v>#REF!</v>
      </c>
      <c r="L909" t="s">
        <v>23</v>
      </c>
      <c r="M909" t="e">
        <f>+_xlfn.XLOOKUP(tbl_encuesta[[#This Row],[Mi supervisor o jefe directo fomenta que nos apoyemos entre todos en el equipo]],#REF!,#REF!)</f>
        <v>#REF!</v>
      </c>
      <c r="N909" t="s">
        <v>22</v>
      </c>
      <c r="O909" t="e">
        <f>+_xlfn.XLOOKUP(tbl_encuesta[[#This Row],[Siento que mi trabajo es reconocido por mi supervisor o jefe directo.]],#REF!,#REF!)</f>
        <v>#REF!</v>
      </c>
      <c r="P909" t="s">
        <v>31</v>
      </c>
      <c r="Q909" t="e">
        <f xml:space="preserve">
_xlfn.XLOOKUP(
tbl_encuesta[[#This Row],[Mi supervisor o jefe directo nos brinda charlas de 5 minutos y comunica las novedades relevantes a mi puesto de trabajo]],#REF!,#REF!
)</f>
        <v>#REF!</v>
      </c>
      <c r="R909" t="s">
        <v>17</v>
      </c>
      <c r="T909" t="s">
        <v>19</v>
      </c>
      <c r="W909" t="s">
        <v>25</v>
      </c>
      <c r="X909" t="s">
        <v>23</v>
      </c>
      <c r="Y909" t="e">
        <f>+_xlfn.XLOOKUP(tbl_encuesta[[#This Row],[Considero a Limtek como un buen lugar para trabajar]],#REF!,#REF!)</f>
        <v>#REF!</v>
      </c>
      <c r="Z909" t="s">
        <v>2292</v>
      </c>
      <c r="AA909" t="s">
        <v>2293</v>
      </c>
      <c r="AB909" t="s">
        <v>563</v>
      </c>
      <c r="AC909" s="3" t="s">
        <v>3831</v>
      </c>
      <c r="AD909" s="3" t="s">
        <v>3831</v>
      </c>
      <c r="AE909" t="s">
        <v>69</v>
      </c>
    </row>
    <row r="910" spans="1:31" x14ac:dyDescent="0.25">
      <c r="A910">
        <v>119026926634</v>
      </c>
      <c r="B910">
        <v>462598545</v>
      </c>
      <c r="C910" s="1">
        <v>46017.917094907411</v>
      </c>
      <c r="D910" s="1">
        <v>46017.923877314817</v>
      </c>
      <c r="E910" t="s">
        <v>2294</v>
      </c>
      <c r="F910" t="s">
        <v>23</v>
      </c>
      <c r="G910" t="e">
        <f>+_xlfn.XLOOKUP(tbl_encuesta[[#This Row],[Me siento a gusto con el ambiente de trabajo que se genera en mi equipo.]],#REF!,#REF!)</f>
        <v>#REF!</v>
      </c>
      <c r="H910" t="s">
        <v>23</v>
      </c>
      <c r="I910" t="e">
        <f>+_xlfn.XLOOKUP(tbl_encuesta[[#This Row],[Me siento motivado a dar lo mejor de mí y hacer un buen trabajo]],#REF!,#REF!)</f>
        <v>#REF!</v>
      </c>
      <c r="J910" t="s">
        <v>23</v>
      </c>
      <c r="K910" t="e">
        <f>+_xlfn.XLOOKUP(tbl_encuesta[[#This Row],[Mi supervisor o jefe directo me otorga el soporte que necesito para afrontar cualquier problema que afecte mi trabajo]],#REF!,#REF!)</f>
        <v>#REF!</v>
      </c>
      <c r="L910" t="s">
        <v>23</v>
      </c>
      <c r="M910" t="e">
        <f>+_xlfn.XLOOKUP(tbl_encuesta[[#This Row],[Mi supervisor o jefe directo fomenta que nos apoyemos entre todos en el equipo]],#REF!,#REF!)</f>
        <v>#REF!</v>
      </c>
      <c r="N910" t="s">
        <v>23</v>
      </c>
      <c r="O910" t="e">
        <f>+_xlfn.XLOOKUP(tbl_encuesta[[#This Row],[Siento que mi trabajo es reconocido por mi supervisor o jefe directo.]],#REF!,#REF!)</f>
        <v>#REF!</v>
      </c>
      <c r="P910" t="s">
        <v>31</v>
      </c>
      <c r="Q910" t="e">
        <f xml:space="preserve">
_xlfn.XLOOKUP(
tbl_encuesta[[#This Row],[Mi supervisor o jefe directo nos brinda charlas de 5 minutos y comunica las novedades relevantes a mi puesto de trabajo]],#REF!,#REF!
)</f>
        <v>#REF!</v>
      </c>
      <c r="R910" t="s">
        <v>17</v>
      </c>
      <c r="T910" t="s">
        <v>19</v>
      </c>
      <c r="W910" t="s">
        <v>25</v>
      </c>
      <c r="X910" t="s">
        <v>23</v>
      </c>
      <c r="Y910" t="e">
        <f>+_xlfn.XLOOKUP(tbl_encuesta[[#This Row],[Considero a Limtek como un buen lugar para trabajar]],#REF!,#REF!)</f>
        <v>#REF!</v>
      </c>
      <c r="Z910" t="s">
        <v>2295</v>
      </c>
      <c r="AA910" t="s">
        <v>2296</v>
      </c>
      <c r="AB910" t="s">
        <v>28</v>
      </c>
      <c r="AC910" s="3" t="s">
        <v>3592</v>
      </c>
      <c r="AD910" s="3" t="s">
        <v>3835</v>
      </c>
      <c r="AE910" t="s">
        <v>69</v>
      </c>
    </row>
    <row r="911" spans="1:31" x14ac:dyDescent="0.25">
      <c r="A911">
        <v>119026926097</v>
      </c>
      <c r="B911">
        <v>462598545</v>
      </c>
      <c r="C911" s="1">
        <v>46017.917071759257</v>
      </c>
      <c r="D911" s="1">
        <v>46017.921979166669</v>
      </c>
      <c r="E911" t="s">
        <v>2297</v>
      </c>
      <c r="F911" t="s">
        <v>23</v>
      </c>
      <c r="G911" t="e">
        <f>+_xlfn.XLOOKUP(tbl_encuesta[[#This Row],[Me siento a gusto con el ambiente de trabajo que se genera en mi equipo.]],#REF!,#REF!)</f>
        <v>#REF!</v>
      </c>
      <c r="H911" t="s">
        <v>23</v>
      </c>
      <c r="I911" t="e">
        <f>+_xlfn.XLOOKUP(tbl_encuesta[[#This Row],[Me siento motivado a dar lo mejor de mí y hacer un buen trabajo]],#REF!,#REF!)</f>
        <v>#REF!</v>
      </c>
      <c r="J911" t="s">
        <v>23</v>
      </c>
      <c r="K911" t="e">
        <f>+_xlfn.XLOOKUP(tbl_encuesta[[#This Row],[Mi supervisor o jefe directo me otorga el soporte que necesito para afrontar cualquier problema que afecte mi trabajo]],#REF!,#REF!)</f>
        <v>#REF!</v>
      </c>
      <c r="L911" t="s">
        <v>23</v>
      </c>
      <c r="M911" t="e">
        <f>+_xlfn.XLOOKUP(tbl_encuesta[[#This Row],[Mi supervisor o jefe directo fomenta que nos apoyemos entre todos en el equipo]],#REF!,#REF!)</f>
        <v>#REF!</v>
      </c>
      <c r="N911" t="s">
        <v>23</v>
      </c>
      <c r="O911" t="e">
        <f>+_xlfn.XLOOKUP(tbl_encuesta[[#This Row],[Siento que mi trabajo es reconocido por mi supervisor o jefe directo.]],#REF!,#REF!)</f>
        <v>#REF!</v>
      </c>
      <c r="P911" t="s">
        <v>31</v>
      </c>
      <c r="Q911" t="e">
        <f xml:space="preserve">
_xlfn.XLOOKUP(
tbl_encuesta[[#This Row],[Mi supervisor o jefe directo nos brinda charlas de 5 minutos y comunica las novedades relevantes a mi puesto de trabajo]],#REF!,#REF!
)</f>
        <v>#REF!</v>
      </c>
      <c r="R911" t="s">
        <v>17</v>
      </c>
      <c r="W911" t="s">
        <v>25</v>
      </c>
      <c r="X911" t="s">
        <v>23</v>
      </c>
      <c r="Y911" t="e">
        <f>+_xlfn.XLOOKUP(tbl_encuesta[[#This Row],[Considero a Limtek como un buen lugar para trabajar]],#REF!,#REF!)</f>
        <v>#REF!</v>
      </c>
      <c r="Z911" t="s">
        <v>2298</v>
      </c>
      <c r="AA911" t="s">
        <v>527</v>
      </c>
      <c r="AB911" t="s">
        <v>38</v>
      </c>
      <c r="AC911" s="3" t="s">
        <v>3592</v>
      </c>
      <c r="AD911" s="3" t="s">
        <v>3592</v>
      </c>
      <c r="AE911" t="s">
        <v>69</v>
      </c>
    </row>
    <row r="912" spans="1:31" x14ac:dyDescent="0.25">
      <c r="A912">
        <v>119026921624</v>
      </c>
      <c r="B912">
        <v>462598545</v>
      </c>
      <c r="C912" s="1">
        <v>46017.902372685188</v>
      </c>
      <c r="D912" s="1">
        <v>46017.906990740739</v>
      </c>
      <c r="E912" t="s">
        <v>2299</v>
      </c>
      <c r="F912" t="s">
        <v>23</v>
      </c>
      <c r="G912" t="e">
        <f>+_xlfn.XLOOKUP(tbl_encuesta[[#This Row],[Me siento a gusto con el ambiente de trabajo que se genera en mi equipo.]],#REF!,#REF!)</f>
        <v>#REF!</v>
      </c>
      <c r="H912" t="s">
        <v>23</v>
      </c>
      <c r="I912" t="e">
        <f>+_xlfn.XLOOKUP(tbl_encuesta[[#This Row],[Me siento motivado a dar lo mejor de mí y hacer un buen trabajo]],#REF!,#REF!)</f>
        <v>#REF!</v>
      </c>
      <c r="J912" t="s">
        <v>23</v>
      </c>
      <c r="K912" t="e">
        <f>+_xlfn.XLOOKUP(tbl_encuesta[[#This Row],[Mi supervisor o jefe directo me otorga el soporte que necesito para afrontar cualquier problema que afecte mi trabajo]],#REF!,#REF!)</f>
        <v>#REF!</v>
      </c>
      <c r="L912" t="s">
        <v>23</v>
      </c>
      <c r="M912" t="e">
        <f>+_xlfn.XLOOKUP(tbl_encuesta[[#This Row],[Mi supervisor o jefe directo fomenta que nos apoyemos entre todos en el equipo]],#REF!,#REF!)</f>
        <v>#REF!</v>
      </c>
      <c r="N912" t="s">
        <v>23</v>
      </c>
      <c r="O912" t="e">
        <f>+_xlfn.XLOOKUP(tbl_encuesta[[#This Row],[Siento que mi trabajo es reconocido por mi supervisor o jefe directo.]],#REF!,#REF!)</f>
        <v>#REF!</v>
      </c>
      <c r="P912" t="s">
        <v>31</v>
      </c>
      <c r="Q912" t="e">
        <f xml:space="preserve">
_xlfn.XLOOKUP(
tbl_encuesta[[#This Row],[Mi supervisor o jefe directo nos brinda charlas de 5 minutos y comunica las novedades relevantes a mi puesto de trabajo]],#REF!,#REF!
)</f>
        <v>#REF!</v>
      </c>
      <c r="R912" t="s">
        <v>17</v>
      </c>
      <c r="T912" t="s">
        <v>19</v>
      </c>
      <c r="W912" t="s">
        <v>25</v>
      </c>
      <c r="X912" t="s">
        <v>23</v>
      </c>
      <c r="Y912" t="e">
        <f>+_xlfn.XLOOKUP(tbl_encuesta[[#This Row],[Considero a Limtek como un buen lugar para trabajar]],#REF!,#REF!)</f>
        <v>#REF!</v>
      </c>
      <c r="Z912" t="s">
        <v>2300</v>
      </c>
      <c r="AA912" t="s">
        <v>2301</v>
      </c>
      <c r="AB912" t="s">
        <v>28</v>
      </c>
      <c r="AC912" t="s">
        <v>3592</v>
      </c>
      <c r="AD912" t="s">
        <v>2302</v>
      </c>
      <c r="AE912" t="s">
        <v>69</v>
      </c>
    </row>
    <row r="913" spans="1:31" x14ac:dyDescent="0.25">
      <c r="A913">
        <v>119026919520</v>
      </c>
      <c r="B913">
        <v>462598545</v>
      </c>
      <c r="C913" s="1">
        <v>46017.890023148146</v>
      </c>
      <c r="D913" s="1">
        <v>46017.899884259263</v>
      </c>
      <c r="E913" t="s">
        <v>2303</v>
      </c>
      <c r="F913" t="s">
        <v>22</v>
      </c>
      <c r="G913" t="e">
        <f>+_xlfn.XLOOKUP(tbl_encuesta[[#This Row],[Me siento a gusto con el ambiente de trabajo que se genera en mi equipo.]],#REF!,#REF!)</f>
        <v>#REF!</v>
      </c>
      <c r="H913" t="s">
        <v>23</v>
      </c>
      <c r="I913" t="e">
        <f>+_xlfn.XLOOKUP(tbl_encuesta[[#This Row],[Me siento motivado a dar lo mejor de mí y hacer un buen trabajo]],#REF!,#REF!)</f>
        <v>#REF!</v>
      </c>
      <c r="J913" t="s">
        <v>22</v>
      </c>
      <c r="K913" t="e">
        <f>+_xlfn.XLOOKUP(tbl_encuesta[[#This Row],[Mi supervisor o jefe directo me otorga el soporte que necesito para afrontar cualquier problema que afecte mi trabajo]],#REF!,#REF!)</f>
        <v>#REF!</v>
      </c>
      <c r="L913" t="s">
        <v>22</v>
      </c>
      <c r="M913" t="e">
        <f>+_xlfn.XLOOKUP(tbl_encuesta[[#This Row],[Mi supervisor o jefe directo fomenta que nos apoyemos entre todos en el equipo]],#REF!,#REF!)</f>
        <v>#REF!</v>
      </c>
      <c r="N913" t="s">
        <v>22</v>
      </c>
      <c r="O913" t="e">
        <f>+_xlfn.XLOOKUP(tbl_encuesta[[#This Row],[Siento que mi trabajo es reconocido por mi supervisor o jefe directo.]],#REF!,#REF!)</f>
        <v>#REF!</v>
      </c>
      <c r="P913" t="s">
        <v>67</v>
      </c>
      <c r="Q913" t="e">
        <f xml:space="preserve">
_xlfn.XLOOKUP(
tbl_encuesta[[#This Row],[Mi supervisor o jefe directo nos brinda charlas de 5 minutos y comunica las novedades relevantes a mi puesto de trabajo]],#REF!,#REF!
)</f>
        <v>#REF!</v>
      </c>
      <c r="R913" t="s">
        <v>17</v>
      </c>
      <c r="W913" t="s">
        <v>25</v>
      </c>
      <c r="X913" t="s">
        <v>22</v>
      </c>
      <c r="Y913" t="e">
        <f>+_xlfn.XLOOKUP(tbl_encuesta[[#This Row],[Considero a Limtek como un buen lugar para trabajar]],#REF!,#REF!)</f>
        <v>#REF!</v>
      </c>
      <c r="Z913" t="s">
        <v>2304</v>
      </c>
      <c r="AA913" t="s">
        <v>2305</v>
      </c>
      <c r="AB913" t="s">
        <v>559</v>
      </c>
      <c r="AC913" t="s">
        <v>3744</v>
      </c>
      <c r="AD913" t="s">
        <v>3744</v>
      </c>
      <c r="AE913" t="s">
        <v>29</v>
      </c>
    </row>
    <row r="914" spans="1:31" x14ac:dyDescent="0.25">
      <c r="A914">
        <v>119026919207</v>
      </c>
      <c r="B914">
        <v>462598545</v>
      </c>
      <c r="C914" s="1">
        <v>46017.888483796298</v>
      </c>
      <c r="D914" s="1">
        <v>46017.89875</v>
      </c>
      <c r="E914" t="s">
        <v>2299</v>
      </c>
      <c r="F914" t="s">
        <v>23</v>
      </c>
      <c r="G914" t="e">
        <f>+_xlfn.XLOOKUP(tbl_encuesta[[#This Row],[Me siento a gusto con el ambiente de trabajo que se genera en mi equipo.]],#REF!,#REF!)</f>
        <v>#REF!</v>
      </c>
      <c r="H914" t="s">
        <v>23</v>
      </c>
      <c r="I914" t="e">
        <f>+_xlfn.XLOOKUP(tbl_encuesta[[#This Row],[Me siento motivado a dar lo mejor de mí y hacer un buen trabajo]],#REF!,#REF!)</f>
        <v>#REF!</v>
      </c>
      <c r="J914" t="s">
        <v>23</v>
      </c>
      <c r="K914" t="e">
        <f>+_xlfn.XLOOKUP(tbl_encuesta[[#This Row],[Mi supervisor o jefe directo me otorga el soporte que necesito para afrontar cualquier problema que afecte mi trabajo]],#REF!,#REF!)</f>
        <v>#REF!</v>
      </c>
      <c r="L914" t="s">
        <v>23</v>
      </c>
      <c r="M914" t="e">
        <f>+_xlfn.XLOOKUP(tbl_encuesta[[#This Row],[Mi supervisor o jefe directo fomenta que nos apoyemos entre todos en el equipo]],#REF!,#REF!)</f>
        <v>#REF!</v>
      </c>
      <c r="N914" t="s">
        <v>23</v>
      </c>
      <c r="O914" t="e">
        <f>+_xlfn.XLOOKUP(tbl_encuesta[[#This Row],[Siento que mi trabajo es reconocido por mi supervisor o jefe directo.]],#REF!,#REF!)</f>
        <v>#REF!</v>
      </c>
      <c r="P914" t="s">
        <v>31</v>
      </c>
      <c r="Q914" t="e">
        <f xml:space="preserve">
_xlfn.XLOOKUP(
tbl_encuesta[[#This Row],[Mi supervisor o jefe directo nos brinda charlas de 5 minutos y comunica las novedades relevantes a mi puesto de trabajo]],#REF!,#REF!
)</f>
        <v>#REF!</v>
      </c>
      <c r="R914" t="s">
        <v>17</v>
      </c>
      <c r="U914" t="s">
        <v>20</v>
      </c>
      <c r="W914" t="s">
        <v>25</v>
      </c>
      <c r="X914" t="s">
        <v>23</v>
      </c>
      <c r="Y914" t="e">
        <f>+_xlfn.XLOOKUP(tbl_encuesta[[#This Row],[Considero a Limtek como un buen lugar para trabajar]],#REF!,#REF!)</f>
        <v>#REF!</v>
      </c>
      <c r="Z914" t="s">
        <v>2306</v>
      </c>
      <c r="AA914" t="s">
        <v>2307</v>
      </c>
      <c r="AB914" t="s">
        <v>28</v>
      </c>
      <c r="AC914" t="s">
        <v>3592</v>
      </c>
      <c r="AD914" t="s">
        <v>2302</v>
      </c>
      <c r="AE914" t="s">
        <v>69</v>
      </c>
    </row>
    <row r="915" spans="1:31" x14ac:dyDescent="0.25">
      <c r="A915">
        <v>119026915390</v>
      </c>
      <c r="B915">
        <v>462598545</v>
      </c>
      <c r="C915" s="1">
        <v>46017.880972222221</v>
      </c>
      <c r="D915" s="1">
        <v>46017.88622685185</v>
      </c>
      <c r="E915" t="s">
        <v>2308</v>
      </c>
      <c r="F915" t="s">
        <v>22</v>
      </c>
      <c r="G915" t="e">
        <f>+_xlfn.XLOOKUP(tbl_encuesta[[#This Row],[Me siento a gusto con el ambiente de trabajo que se genera en mi equipo.]],#REF!,#REF!)</f>
        <v>#REF!</v>
      </c>
      <c r="H915" t="s">
        <v>23</v>
      </c>
      <c r="I915" t="e">
        <f>+_xlfn.XLOOKUP(tbl_encuesta[[#This Row],[Me siento motivado a dar lo mejor de mí y hacer un buen trabajo]],#REF!,#REF!)</f>
        <v>#REF!</v>
      </c>
      <c r="J915" t="s">
        <v>22</v>
      </c>
      <c r="K915" t="e">
        <f>+_xlfn.XLOOKUP(tbl_encuesta[[#This Row],[Mi supervisor o jefe directo me otorga el soporte que necesito para afrontar cualquier problema que afecte mi trabajo]],#REF!,#REF!)</f>
        <v>#REF!</v>
      </c>
      <c r="L915" t="s">
        <v>23</v>
      </c>
      <c r="M915" t="e">
        <f>+_xlfn.XLOOKUP(tbl_encuesta[[#This Row],[Mi supervisor o jefe directo fomenta que nos apoyemos entre todos en el equipo]],#REF!,#REF!)</f>
        <v>#REF!</v>
      </c>
      <c r="N915" t="s">
        <v>23</v>
      </c>
      <c r="O915" t="e">
        <f>+_xlfn.XLOOKUP(tbl_encuesta[[#This Row],[Siento que mi trabajo es reconocido por mi supervisor o jefe directo.]],#REF!,#REF!)</f>
        <v>#REF!</v>
      </c>
      <c r="P915" t="s">
        <v>31</v>
      </c>
      <c r="Q915" t="e">
        <f xml:space="preserve">
_xlfn.XLOOKUP(
tbl_encuesta[[#This Row],[Mi supervisor o jefe directo nos brinda charlas de 5 minutos y comunica las novedades relevantes a mi puesto de trabajo]],#REF!,#REF!
)</f>
        <v>#REF!</v>
      </c>
      <c r="R915" t="s">
        <v>17</v>
      </c>
      <c r="W915" t="s">
        <v>25</v>
      </c>
      <c r="X915" t="s">
        <v>23</v>
      </c>
      <c r="Y915" t="e">
        <f>+_xlfn.XLOOKUP(tbl_encuesta[[#This Row],[Considero a Limtek como un buen lugar para trabajar]],#REF!,#REF!)</f>
        <v>#REF!</v>
      </c>
      <c r="Z915" t="s">
        <v>2309</v>
      </c>
      <c r="AA915" t="s">
        <v>2310</v>
      </c>
      <c r="AB915" t="s">
        <v>28</v>
      </c>
      <c r="AC915" s="3" t="s">
        <v>3714</v>
      </c>
      <c r="AD915" s="3" t="s">
        <v>3714</v>
      </c>
      <c r="AE915" t="s">
        <v>34</v>
      </c>
    </row>
    <row r="916" spans="1:31" x14ac:dyDescent="0.25">
      <c r="A916">
        <v>119026903770</v>
      </c>
      <c r="B916">
        <v>462598545</v>
      </c>
      <c r="C916" s="1">
        <v>46017.842870370368</v>
      </c>
      <c r="D916" s="1">
        <v>46017.849918981483</v>
      </c>
      <c r="E916" t="s">
        <v>2311</v>
      </c>
      <c r="F916" t="s">
        <v>23</v>
      </c>
      <c r="G916" t="e">
        <f>+_xlfn.XLOOKUP(tbl_encuesta[[#This Row],[Me siento a gusto con el ambiente de trabajo que se genera en mi equipo.]],#REF!,#REF!)</f>
        <v>#REF!</v>
      </c>
      <c r="H916" t="s">
        <v>23</v>
      </c>
      <c r="I916" t="e">
        <f>+_xlfn.XLOOKUP(tbl_encuesta[[#This Row],[Me siento motivado a dar lo mejor de mí y hacer un buen trabajo]],#REF!,#REF!)</f>
        <v>#REF!</v>
      </c>
      <c r="J916" t="s">
        <v>22</v>
      </c>
      <c r="K916" t="e">
        <f>+_xlfn.XLOOKUP(tbl_encuesta[[#This Row],[Mi supervisor o jefe directo me otorga el soporte que necesito para afrontar cualquier problema que afecte mi trabajo]],#REF!,#REF!)</f>
        <v>#REF!</v>
      </c>
      <c r="L916" t="s">
        <v>23</v>
      </c>
      <c r="M916" t="e">
        <f>+_xlfn.XLOOKUP(tbl_encuesta[[#This Row],[Mi supervisor o jefe directo fomenta que nos apoyemos entre todos en el equipo]],#REF!,#REF!)</f>
        <v>#REF!</v>
      </c>
      <c r="N916" t="s">
        <v>23</v>
      </c>
      <c r="O916" t="e">
        <f>+_xlfn.XLOOKUP(tbl_encuesta[[#This Row],[Siento que mi trabajo es reconocido por mi supervisor o jefe directo.]],#REF!,#REF!)</f>
        <v>#REF!</v>
      </c>
      <c r="P916" t="s">
        <v>67</v>
      </c>
      <c r="Q916" t="e">
        <f xml:space="preserve">
_xlfn.XLOOKUP(
tbl_encuesta[[#This Row],[Mi supervisor o jefe directo nos brinda charlas de 5 minutos y comunica las novedades relevantes a mi puesto de trabajo]],#REF!,#REF!
)</f>
        <v>#REF!</v>
      </c>
      <c r="R916" t="s">
        <v>17</v>
      </c>
      <c r="S916" t="s">
        <v>18</v>
      </c>
      <c r="W916" t="s">
        <v>25</v>
      </c>
      <c r="X916" t="s">
        <v>23</v>
      </c>
      <c r="Y916" t="e">
        <f>+_xlfn.XLOOKUP(tbl_encuesta[[#This Row],[Considero a Limtek como un buen lugar para trabajar]],#REF!,#REF!)</f>
        <v>#REF!</v>
      </c>
      <c r="Z916" t="s">
        <v>2312</v>
      </c>
      <c r="AA916" t="s">
        <v>2313</v>
      </c>
      <c r="AB916" t="s">
        <v>28</v>
      </c>
      <c r="AC916" s="3" t="s">
        <v>3854</v>
      </c>
      <c r="AD916" s="3" t="s">
        <v>3855</v>
      </c>
      <c r="AE916" t="s">
        <v>34</v>
      </c>
    </row>
    <row r="917" spans="1:31" x14ac:dyDescent="0.25">
      <c r="A917">
        <v>119026896896</v>
      </c>
      <c r="B917">
        <v>462598545</v>
      </c>
      <c r="C917" s="1">
        <v>46017.823171296295</v>
      </c>
      <c r="D917" s="1">
        <v>46017.829236111109</v>
      </c>
      <c r="E917" t="s">
        <v>2314</v>
      </c>
      <c r="F917" t="s">
        <v>23</v>
      </c>
      <c r="G917" t="e">
        <f>+_xlfn.XLOOKUP(tbl_encuesta[[#This Row],[Me siento a gusto con el ambiente de trabajo que se genera en mi equipo.]],#REF!,#REF!)</f>
        <v>#REF!</v>
      </c>
      <c r="H917" t="s">
        <v>23</v>
      </c>
      <c r="I917" t="e">
        <f>+_xlfn.XLOOKUP(tbl_encuesta[[#This Row],[Me siento motivado a dar lo mejor de mí y hacer un buen trabajo]],#REF!,#REF!)</f>
        <v>#REF!</v>
      </c>
      <c r="J917" t="s">
        <v>23</v>
      </c>
      <c r="K917" t="e">
        <f>+_xlfn.XLOOKUP(tbl_encuesta[[#This Row],[Mi supervisor o jefe directo me otorga el soporte que necesito para afrontar cualquier problema que afecte mi trabajo]],#REF!,#REF!)</f>
        <v>#REF!</v>
      </c>
      <c r="L917" t="s">
        <v>23</v>
      </c>
      <c r="M917" t="e">
        <f>+_xlfn.XLOOKUP(tbl_encuesta[[#This Row],[Mi supervisor o jefe directo fomenta que nos apoyemos entre todos en el equipo]],#REF!,#REF!)</f>
        <v>#REF!</v>
      </c>
      <c r="N917" t="s">
        <v>23</v>
      </c>
      <c r="O917" t="e">
        <f>+_xlfn.XLOOKUP(tbl_encuesta[[#This Row],[Siento que mi trabajo es reconocido por mi supervisor o jefe directo.]],#REF!,#REF!)</f>
        <v>#REF!</v>
      </c>
      <c r="P917" t="s">
        <v>31</v>
      </c>
      <c r="Q917" t="e">
        <f xml:space="preserve">
_xlfn.XLOOKUP(
tbl_encuesta[[#This Row],[Mi supervisor o jefe directo nos brinda charlas de 5 minutos y comunica las novedades relevantes a mi puesto de trabajo]],#REF!,#REF!
)</f>
        <v>#REF!</v>
      </c>
      <c r="R917" t="s">
        <v>17</v>
      </c>
      <c r="S917" t="s">
        <v>18</v>
      </c>
      <c r="W917" t="s">
        <v>25</v>
      </c>
      <c r="X917" t="s">
        <v>23</v>
      </c>
      <c r="Y917" t="e">
        <f>+_xlfn.XLOOKUP(tbl_encuesta[[#This Row],[Considero a Limtek como un buen lugar para trabajar]],#REF!,#REF!)</f>
        <v>#REF!</v>
      </c>
      <c r="Z917" t="s">
        <v>2315</v>
      </c>
      <c r="AA917" t="s">
        <v>2316</v>
      </c>
      <c r="AB917" t="s">
        <v>72</v>
      </c>
      <c r="AC917" s="3" t="s">
        <v>3842</v>
      </c>
      <c r="AD917" s="3" t="s">
        <v>3842</v>
      </c>
      <c r="AE917" t="s">
        <v>55</v>
      </c>
    </row>
    <row r="918" spans="1:31" x14ac:dyDescent="0.25">
      <c r="A918">
        <v>119026883248</v>
      </c>
      <c r="B918">
        <v>462598545</v>
      </c>
      <c r="C918" s="1">
        <v>46017.788425925923</v>
      </c>
      <c r="D918" s="1">
        <v>46017.792881944442</v>
      </c>
      <c r="E918" t="s">
        <v>2317</v>
      </c>
      <c r="F918" t="s">
        <v>23</v>
      </c>
      <c r="G918" t="e">
        <f>+_xlfn.XLOOKUP(tbl_encuesta[[#This Row],[Me siento a gusto con el ambiente de trabajo que se genera en mi equipo.]],#REF!,#REF!)</f>
        <v>#REF!</v>
      </c>
      <c r="H918" t="s">
        <v>23</v>
      </c>
      <c r="I918" t="e">
        <f>+_xlfn.XLOOKUP(tbl_encuesta[[#This Row],[Me siento motivado a dar lo mejor de mí y hacer un buen trabajo]],#REF!,#REF!)</f>
        <v>#REF!</v>
      </c>
      <c r="J918" t="s">
        <v>23</v>
      </c>
      <c r="K918" t="e">
        <f>+_xlfn.XLOOKUP(tbl_encuesta[[#This Row],[Mi supervisor o jefe directo me otorga el soporte que necesito para afrontar cualquier problema que afecte mi trabajo]],#REF!,#REF!)</f>
        <v>#REF!</v>
      </c>
      <c r="L918" t="s">
        <v>23</v>
      </c>
      <c r="M918" t="e">
        <f>+_xlfn.XLOOKUP(tbl_encuesta[[#This Row],[Mi supervisor o jefe directo fomenta que nos apoyemos entre todos en el equipo]],#REF!,#REF!)</f>
        <v>#REF!</v>
      </c>
      <c r="N918" t="s">
        <v>22</v>
      </c>
      <c r="O918" t="e">
        <f>+_xlfn.XLOOKUP(tbl_encuesta[[#This Row],[Siento que mi trabajo es reconocido por mi supervisor o jefe directo.]],#REF!,#REF!)</f>
        <v>#REF!</v>
      </c>
      <c r="P918" t="s">
        <v>31</v>
      </c>
      <c r="Q918" t="e">
        <f xml:space="preserve">
_xlfn.XLOOKUP(
tbl_encuesta[[#This Row],[Mi supervisor o jefe directo nos brinda charlas de 5 minutos y comunica las novedades relevantes a mi puesto de trabajo]],#REF!,#REF!
)</f>
        <v>#REF!</v>
      </c>
      <c r="R918" t="s">
        <v>17</v>
      </c>
      <c r="T918" t="s">
        <v>19</v>
      </c>
      <c r="W918" t="s">
        <v>25</v>
      </c>
      <c r="X918" t="s">
        <v>23</v>
      </c>
      <c r="Y918" t="e">
        <f>+_xlfn.XLOOKUP(tbl_encuesta[[#This Row],[Considero a Limtek como un buen lugar para trabajar]],#REF!,#REF!)</f>
        <v>#REF!</v>
      </c>
      <c r="Z918" t="s">
        <v>2318</v>
      </c>
      <c r="AA918" t="s">
        <v>2319</v>
      </c>
      <c r="AB918" t="s">
        <v>559</v>
      </c>
      <c r="AC918" t="s">
        <v>3744</v>
      </c>
      <c r="AD918" t="s">
        <v>3744</v>
      </c>
      <c r="AE918" t="s">
        <v>29</v>
      </c>
    </row>
    <row r="919" spans="1:31" x14ac:dyDescent="0.25">
      <c r="A919">
        <v>119026882737</v>
      </c>
      <c r="B919">
        <v>462598545</v>
      </c>
      <c r="C919" s="1">
        <v>46017.787476851852</v>
      </c>
      <c r="D919" s="1">
        <v>46017.791597222225</v>
      </c>
      <c r="E919" t="s">
        <v>2320</v>
      </c>
      <c r="F919" t="s">
        <v>22</v>
      </c>
      <c r="G919" t="e">
        <f>+_xlfn.XLOOKUP(tbl_encuesta[[#This Row],[Me siento a gusto con el ambiente de trabajo que se genera en mi equipo.]],#REF!,#REF!)</f>
        <v>#REF!</v>
      </c>
      <c r="H919" t="s">
        <v>23</v>
      </c>
      <c r="I919" t="e">
        <f>+_xlfn.XLOOKUP(tbl_encuesta[[#This Row],[Me siento motivado a dar lo mejor de mí y hacer un buen trabajo]],#REF!,#REF!)</f>
        <v>#REF!</v>
      </c>
      <c r="J919" t="s">
        <v>23</v>
      </c>
      <c r="K919" t="e">
        <f>+_xlfn.XLOOKUP(tbl_encuesta[[#This Row],[Mi supervisor o jefe directo me otorga el soporte que necesito para afrontar cualquier problema que afecte mi trabajo]],#REF!,#REF!)</f>
        <v>#REF!</v>
      </c>
      <c r="L919" t="s">
        <v>22</v>
      </c>
      <c r="M919" t="e">
        <f>+_xlfn.XLOOKUP(tbl_encuesta[[#This Row],[Mi supervisor o jefe directo fomenta que nos apoyemos entre todos en el equipo]],#REF!,#REF!)</f>
        <v>#REF!</v>
      </c>
      <c r="N919" t="s">
        <v>22</v>
      </c>
      <c r="O919" t="e">
        <f>+_xlfn.XLOOKUP(tbl_encuesta[[#This Row],[Siento que mi trabajo es reconocido por mi supervisor o jefe directo.]],#REF!,#REF!)</f>
        <v>#REF!</v>
      </c>
      <c r="P919" t="s">
        <v>67</v>
      </c>
      <c r="Q919" t="e">
        <f xml:space="preserve">
_xlfn.XLOOKUP(
tbl_encuesta[[#This Row],[Mi supervisor o jefe directo nos brinda charlas de 5 minutos y comunica las novedades relevantes a mi puesto de trabajo]],#REF!,#REF!
)</f>
        <v>#REF!</v>
      </c>
      <c r="R919" t="s">
        <v>17</v>
      </c>
      <c r="U919" t="s">
        <v>20</v>
      </c>
      <c r="W919" t="s">
        <v>25</v>
      </c>
      <c r="X919" t="s">
        <v>22</v>
      </c>
      <c r="Y919" t="e">
        <f>+_xlfn.XLOOKUP(tbl_encuesta[[#This Row],[Considero a Limtek como un buen lugar para trabajar]],#REF!,#REF!)</f>
        <v>#REF!</v>
      </c>
      <c r="Z919" t="s">
        <v>2321</v>
      </c>
      <c r="AA919" t="s">
        <v>2322</v>
      </c>
      <c r="AB919" t="s">
        <v>72</v>
      </c>
      <c r="AC919" s="3" t="s">
        <v>3842</v>
      </c>
      <c r="AD919" s="3" t="s">
        <v>3843</v>
      </c>
      <c r="AE919" t="s">
        <v>61</v>
      </c>
    </row>
    <row r="920" spans="1:31" x14ac:dyDescent="0.25">
      <c r="A920">
        <v>119026879070</v>
      </c>
      <c r="B920">
        <v>462598545</v>
      </c>
      <c r="C920" s="1">
        <v>46017.777175925927</v>
      </c>
      <c r="D920" s="1">
        <v>46017.780868055554</v>
      </c>
      <c r="E920" t="s">
        <v>2323</v>
      </c>
      <c r="F920" t="s">
        <v>23</v>
      </c>
      <c r="G920" t="e">
        <f>+_xlfn.XLOOKUP(tbl_encuesta[[#This Row],[Me siento a gusto con el ambiente de trabajo que se genera en mi equipo.]],#REF!,#REF!)</f>
        <v>#REF!</v>
      </c>
      <c r="H920" t="s">
        <v>23</v>
      </c>
      <c r="I920" t="e">
        <f>+_xlfn.XLOOKUP(tbl_encuesta[[#This Row],[Me siento motivado a dar lo mejor de mí y hacer un buen trabajo]],#REF!,#REF!)</f>
        <v>#REF!</v>
      </c>
      <c r="J920" t="s">
        <v>23</v>
      </c>
      <c r="K920" t="e">
        <f>+_xlfn.XLOOKUP(tbl_encuesta[[#This Row],[Mi supervisor o jefe directo me otorga el soporte que necesito para afrontar cualquier problema que afecte mi trabajo]],#REF!,#REF!)</f>
        <v>#REF!</v>
      </c>
      <c r="L920" t="s">
        <v>23</v>
      </c>
      <c r="M920" t="e">
        <f>+_xlfn.XLOOKUP(tbl_encuesta[[#This Row],[Mi supervisor o jefe directo fomenta que nos apoyemos entre todos en el equipo]],#REF!,#REF!)</f>
        <v>#REF!</v>
      </c>
      <c r="N920" t="s">
        <v>23</v>
      </c>
      <c r="O920" t="e">
        <f>+_xlfn.XLOOKUP(tbl_encuesta[[#This Row],[Siento que mi trabajo es reconocido por mi supervisor o jefe directo.]],#REF!,#REF!)</f>
        <v>#REF!</v>
      </c>
      <c r="P920" t="s">
        <v>31</v>
      </c>
      <c r="Q920" t="e">
        <f xml:space="preserve">
_xlfn.XLOOKUP(
tbl_encuesta[[#This Row],[Mi supervisor o jefe directo nos brinda charlas de 5 minutos y comunica las novedades relevantes a mi puesto de trabajo]],#REF!,#REF!
)</f>
        <v>#REF!</v>
      </c>
      <c r="R920" t="s">
        <v>17</v>
      </c>
      <c r="T920" t="s">
        <v>19</v>
      </c>
      <c r="W920" t="s">
        <v>25</v>
      </c>
      <c r="X920" t="s">
        <v>23</v>
      </c>
      <c r="Y920" t="e">
        <f>+_xlfn.XLOOKUP(tbl_encuesta[[#This Row],[Considero a Limtek como un buen lugar para trabajar]],#REF!,#REF!)</f>
        <v>#REF!</v>
      </c>
      <c r="Z920" t="s">
        <v>2324</v>
      </c>
      <c r="AA920" t="s">
        <v>2325</v>
      </c>
      <c r="AB920" t="s">
        <v>72</v>
      </c>
      <c r="AC920" s="3" t="s">
        <v>3845</v>
      </c>
      <c r="AD920" s="3" t="s">
        <v>3846</v>
      </c>
      <c r="AE920" t="s">
        <v>34</v>
      </c>
    </row>
    <row r="921" spans="1:31" x14ac:dyDescent="0.25">
      <c r="A921">
        <v>119026875233</v>
      </c>
      <c r="B921">
        <v>462598545</v>
      </c>
      <c r="C921" s="1">
        <v>46017.765775462962</v>
      </c>
      <c r="D921" s="1">
        <v>46017.770011574074</v>
      </c>
      <c r="E921" t="s">
        <v>2326</v>
      </c>
      <c r="F921" t="s">
        <v>23</v>
      </c>
      <c r="G921" t="e">
        <f>+_xlfn.XLOOKUP(tbl_encuesta[[#This Row],[Me siento a gusto con el ambiente de trabajo que se genera en mi equipo.]],#REF!,#REF!)</f>
        <v>#REF!</v>
      </c>
      <c r="H921" t="s">
        <v>23</v>
      </c>
      <c r="I921" t="e">
        <f>+_xlfn.XLOOKUP(tbl_encuesta[[#This Row],[Me siento motivado a dar lo mejor de mí y hacer un buen trabajo]],#REF!,#REF!)</f>
        <v>#REF!</v>
      </c>
      <c r="J921" t="s">
        <v>23</v>
      </c>
      <c r="K921" t="e">
        <f>+_xlfn.XLOOKUP(tbl_encuesta[[#This Row],[Mi supervisor o jefe directo me otorga el soporte que necesito para afrontar cualquier problema que afecte mi trabajo]],#REF!,#REF!)</f>
        <v>#REF!</v>
      </c>
      <c r="L921" t="s">
        <v>23</v>
      </c>
      <c r="M921" t="e">
        <f>+_xlfn.XLOOKUP(tbl_encuesta[[#This Row],[Mi supervisor o jefe directo fomenta que nos apoyemos entre todos en el equipo]],#REF!,#REF!)</f>
        <v>#REF!</v>
      </c>
      <c r="N921" t="s">
        <v>23</v>
      </c>
      <c r="O921" t="e">
        <f>+_xlfn.XLOOKUP(tbl_encuesta[[#This Row],[Siento que mi trabajo es reconocido por mi supervisor o jefe directo.]],#REF!,#REF!)</f>
        <v>#REF!</v>
      </c>
      <c r="P921" t="s">
        <v>31</v>
      </c>
      <c r="Q921" t="e">
        <f xml:space="preserve">
_xlfn.XLOOKUP(
tbl_encuesta[[#This Row],[Mi supervisor o jefe directo nos brinda charlas de 5 minutos y comunica las novedades relevantes a mi puesto de trabajo]],#REF!,#REF!
)</f>
        <v>#REF!</v>
      </c>
      <c r="R921" t="s">
        <v>17</v>
      </c>
      <c r="S921" t="s">
        <v>18</v>
      </c>
      <c r="W921" t="s">
        <v>25</v>
      </c>
      <c r="X921" t="s">
        <v>23</v>
      </c>
      <c r="Y921" t="e">
        <f>+_xlfn.XLOOKUP(tbl_encuesta[[#This Row],[Considero a Limtek como un buen lugar para trabajar]],#REF!,#REF!)</f>
        <v>#REF!</v>
      </c>
      <c r="Z921" t="s">
        <v>2327</v>
      </c>
      <c r="AA921" t="s">
        <v>2328</v>
      </c>
      <c r="AB921" t="s">
        <v>28</v>
      </c>
      <c r="AC921" s="3" t="s">
        <v>3598</v>
      </c>
      <c r="AD921" s="3" t="s">
        <v>3605</v>
      </c>
      <c r="AE921" t="s">
        <v>29</v>
      </c>
    </row>
    <row r="922" spans="1:31" x14ac:dyDescent="0.25">
      <c r="A922">
        <v>119026871355</v>
      </c>
      <c r="B922">
        <v>462598545</v>
      </c>
      <c r="C922" s="1">
        <v>46017.756921296299</v>
      </c>
      <c r="D922" s="1">
        <v>46017.759398148148</v>
      </c>
      <c r="E922" t="s">
        <v>2326</v>
      </c>
      <c r="F922" t="s">
        <v>22</v>
      </c>
      <c r="G922" t="e">
        <f>+_xlfn.XLOOKUP(tbl_encuesta[[#This Row],[Me siento a gusto con el ambiente de trabajo que se genera en mi equipo.]],#REF!,#REF!)</f>
        <v>#REF!</v>
      </c>
      <c r="H922" t="s">
        <v>97</v>
      </c>
      <c r="I922" t="e">
        <f>+_xlfn.XLOOKUP(tbl_encuesta[[#This Row],[Me siento motivado a dar lo mejor de mí y hacer un buen trabajo]],#REF!,#REF!)</f>
        <v>#REF!</v>
      </c>
      <c r="J922" t="s">
        <v>22</v>
      </c>
      <c r="K922" t="e">
        <f>+_xlfn.XLOOKUP(tbl_encuesta[[#This Row],[Mi supervisor o jefe directo me otorga el soporte que necesito para afrontar cualquier problema que afecte mi trabajo]],#REF!,#REF!)</f>
        <v>#REF!</v>
      </c>
      <c r="L922" t="s">
        <v>22</v>
      </c>
      <c r="M922" t="e">
        <f>+_xlfn.XLOOKUP(tbl_encuesta[[#This Row],[Mi supervisor o jefe directo fomenta que nos apoyemos entre todos en el equipo]],#REF!,#REF!)</f>
        <v>#REF!</v>
      </c>
      <c r="N922" t="s">
        <v>97</v>
      </c>
      <c r="O922" t="e">
        <f>+_xlfn.XLOOKUP(tbl_encuesta[[#This Row],[Siento que mi trabajo es reconocido por mi supervisor o jefe directo.]],#REF!,#REF!)</f>
        <v>#REF!</v>
      </c>
      <c r="P922" t="s">
        <v>67</v>
      </c>
      <c r="Q922" t="e">
        <f xml:space="preserve">
_xlfn.XLOOKUP(
tbl_encuesta[[#This Row],[Mi supervisor o jefe directo nos brinda charlas de 5 minutos y comunica las novedades relevantes a mi puesto de trabajo]],#REF!,#REF!
)</f>
        <v>#REF!</v>
      </c>
      <c r="R922" t="s">
        <v>17</v>
      </c>
      <c r="T922" t="s">
        <v>19</v>
      </c>
      <c r="W922" t="s">
        <v>25</v>
      </c>
      <c r="X922" t="s">
        <v>22</v>
      </c>
      <c r="Y922" t="e">
        <f>+_xlfn.XLOOKUP(tbl_encuesta[[#This Row],[Considero a Limtek como un buen lugar para trabajar]],#REF!,#REF!)</f>
        <v>#REF!</v>
      </c>
      <c r="Z922" t="s">
        <v>2329</v>
      </c>
      <c r="AA922" t="s">
        <v>2330</v>
      </c>
      <c r="AB922" t="s">
        <v>28</v>
      </c>
      <c r="AC922" t="s">
        <v>3598</v>
      </c>
      <c r="AD922" s="3" t="s">
        <v>3605</v>
      </c>
      <c r="AE922" t="s">
        <v>29</v>
      </c>
    </row>
    <row r="923" spans="1:31" x14ac:dyDescent="0.25">
      <c r="A923">
        <v>119026865450</v>
      </c>
      <c r="B923">
        <v>462598545</v>
      </c>
      <c r="C923" s="1">
        <v>46017.741099537037</v>
      </c>
      <c r="D923" s="1">
        <v>46017.743993055556</v>
      </c>
      <c r="E923" t="s">
        <v>2331</v>
      </c>
      <c r="F923" t="s">
        <v>23</v>
      </c>
      <c r="G923" t="e">
        <f>+_xlfn.XLOOKUP(tbl_encuesta[[#This Row],[Me siento a gusto con el ambiente de trabajo que se genera en mi equipo.]],#REF!,#REF!)</f>
        <v>#REF!</v>
      </c>
      <c r="H923" t="s">
        <v>23</v>
      </c>
      <c r="I923" t="e">
        <f>+_xlfn.XLOOKUP(tbl_encuesta[[#This Row],[Me siento motivado a dar lo mejor de mí y hacer un buen trabajo]],#REF!,#REF!)</f>
        <v>#REF!</v>
      </c>
      <c r="J923" t="s">
        <v>23</v>
      </c>
      <c r="K923" t="e">
        <f>+_xlfn.XLOOKUP(tbl_encuesta[[#This Row],[Mi supervisor o jefe directo me otorga el soporte que necesito para afrontar cualquier problema que afecte mi trabajo]],#REF!,#REF!)</f>
        <v>#REF!</v>
      </c>
      <c r="L923" t="s">
        <v>23</v>
      </c>
      <c r="M923" t="e">
        <f>+_xlfn.XLOOKUP(tbl_encuesta[[#This Row],[Mi supervisor o jefe directo fomenta que nos apoyemos entre todos en el equipo]],#REF!,#REF!)</f>
        <v>#REF!</v>
      </c>
      <c r="N923" t="s">
        <v>23</v>
      </c>
      <c r="O923" t="e">
        <f>+_xlfn.XLOOKUP(tbl_encuesta[[#This Row],[Siento que mi trabajo es reconocido por mi supervisor o jefe directo.]],#REF!,#REF!)</f>
        <v>#REF!</v>
      </c>
      <c r="P923" t="s">
        <v>31</v>
      </c>
      <c r="Q923" t="e">
        <f xml:space="preserve">
_xlfn.XLOOKUP(
tbl_encuesta[[#This Row],[Mi supervisor o jefe directo nos brinda charlas de 5 minutos y comunica las novedades relevantes a mi puesto de trabajo]],#REF!,#REF!
)</f>
        <v>#REF!</v>
      </c>
      <c r="R923" t="s">
        <v>17</v>
      </c>
      <c r="W923" t="s">
        <v>25</v>
      </c>
      <c r="X923" t="s">
        <v>23</v>
      </c>
      <c r="Y923" t="e">
        <f>+_xlfn.XLOOKUP(tbl_encuesta[[#This Row],[Considero a Limtek como un buen lugar para trabajar]],#REF!,#REF!)</f>
        <v>#REF!</v>
      </c>
      <c r="Z923" t="s">
        <v>2332</v>
      </c>
      <c r="AA923" t="s">
        <v>2333</v>
      </c>
      <c r="AB923" t="s">
        <v>28</v>
      </c>
      <c r="AC923" s="3" t="s">
        <v>3736</v>
      </c>
      <c r="AD923" s="3" t="s">
        <v>3740</v>
      </c>
      <c r="AE923" t="s">
        <v>29</v>
      </c>
    </row>
    <row r="924" spans="1:31" x14ac:dyDescent="0.25">
      <c r="A924">
        <v>119026855964</v>
      </c>
      <c r="B924">
        <v>462598545</v>
      </c>
      <c r="C924" s="1">
        <v>46017.708379629628</v>
      </c>
      <c r="D924" s="1">
        <v>46017.719166666669</v>
      </c>
      <c r="E924" t="s">
        <v>2334</v>
      </c>
      <c r="F924" t="s">
        <v>23</v>
      </c>
      <c r="G924" t="e">
        <f>+_xlfn.XLOOKUP(tbl_encuesta[[#This Row],[Me siento a gusto con el ambiente de trabajo que se genera en mi equipo.]],#REF!,#REF!)</f>
        <v>#REF!</v>
      </c>
      <c r="H924" t="s">
        <v>23</v>
      </c>
      <c r="I924" t="e">
        <f>+_xlfn.XLOOKUP(tbl_encuesta[[#This Row],[Me siento motivado a dar lo mejor de mí y hacer un buen trabajo]],#REF!,#REF!)</f>
        <v>#REF!</v>
      </c>
      <c r="J924" t="s">
        <v>23</v>
      </c>
      <c r="K924" t="e">
        <f>+_xlfn.XLOOKUP(tbl_encuesta[[#This Row],[Mi supervisor o jefe directo me otorga el soporte que necesito para afrontar cualquier problema que afecte mi trabajo]],#REF!,#REF!)</f>
        <v>#REF!</v>
      </c>
      <c r="L924" t="s">
        <v>23</v>
      </c>
      <c r="M924" t="e">
        <f>+_xlfn.XLOOKUP(tbl_encuesta[[#This Row],[Mi supervisor o jefe directo fomenta que nos apoyemos entre todos en el equipo]],#REF!,#REF!)</f>
        <v>#REF!</v>
      </c>
      <c r="N924" t="s">
        <v>23</v>
      </c>
      <c r="O924" t="e">
        <f>+_xlfn.XLOOKUP(tbl_encuesta[[#This Row],[Siento que mi trabajo es reconocido por mi supervisor o jefe directo.]],#REF!,#REF!)</f>
        <v>#REF!</v>
      </c>
      <c r="P924" t="s">
        <v>31</v>
      </c>
      <c r="Q924" t="e">
        <f xml:space="preserve">
_xlfn.XLOOKUP(
tbl_encuesta[[#This Row],[Mi supervisor o jefe directo nos brinda charlas de 5 minutos y comunica las novedades relevantes a mi puesto de trabajo]],#REF!,#REF!
)</f>
        <v>#REF!</v>
      </c>
      <c r="R924" t="s">
        <v>17</v>
      </c>
      <c r="S924" t="s">
        <v>18</v>
      </c>
      <c r="W924" t="s">
        <v>25</v>
      </c>
      <c r="X924" t="s">
        <v>23</v>
      </c>
      <c r="Y924" t="e">
        <f>+_xlfn.XLOOKUP(tbl_encuesta[[#This Row],[Considero a Limtek como un buen lugar para trabajar]],#REF!,#REF!)</f>
        <v>#REF!</v>
      </c>
      <c r="Z924" t="s">
        <v>2335</v>
      </c>
      <c r="AA924" t="s">
        <v>2336</v>
      </c>
      <c r="AB924" t="s">
        <v>559</v>
      </c>
      <c r="AC924" s="3" t="s">
        <v>3714</v>
      </c>
      <c r="AD924" s="3" t="s">
        <v>3714</v>
      </c>
      <c r="AE924" t="s">
        <v>69</v>
      </c>
    </row>
    <row r="925" spans="1:31" x14ac:dyDescent="0.25">
      <c r="A925">
        <v>119026855926</v>
      </c>
      <c r="B925">
        <v>462598545</v>
      </c>
      <c r="C925" s="1">
        <v>46017.714525462965</v>
      </c>
      <c r="D925" s="1">
        <v>46017.7190625</v>
      </c>
      <c r="E925" t="s">
        <v>2337</v>
      </c>
      <c r="F925" t="s">
        <v>23</v>
      </c>
      <c r="G925" t="e">
        <f>+_xlfn.XLOOKUP(tbl_encuesta[[#This Row],[Me siento a gusto con el ambiente de trabajo que se genera en mi equipo.]],#REF!,#REF!)</f>
        <v>#REF!</v>
      </c>
      <c r="H925" t="s">
        <v>23</v>
      </c>
      <c r="I925" t="e">
        <f>+_xlfn.XLOOKUP(tbl_encuesta[[#This Row],[Me siento motivado a dar lo mejor de mí y hacer un buen trabajo]],#REF!,#REF!)</f>
        <v>#REF!</v>
      </c>
      <c r="J925" t="s">
        <v>23</v>
      </c>
      <c r="K925" t="e">
        <f>+_xlfn.XLOOKUP(tbl_encuesta[[#This Row],[Mi supervisor o jefe directo me otorga el soporte que necesito para afrontar cualquier problema que afecte mi trabajo]],#REF!,#REF!)</f>
        <v>#REF!</v>
      </c>
      <c r="L925" t="s">
        <v>23</v>
      </c>
      <c r="M925" t="e">
        <f>+_xlfn.XLOOKUP(tbl_encuesta[[#This Row],[Mi supervisor o jefe directo fomenta que nos apoyemos entre todos en el equipo]],#REF!,#REF!)</f>
        <v>#REF!</v>
      </c>
      <c r="N925" t="s">
        <v>23</v>
      </c>
      <c r="O925" t="e">
        <f>+_xlfn.XLOOKUP(tbl_encuesta[[#This Row],[Siento que mi trabajo es reconocido por mi supervisor o jefe directo.]],#REF!,#REF!)</f>
        <v>#REF!</v>
      </c>
      <c r="P925" t="s">
        <v>31</v>
      </c>
      <c r="Q925" t="e">
        <f xml:space="preserve">
_xlfn.XLOOKUP(
tbl_encuesta[[#This Row],[Mi supervisor o jefe directo nos brinda charlas de 5 minutos y comunica las novedades relevantes a mi puesto de trabajo]],#REF!,#REF!
)</f>
        <v>#REF!</v>
      </c>
      <c r="R925" t="s">
        <v>17</v>
      </c>
      <c r="W925" t="s">
        <v>25</v>
      </c>
      <c r="X925" t="s">
        <v>23</v>
      </c>
      <c r="Y925" t="e">
        <f>+_xlfn.XLOOKUP(tbl_encuesta[[#This Row],[Considero a Limtek como un buen lugar para trabajar]],#REF!,#REF!)</f>
        <v>#REF!</v>
      </c>
      <c r="Z925" t="s">
        <v>576</v>
      </c>
      <c r="AA925" t="s">
        <v>2338</v>
      </c>
      <c r="AB925" t="s">
        <v>28</v>
      </c>
      <c r="AC925" t="s">
        <v>3744</v>
      </c>
      <c r="AD925" t="s">
        <v>3744</v>
      </c>
      <c r="AE925" t="s">
        <v>69</v>
      </c>
    </row>
    <row r="926" spans="1:31" x14ac:dyDescent="0.25">
      <c r="A926">
        <v>119026855603</v>
      </c>
      <c r="B926">
        <v>462598545</v>
      </c>
      <c r="C926" s="1">
        <v>46017.7028125</v>
      </c>
      <c r="D926" s="1">
        <v>46017.718217592592</v>
      </c>
      <c r="E926" t="s">
        <v>2339</v>
      </c>
      <c r="F926" t="s">
        <v>23</v>
      </c>
      <c r="G926" t="e">
        <f>+_xlfn.XLOOKUP(tbl_encuesta[[#This Row],[Me siento a gusto con el ambiente de trabajo que se genera en mi equipo.]],#REF!,#REF!)</f>
        <v>#REF!</v>
      </c>
      <c r="H926" t="s">
        <v>23</v>
      </c>
      <c r="I926" t="e">
        <f>+_xlfn.XLOOKUP(tbl_encuesta[[#This Row],[Me siento motivado a dar lo mejor de mí y hacer un buen trabajo]],#REF!,#REF!)</f>
        <v>#REF!</v>
      </c>
      <c r="J926" t="s">
        <v>23</v>
      </c>
      <c r="K926" t="e">
        <f>+_xlfn.XLOOKUP(tbl_encuesta[[#This Row],[Mi supervisor o jefe directo me otorga el soporte que necesito para afrontar cualquier problema que afecte mi trabajo]],#REF!,#REF!)</f>
        <v>#REF!</v>
      </c>
      <c r="L926" t="s">
        <v>22</v>
      </c>
      <c r="M926" t="e">
        <f>+_xlfn.XLOOKUP(tbl_encuesta[[#This Row],[Mi supervisor o jefe directo fomenta que nos apoyemos entre todos en el equipo]],#REF!,#REF!)</f>
        <v>#REF!</v>
      </c>
      <c r="N926" t="s">
        <v>23</v>
      </c>
      <c r="O926" t="e">
        <f>+_xlfn.XLOOKUP(tbl_encuesta[[#This Row],[Siento que mi trabajo es reconocido por mi supervisor o jefe directo.]],#REF!,#REF!)</f>
        <v>#REF!</v>
      </c>
      <c r="P926" t="s">
        <v>31</v>
      </c>
      <c r="Q926" t="e">
        <f xml:space="preserve">
_xlfn.XLOOKUP(
tbl_encuesta[[#This Row],[Mi supervisor o jefe directo nos brinda charlas de 5 minutos y comunica las novedades relevantes a mi puesto de trabajo]],#REF!,#REF!
)</f>
        <v>#REF!</v>
      </c>
      <c r="R926" t="s">
        <v>17</v>
      </c>
      <c r="W926" t="s">
        <v>25</v>
      </c>
      <c r="X926" t="s">
        <v>23</v>
      </c>
      <c r="Y926" t="e">
        <f>+_xlfn.XLOOKUP(tbl_encuesta[[#This Row],[Considero a Limtek como un buen lugar para trabajar]],#REF!,#REF!)</f>
        <v>#REF!</v>
      </c>
      <c r="Z926" t="s">
        <v>2340</v>
      </c>
      <c r="AA926" t="s">
        <v>2341</v>
      </c>
      <c r="AB926" t="s">
        <v>28</v>
      </c>
      <c r="AC926" t="s">
        <v>3592</v>
      </c>
      <c r="AD926" t="s">
        <v>2342</v>
      </c>
      <c r="AE926" t="s">
        <v>69</v>
      </c>
    </row>
    <row r="927" spans="1:31" x14ac:dyDescent="0.25">
      <c r="A927">
        <v>119026855179</v>
      </c>
      <c r="B927">
        <v>462598545</v>
      </c>
      <c r="C927" s="1">
        <v>46017.710555555554</v>
      </c>
      <c r="D927" s="1">
        <v>46017.717187499999</v>
      </c>
      <c r="E927" t="s">
        <v>2343</v>
      </c>
      <c r="F927" t="s">
        <v>97</v>
      </c>
      <c r="G927" t="e">
        <f>+_xlfn.XLOOKUP(tbl_encuesta[[#This Row],[Me siento a gusto con el ambiente de trabajo que se genera en mi equipo.]],#REF!,#REF!)</f>
        <v>#REF!</v>
      </c>
      <c r="H927" t="s">
        <v>23</v>
      </c>
      <c r="I927" t="e">
        <f>+_xlfn.XLOOKUP(tbl_encuesta[[#This Row],[Me siento motivado a dar lo mejor de mí y hacer un buen trabajo]],#REF!,#REF!)</f>
        <v>#REF!</v>
      </c>
      <c r="J927" t="s">
        <v>22</v>
      </c>
      <c r="K927" t="e">
        <f>+_xlfn.XLOOKUP(tbl_encuesta[[#This Row],[Mi supervisor o jefe directo me otorga el soporte que necesito para afrontar cualquier problema que afecte mi trabajo]],#REF!,#REF!)</f>
        <v>#REF!</v>
      </c>
      <c r="L927" t="s">
        <v>23</v>
      </c>
      <c r="M927" t="e">
        <f>+_xlfn.XLOOKUP(tbl_encuesta[[#This Row],[Mi supervisor o jefe directo fomenta que nos apoyemos entre todos en el equipo]],#REF!,#REF!)</f>
        <v>#REF!</v>
      </c>
      <c r="N927" t="s">
        <v>97</v>
      </c>
      <c r="O927" t="e">
        <f>+_xlfn.XLOOKUP(tbl_encuesta[[#This Row],[Siento que mi trabajo es reconocido por mi supervisor o jefe directo.]],#REF!,#REF!)</f>
        <v>#REF!</v>
      </c>
      <c r="P927" t="s">
        <v>31</v>
      </c>
      <c r="Q927" t="e">
        <f xml:space="preserve">
_xlfn.XLOOKUP(
tbl_encuesta[[#This Row],[Mi supervisor o jefe directo nos brinda charlas de 5 minutos y comunica las novedades relevantes a mi puesto de trabajo]],#REF!,#REF!
)</f>
        <v>#REF!</v>
      </c>
      <c r="R927" t="s">
        <v>17</v>
      </c>
      <c r="U927" t="s">
        <v>20</v>
      </c>
      <c r="W927" t="s">
        <v>25</v>
      </c>
      <c r="X927" t="s">
        <v>23</v>
      </c>
      <c r="Y927" t="e">
        <f>+_xlfn.XLOOKUP(tbl_encuesta[[#This Row],[Considero a Limtek como un buen lugar para trabajar]],#REF!,#REF!)</f>
        <v>#REF!</v>
      </c>
      <c r="Z927" t="s">
        <v>2344</v>
      </c>
      <c r="AA927" t="s">
        <v>944</v>
      </c>
      <c r="AB927" t="s">
        <v>28</v>
      </c>
      <c r="AC927" s="3" t="s">
        <v>3769</v>
      </c>
      <c r="AD927" s="3" t="s">
        <v>3773</v>
      </c>
      <c r="AE927" t="s">
        <v>69</v>
      </c>
    </row>
    <row r="928" spans="1:31" x14ac:dyDescent="0.25">
      <c r="A928">
        <v>119026851893</v>
      </c>
      <c r="B928">
        <v>462598545</v>
      </c>
      <c r="C928" s="1">
        <v>46017.705451388887</v>
      </c>
      <c r="D928" s="1">
        <v>46017.708912037036</v>
      </c>
      <c r="E928" t="s">
        <v>2345</v>
      </c>
      <c r="F928" t="s">
        <v>23</v>
      </c>
      <c r="G928" t="e">
        <f>+_xlfn.XLOOKUP(tbl_encuesta[[#This Row],[Me siento a gusto con el ambiente de trabajo que se genera en mi equipo.]],#REF!,#REF!)</f>
        <v>#REF!</v>
      </c>
      <c r="H928" t="s">
        <v>23</v>
      </c>
      <c r="I928" t="e">
        <f>+_xlfn.XLOOKUP(tbl_encuesta[[#This Row],[Me siento motivado a dar lo mejor de mí y hacer un buen trabajo]],#REF!,#REF!)</f>
        <v>#REF!</v>
      </c>
      <c r="J928" t="s">
        <v>23</v>
      </c>
      <c r="K928" t="e">
        <f>+_xlfn.XLOOKUP(tbl_encuesta[[#This Row],[Mi supervisor o jefe directo me otorga el soporte que necesito para afrontar cualquier problema que afecte mi trabajo]],#REF!,#REF!)</f>
        <v>#REF!</v>
      </c>
      <c r="L928" t="s">
        <v>23</v>
      </c>
      <c r="M928" t="e">
        <f>+_xlfn.XLOOKUP(tbl_encuesta[[#This Row],[Mi supervisor o jefe directo fomenta que nos apoyemos entre todos en el equipo]],#REF!,#REF!)</f>
        <v>#REF!</v>
      </c>
      <c r="N928" t="s">
        <v>23</v>
      </c>
      <c r="O928" t="e">
        <f>+_xlfn.XLOOKUP(tbl_encuesta[[#This Row],[Siento que mi trabajo es reconocido por mi supervisor o jefe directo.]],#REF!,#REF!)</f>
        <v>#REF!</v>
      </c>
      <c r="P928" t="s">
        <v>67</v>
      </c>
      <c r="Q928" t="e">
        <f xml:space="preserve">
_xlfn.XLOOKUP(
tbl_encuesta[[#This Row],[Mi supervisor o jefe directo nos brinda charlas de 5 minutos y comunica las novedades relevantes a mi puesto de trabajo]],#REF!,#REF!
)</f>
        <v>#REF!</v>
      </c>
      <c r="R928" t="s">
        <v>17</v>
      </c>
      <c r="T928" t="s">
        <v>19</v>
      </c>
      <c r="W928" t="s">
        <v>25</v>
      </c>
      <c r="X928" t="s">
        <v>23</v>
      </c>
      <c r="Y928" t="e">
        <f>+_xlfn.XLOOKUP(tbl_encuesta[[#This Row],[Considero a Limtek como un buen lugar para trabajar]],#REF!,#REF!)</f>
        <v>#REF!</v>
      </c>
      <c r="Z928" t="s">
        <v>2346</v>
      </c>
      <c r="AA928" t="s">
        <v>2347</v>
      </c>
      <c r="AB928" t="s">
        <v>28</v>
      </c>
      <c r="AC928" s="3" t="s">
        <v>3598</v>
      </c>
      <c r="AD928" s="3" t="s">
        <v>3605</v>
      </c>
      <c r="AE928" t="s">
        <v>34</v>
      </c>
    </row>
    <row r="929" spans="1:31" x14ac:dyDescent="0.25">
      <c r="A929">
        <v>119026843137</v>
      </c>
      <c r="B929">
        <v>462598545</v>
      </c>
      <c r="C929" s="1">
        <v>46017.685393518521</v>
      </c>
      <c r="D929" s="1">
        <v>46017.688807870371</v>
      </c>
      <c r="E929" t="s">
        <v>2348</v>
      </c>
      <c r="F929" t="s">
        <v>23</v>
      </c>
      <c r="G929" t="e">
        <f>+_xlfn.XLOOKUP(tbl_encuesta[[#This Row],[Me siento a gusto con el ambiente de trabajo que se genera en mi equipo.]],#REF!,#REF!)</f>
        <v>#REF!</v>
      </c>
      <c r="H929" t="s">
        <v>23</v>
      </c>
      <c r="I929" t="e">
        <f>+_xlfn.XLOOKUP(tbl_encuesta[[#This Row],[Me siento motivado a dar lo mejor de mí y hacer un buen trabajo]],#REF!,#REF!)</f>
        <v>#REF!</v>
      </c>
      <c r="J929" t="s">
        <v>43</v>
      </c>
      <c r="K929" t="e">
        <f>+_xlfn.XLOOKUP(tbl_encuesta[[#This Row],[Mi supervisor o jefe directo me otorga el soporte que necesito para afrontar cualquier problema que afecte mi trabajo]],#REF!,#REF!)</f>
        <v>#REF!</v>
      </c>
      <c r="L929" t="s">
        <v>43</v>
      </c>
      <c r="M929" t="e">
        <f>+_xlfn.XLOOKUP(tbl_encuesta[[#This Row],[Mi supervisor o jefe directo fomenta que nos apoyemos entre todos en el equipo]],#REF!,#REF!)</f>
        <v>#REF!</v>
      </c>
      <c r="N929" t="s">
        <v>43</v>
      </c>
      <c r="O929" t="e">
        <f>+_xlfn.XLOOKUP(tbl_encuesta[[#This Row],[Siento que mi trabajo es reconocido por mi supervisor o jefe directo.]],#REF!,#REF!)</f>
        <v>#REF!</v>
      </c>
      <c r="P929" t="s">
        <v>175</v>
      </c>
      <c r="Q929" t="e">
        <f xml:space="preserve">
_xlfn.XLOOKUP(
tbl_encuesta[[#This Row],[Mi supervisor o jefe directo nos brinda charlas de 5 minutos y comunica las novedades relevantes a mi puesto de trabajo]],#REF!,#REF!
)</f>
        <v>#REF!</v>
      </c>
      <c r="U929" t="s">
        <v>20</v>
      </c>
      <c r="W929" t="s">
        <v>46</v>
      </c>
      <c r="X929" t="s">
        <v>23</v>
      </c>
      <c r="Y929" t="e">
        <f>+_xlfn.XLOOKUP(tbl_encuesta[[#This Row],[Considero a Limtek como un buen lugar para trabajar]],#REF!,#REF!)</f>
        <v>#REF!</v>
      </c>
      <c r="Z929" t="s">
        <v>2349</v>
      </c>
      <c r="AA929" t="s">
        <v>2350</v>
      </c>
      <c r="AB929" t="s">
        <v>28</v>
      </c>
      <c r="AC929" s="3" t="s">
        <v>3783</v>
      </c>
      <c r="AD929" s="3" t="s">
        <v>3784</v>
      </c>
      <c r="AE929" t="s">
        <v>29</v>
      </c>
    </row>
    <row r="930" spans="1:31" x14ac:dyDescent="0.25">
      <c r="A930">
        <v>119026839886</v>
      </c>
      <c r="B930">
        <v>462598545</v>
      </c>
      <c r="C930" s="1">
        <v>46017.679560185185</v>
      </c>
      <c r="D930" s="1">
        <v>46017.681180555555</v>
      </c>
      <c r="E930" t="s">
        <v>2351</v>
      </c>
      <c r="F930" t="s">
        <v>43</v>
      </c>
      <c r="G930" t="e">
        <f>+_xlfn.XLOOKUP(tbl_encuesta[[#This Row],[Me siento a gusto con el ambiente de trabajo que se genera en mi equipo.]],#REF!,#REF!)</f>
        <v>#REF!</v>
      </c>
      <c r="H930" t="s">
        <v>43</v>
      </c>
      <c r="I930" t="e">
        <f>+_xlfn.XLOOKUP(tbl_encuesta[[#This Row],[Me siento motivado a dar lo mejor de mí y hacer un buen trabajo]],#REF!,#REF!)</f>
        <v>#REF!</v>
      </c>
      <c r="J930" t="s">
        <v>43</v>
      </c>
      <c r="K930" t="e">
        <f>+_xlfn.XLOOKUP(tbl_encuesta[[#This Row],[Mi supervisor o jefe directo me otorga el soporte que necesito para afrontar cualquier problema que afecte mi trabajo]],#REF!,#REF!)</f>
        <v>#REF!</v>
      </c>
      <c r="L930" t="s">
        <v>43</v>
      </c>
      <c r="M930" t="e">
        <f>+_xlfn.XLOOKUP(tbl_encuesta[[#This Row],[Mi supervisor o jefe directo fomenta que nos apoyemos entre todos en el equipo]],#REF!,#REF!)</f>
        <v>#REF!</v>
      </c>
      <c r="N930" t="s">
        <v>43</v>
      </c>
      <c r="O930" t="e">
        <f>+_xlfn.XLOOKUP(tbl_encuesta[[#This Row],[Siento que mi trabajo es reconocido por mi supervisor o jefe directo.]],#REF!,#REF!)</f>
        <v>#REF!</v>
      </c>
      <c r="P930" t="s">
        <v>175</v>
      </c>
      <c r="Q930" t="e">
        <f xml:space="preserve">
_xlfn.XLOOKUP(
tbl_encuesta[[#This Row],[Mi supervisor o jefe directo nos brinda charlas de 5 minutos y comunica las novedades relevantes a mi puesto de trabajo]],#REF!,#REF!
)</f>
        <v>#REF!</v>
      </c>
      <c r="V930" t="s">
        <v>2352</v>
      </c>
      <c r="W930" t="s">
        <v>25</v>
      </c>
      <c r="X930" t="s">
        <v>97</v>
      </c>
      <c r="Y930" t="e">
        <f>+_xlfn.XLOOKUP(tbl_encuesta[[#This Row],[Considero a Limtek como un buen lugar para trabajar]],#REF!,#REF!)</f>
        <v>#REF!</v>
      </c>
      <c r="Z930" t="s">
        <v>2353</v>
      </c>
      <c r="AA930" t="s">
        <v>2354</v>
      </c>
      <c r="AB930" t="s">
        <v>28</v>
      </c>
      <c r="AC930" s="3" t="s">
        <v>3819</v>
      </c>
      <c r="AD930" s="3" t="s">
        <v>3819</v>
      </c>
      <c r="AE930" t="s">
        <v>61</v>
      </c>
    </row>
    <row r="931" spans="1:31" x14ac:dyDescent="0.25">
      <c r="A931">
        <v>119026838187</v>
      </c>
      <c r="B931">
        <v>462598545</v>
      </c>
      <c r="C931" s="1">
        <v>46017.672361111108</v>
      </c>
      <c r="D931" s="1">
        <v>46017.676944444444</v>
      </c>
      <c r="E931" t="s">
        <v>2355</v>
      </c>
      <c r="F931" t="s">
        <v>22</v>
      </c>
      <c r="G931" t="e">
        <f>+_xlfn.XLOOKUP(tbl_encuesta[[#This Row],[Me siento a gusto con el ambiente de trabajo que se genera en mi equipo.]],#REF!,#REF!)</f>
        <v>#REF!</v>
      </c>
      <c r="H931" t="s">
        <v>23</v>
      </c>
      <c r="I931" t="e">
        <f>+_xlfn.XLOOKUP(tbl_encuesta[[#This Row],[Me siento motivado a dar lo mejor de mí y hacer un buen trabajo]],#REF!,#REF!)</f>
        <v>#REF!</v>
      </c>
      <c r="J931" t="s">
        <v>23</v>
      </c>
      <c r="K931" t="e">
        <f>+_xlfn.XLOOKUP(tbl_encuesta[[#This Row],[Mi supervisor o jefe directo me otorga el soporte que necesito para afrontar cualquier problema que afecte mi trabajo]],#REF!,#REF!)</f>
        <v>#REF!</v>
      </c>
      <c r="L931" t="s">
        <v>22</v>
      </c>
      <c r="M931" t="e">
        <f>+_xlfn.XLOOKUP(tbl_encuesta[[#This Row],[Mi supervisor o jefe directo fomenta que nos apoyemos entre todos en el equipo]],#REF!,#REF!)</f>
        <v>#REF!</v>
      </c>
      <c r="N931" t="s">
        <v>22</v>
      </c>
      <c r="O931" t="e">
        <f>+_xlfn.XLOOKUP(tbl_encuesta[[#This Row],[Siento que mi trabajo es reconocido por mi supervisor o jefe directo.]],#REF!,#REF!)</f>
        <v>#REF!</v>
      </c>
      <c r="P931" t="s">
        <v>67</v>
      </c>
      <c r="Q931" t="e">
        <f xml:space="preserve">
_xlfn.XLOOKUP(
tbl_encuesta[[#This Row],[Mi supervisor o jefe directo nos brinda charlas de 5 minutos y comunica las novedades relevantes a mi puesto de trabajo]],#REF!,#REF!
)</f>
        <v>#REF!</v>
      </c>
      <c r="R931" t="s">
        <v>17</v>
      </c>
      <c r="S931" t="s">
        <v>18</v>
      </c>
      <c r="W931" t="s">
        <v>25</v>
      </c>
      <c r="X931" t="s">
        <v>23</v>
      </c>
      <c r="Y931" t="e">
        <f>+_xlfn.XLOOKUP(tbl_encuesta[[#This Row],[Considero a Limtek como un buen lugar para trabajar]],#REF!,#REF!)</f>
        <v>#REF!</v>
      </c>
      <c r="Z931" t="s">
        <v>2356</v>
      </c>
      <c r="AA931" t="s">
        <v>2357</v>
      </c>
      <c r="AB931" t="s">
        <v>28</v>
      </c>
      <c r="AC931" s="3" t="s">
        <v>3848</v>
      </c>
      <c r="AD931" s="3" t="s">
        <v>3848</v>
      </c>
      <c r="AE931" t="s">
        <v>69</v>
      </c>
    </row>
    <row r="932" spans="1:31" x14ac:dyDescent="0.25">
      <c r="A932">
        <v>119026838015</v>
      </c>
      <c r="B932">
        <v>462598545</v>
      </c>
      <c r="C932" s="1">
        <v>46017.672256944446</v>
      </c>
      <c r="D932" s="1">
        <v>46017.676493055558</v>
      </c>
      <c r="E932" t="s">
        <v>2358</v>
      </c>
      <c r="F932" t="s">
        <v>23</v>
      </c>
      <c r="G932" t="e">
        <f>+_xlfn.XLOOKUP(tbl_encuesta[[#This Row],[Me siento a gusto con el ambiente de trabajo que se genera en mi equipo.]],#REF!,#REF!)</f>
        <v>#REF!</v>
      </c>
      <c r="H932" t="s">
        <v>23</v>
      </c>
      <c r="I932" t="e">
        <f>+_xlfn.XLOOKUP(tbl_encuesta[[#This Row],[Me siento motivado a dar lo mejor de mí y hacer un buen trabajo]],#REF!,#REF!)</f>
        <v>#REF!</v>
      </c>
      <c r="J932" t="s">
        <v>23</v>
      </c>
      <c r="K932" t="e">
        <f>+_xlfn.XLOOKUP(tbl_encuesta[[#This Row],[Mi supervisor o jefe directo me otorga el soporte que necesito para afrontar cualquier problema que afecte mi trabajo]],#REF!,#REF!)</f>
        <v>#REF!</v>
      </c>
      <c r="L932" t="s">
        <v>23</v>
      </c>
      <c r="M932" t="e">
        <f>+_xlfn.XLOOKUP(tbl_encuesta[[#This Row],[Mi supervisor o jefe directo fomenta que nos apoyemos entre todos en el equipo]],#REF!,#REF!)</f>
        <v>#REF!</v>
      </c>
      <c r="N932" t="s">
        <v>23</v>
      </c>
      <c r="O932" t="e">
        <f>+_xlfn.XLOOKUP(tbl_encuesta[[#This Row],[Siento que mi trabajo es reconocido por mi supervisor o jefe directo.]],#REF!,#REF!)</f>
        <v>#REF!</v>
      </c>
      <c r="P932" t="s">
        <v>24</v>
      </c>
      <c r="Q932" t="e">
        <f xml:space="preserve">
_xlfn.XLOOKUP(
tbl_encuesta[[#This Row],[Mi supervisor o jefe directo nos brinda charlas de 5 minutos y comunica las novedades relevantes a mi puesto de trabajo]],#REF!,#REF!
)</f>
        <v>#REF!</v>
      </c>
      <c r="R932" t="s">
        <v>17</v>
      </c>
      <c r="U932" t="s">
        <v>20</v>
      </c>
      <c r="W932" t="s">
        <v>25</v>
      </c>
      <c r="X932" t="s">
        <v>23</v>
      </c>
      <c r="Y932" t="e">
        <f>+_xlfn.XLOOKUP(tbl_encuesta[[#This Row],[Considero a Limtek como un buen lugar para trabajar]],#REF!,#REF!)</f>
        <v>#REF!</v>
      </c>
      <c r="Z932" t="s">
        <v>2359</v>
      </c>
      <c r="AA932" t="s">
        <v>2360</v>
      </c>
      <c r="AB932" t="s">
        <v>28</v>
      </c>
      <c r="AC932" s="3" t="s">
        <v>3736</v>
      </c>
      <c r="AD932" s="3" t="s">
        <v>3740</v>
      </c>
      <c r="AE932" t="s">
        <v>34</v>
      </c>
    </row>
    <row r="933" spans="1:31" x14ac:dyDescent="0.25">
      <c r="A933">
        <v>119026837115</v>
      </c>
      <c r="B933">
        <v>462598545</v>
      </c>
      <c r="C933" s="1">
        <v>46017.670393518521</v>
      </c>
      <c r="D933" s="1">
        <v>46017.674317129633</v>
      </c>
      <c r="E933" t="s">
        <v>2361</v>
      </c>
      <c r="F933" t="s">
        <v>43</v>
      </c>
      <c r="G933" t="e">
        <f>+_xlfn.XLOOKUP(tbl_encuesta[[#This Row],[Me siento a gusto con el ambiente de trabajo que se genera en mi equipo.]],#REF!,#REF!)</f>
        <v>#REF!</v>
      </c>
      <c r="H933" t="s">
        <v>23</v>
      </c>
      <c r="I933" t="e">
        <f>+_xlfn.XLOOKUP(tbl_encuesta[[#This Row],[Me siento motivado a dar lo mejor de mí y hacer un buen trabajo]],#REF!,#REF!)</f>
        <v>#REF!</v>
      </c>
      <c r="J933" t="s">
        <v>23</v>
      </c>
      <c r="K933" t="e">
        <f>+_xlfn.XLOOKUP(tbl_encuesta[[#This Row],[Mi supervisor o jefe directo me otorga el soporte que necesito para afrontar cualquier problema que afecte mi trabajo]],#REF!,#REF!)</f>
        <v>#REF!</v>
      </c>
      <c r="L933" t="s">
        <v>23</v>
      </c>
      <c r="M933" t="e">
        <f>+_xlfn.XLOOKUP(tbl_encuesta[[#This Row],[Mi supervisor o jefe directo fomenta que nos apoyemos entre todos en el equipo]],#REF!,#REF!)</f>
        <v>#REF!</v>
      </c>
      <c r="N933" t="s">
        <v>23</v>
      </c>
      <c r="O933" t="e">
        <f>+_xlfn.XLOOKUP(tbl_encuesta[[#This Row],[Siento que mi trabajo es reconocido por mi supervisor o jefe directo.]],#REF!,#REF!)</f>
        <v>#REF!</v>
      </c>
      <c r="P933" t="s">
        <v>67</v>
      </c>
      <c r="Q933" t="e">
        <f xml:space="preserve">
_xlfn.XLOOKUP(
tbl_encuesta[[#This Row],[Mi supervisor o jefe directo nos brinda charlas de 5 minutos y comunica las novedades relevantes a mi puesto de trabajo]],#REF!,#REF!
)</f>
        <v>#REF!</v>
      </c>
      <c r="R933" t="s">
        <v>17</v>
      </c>
      <c r="W933" t="s">
        <v>25</v>
      </c>
      <c r="X933" t="s">
        <v>23</v>
      </c>
      <c r="Y933" t="e">
        <f>+_xlfn.XLOOKUP(tbl_encuesta[[#This Row],[Considero a Limtek como un buen lugar para trabajar]],#REF!,#REF!)</f>
        <v>#REF!</v>
      </c>
      <c r="Z933" t="s">
        <v>2362</v>
      </c>
      <c r="AA933" t="s">
        <v>935</v>
      </c>
      <c r="AB933" t="s">
        <v>28</v>
      </c>
      <c r="AC933" s="3" t="s">
        <v>3827</v>
      </c>
      <c r="AD933" s="3" t="s">
        <v>3828</v>
      </c>
      <c r="AE933" t="s">
        <v>34</v>
      </c>
    </row>
    <row r="934" spans="1:31" x14ac:dyDescent="0.25">
      <c r="A934">
        <v>119026833760</v>
      </c>
      <c r="B934">
        <v>462598545</v>
      </c>
      <c r="C934" s="1">
        <v>46017.660474537035</v>
      </c>
      <c r="D934" s="1">
        <v>46017.665925925925</v>
      </c>
      <c r="E934" t="s">
        <v>2363</v>
      </c>
      <c r="F934" t="s">
        <v>43</v>
      </c>
      <c r="G934" t="e">
        <f>+_xlfn.XLOOKUP(tbl_encuesta[[#This Row],[Me siento a gusto con el ambiente de trabajo que se genera en mi equipo.]],#REF!,#REF!)</f>
        <v>#REF!</v>
      </c>
      <c r="H934" t="s">
        <v>23</v>
      </c>
      <c r="I934" t="e">
        <f>+_xlfn.XLOOKUP(tbl_encuesta[[#This Row],[Me siento motivado a dar lo mejor de mí y hacer un buen trabajo]],#REF!,#REF!)</f>
        <v>#REF!</v>
      </c>
      <c r="J934" t="s">
        <v>23</v>
      </c>
      <c r="K934" t="e">
        <f>+_xlfn.XLOOKUP(tbl_encuesta[[#This Row],[Mi supervisor o jefe directo me otorga el soporte que necesito para afrontar cualquier problema que afecte mi trabajo]],#REF!,#REF!)</f>
        <v>#REF!</v>
      </c>
      <c r="L934" t="s">
        <v>23</v>
      </c>
      <c r="M934" t="e">
        <f>+_xlfn.XLOOKUP(tbl_encuesta[[#This Row],[Mi supervisor o jefe directo fomenta que nos apoyemos entre todos en el equipo]],#REF!,#REF!)</f>
        <v>#REF!</v>
      </c>
      <c r="N934" t="s">
        <v>23</v>
      </c>
      <c r="O934" t="e">
        <f>+_xlfn.XLOOKUP(tbl_encuesta[[#This Row],[Siento que mi trabajo es reconocido por mi supervisor o jefe directo.]],#REF!,#REF!)</f>
        <v>#REF!</v>
      </c>
      <c r="P934" t="s">
        <v>31</v>
      </c>
      <c r="Q934" t="e">
        <f xml:space="preserve">
_xlfn.XLOOKUP(
tbl_encuesta[[#This Row],[Mi supervisor o jefe directo nos brinda charlas de 5 minutos y comunica las novedades relevantes a mi puesto de trabajo]],#REF!,#REF!
)</f>
        <v>#REF!</v>
      </c>
      <c r="R934" t="s">
        <v>17</v>
      </c>
      <c r="S934" t="s">
        <v>18</v>
      </c>
      <c r="W934" t="s">
        <v>25</v>
      </c>
      <c r="X934" t="s">
        <v>22</v>
      </c>
      <c r="Y934" t="e">
        <f>+_xlfn.XLOOKUP(tbl_encuesta[[#This Row],[Considero a Limtek como un buen lugar para trabajar]],#REF!,#REF!)</f>
        <v>#REF!</v>
      </c>
      <c r="Z934" t="s">
        <v>2364</v>
      </c>
      <c r="AA934" t="s">
        <v>2365</v>
      </c>
      <c r="AB934" t="s">
        <v>28</v>
      </c>
      <c r="AC934" s="3" t="s">
        <v>3823</v>
      </c>
      <c r="AD934" s="3" t="s">
        <v>3824</v>
      </c>
      <c r="AE934" t="s">
        <v>34</v>
      </c>
    </row>
    <row r="935" spans="1:31" x14ac:dyDescent="0.25">
      <c r="A935">
        <v>119026832635</v>
      </c>
      <c r="B935">
        <v>462598545</v>
      </c>
      <c r="C935" s="1">
        <v>46017.659317129626</v>
      </c>
      <c r="D935" s="1">
        <v>46017.662951388891</v>
      </c>
      <c r="E935" t="s">
        <v>2366</v>
      </c>
      <c r="F935" t="s">
        <v>23</v>
      </c>
      <c r="G935" t="e">
        <f>+_xlfn.XLOOKUP(tbl_encuesta[[#This Row],[Me siento a gusto con el ambiente de trabajo que se genera en mi equipo.]],#REF!,#REF!)</f>
        <v>#REF!</v>
      </c>
      <c r="H935" t="s">
        <v>23</v>
      </c>
      <c r="I935" t="e">
        <f>+_xlfn.XLOOKUP(tbl_encuesta[[#This Row],[Me siento motivado a dar lo mejor de mí y hacer un buen trabajo]],#REF!,#REF!)</f>
        <v>#REF!</v>
      </c>
      <c r="J935" t="s">
        <v>23</v>
      </c>
      <c r="K935" t="e">
        <f>+_xlfn.XLOOKUP(tbl_encuesta[[#This Row],[Mi supervisor o jefe directo me otorga el soporte que necesito para afrontar cualquier problema que afecte mi trabajo]],#REF!,#REF!)</f>
        <v>#REF!</v>
      </c>
      <c r="L935" t="s">
        <v>23</v>
      </c>
      <c r="M935" t="e">
        <f>+_xlfn.XLOOKUP(tbl_encuesta[[#This Row],[Mi supervisor o jefe directo fomenta que nos apoyemos entre todos en el equipo]],#REF!,#REF!)</f>
        <v>#REF!</v>
      </c>
      <c r="N935" t="s">
        <v>23</v>
      </c>
      <c r="O935" t="e">
        <f>+_xlfn.XLOOKUP(tbl_encuesta[[#This Row],[Siento que mi trabajo es reconocido por mi supervisor o jefe directo.]],#REF!,#REF!)</f>
        <v>#REF!</v>
      </c>
      <c r="P935" t="s">
        <v>31</v>
      </c>
      <c r="Q935" t="e">
        <f xml:space="preserve">
_xlfn.XLOOKUP(
tbl_encuesta[[#This Row],[Mi supervisor o jefe directo nos brinda charlas de 5 minutos y comunica las novedades relevantes a mi puesto de trabajo]],#REF!,#REF!
)</f>
        <v>#REF!</v>
      </c>
      <c r="S935" t="s">
        <v>18</v>
      </c>
      <c r="W935" t="s">
        <v>25</v>
      </c>
      <c r="X935" t="s">
        <v>23</v>
      </c>
      <c r="Y935" t="e">
        <f>+_xlfn.XLOOKUP(tbl_encuesta[[#This Row],[Considero a Limtek como un buen lugar para trabajar]],#REF!,#REF!)</f>
        <v>#REF!</v>
      </c>
      <c r="Z935" t="s">
        <v>2367</v>
      </c>
      <c r="AA935" t="s">
        <v>2368</v>
      </c>
      <c r="AB935" t="s">
        <v>28</v>
      </c>
      <c r="AC935" s="3" t="s">
        <v>3827</v>
      </c>
      <c r="AD935" s="3" t="s">
        <v>3828</v>
      </c>
      <c r="AE935" t="s">
        <v>69</v>
      </c>
    </row>
    <row r="936" spans="1:31" x14ac:dyDescent="0.25">
      <c r="A936">
        <v>119026831941</v>
      </c>
      <c r="B936">
        <v>462598545</v>
      </c>
      <c r="C936" s="1">
        <v>46017.657893518517</v>
      </c>
      <c r="D936" s="1">
        <v>46017.661249999997</v>
      </c>
      <c r="E936" t="s">
        <v>2369</v>
      </c>
      <c r="F936" t="s">
        <v>23</v>
      </c>
      <c r="G936" t="e">
        <f>+_xlfn.XLOOKUP(tbl_encuesta[[#This Row],[Me siento a gusto con el ambiente de trabajo que se genera en mi equipo.]],#REF!,#REF!)</f>
        <v>#REF!</v>
      </c>
      <c r="H936" t="s">
        <v>23</v>
      </c>
      <c r="I936" t="e">
        <f>+_xlfn.XLOOKUP(tbl_encuesta[[#This Row],[Me siento motivado a dar lo mejor de mí y hacer un buen trabajo]],#REF!,#REF!)</f>
        <v>#REF!</v>
      </c>
      <c r="J936" t="s">
        <v>22</v>
      </c>
      <c r="K936" t="e">
        <f>+_xlfn.XLOOKUP(tbl_encuesta[[#This Row],[Mi supervisor o jefe directo me otorga el soporte que necesito para afrontar cualquier problema que afecte mi trabajo]],#REF!,#REF!)</f>
        <v>#REF!</v>
      </c>
      <c r="L936" t="s">
        <v>23</v>
      </c>
      <c r="M936" t="e">
        <f>+_xlfn.XLOOKUP(tbl_encuesta[[#This Row],[Mi supervisor o jefe directo fomenta que nos apoyemos entre todos en el equipo]],#REF!,#REF!)</f>
        <v>#REF!</v>
      </c>
      <c r="N936" t="s">
        <v>23</v>
      </c>
      <c r="O936" t="e">
        <f>+_xlfn.XLOOKUP(tbl_encuesta[[#This Row],[Siento que mi trabajo es reconocido por mi supervisor o jefe directo.]],#REF!,#REF!)</f>
        <v>#REF!</v>
      </c>
      <c r="P936" t="s">
        <v>67</v>
      </c>
      <c r="Q936" t="e">
        <f xml:space="preserve">
_xlfn.XLOOKUP(
tbl_encuesta[[#This Row],[Mi supervisor o jefe directo nos brinda charlas de 5 minutos y comunica las novedades relevantes a mi puesto de trabajo]],#REF!,#REF!
)</f>
        <v>#REF!</v>
      </c>
      <c r="U936" t="s">
        <v>20</v>
      </c>
      <c r="W936" t="s">
        <v>25</v>
      </c>
      <c r="X936" t="s">
        <v>22</v>
      </c>
      <c r="Y936" t="e">
        <f>+_xlfn.XLOOKUP(tbl_encuesta[[#This Row],[Considero a Limtek como un buen lugar para trabajar]],#REF!,#REF!)</f>
        <v>#REF!</v>
      </c>
      <c r="Z936" t="s">
        <v>193</v>
      </c>
      <c r="AA936" t="s">
        <v>2370</v>
      </c>
      <c r="AB936" t="s">
        <v>28</v>
      </c>
      <c r="AC936" s="3" t="s">
        <v>3827</v>
      </c>
      <c r="AD936" s="3" t="s">
        <v>3828</v>
      </c>
      <c r="AE936" t="s">
        <v>29</v>
      </c>
    </row>
    <row r="937" spans="1:31" x14ac:dyDescent="0.25">
      <c r="A937">
        <v>119026831866</v>
      </c>
      <c r="B937">
        <v>462598545</v>
      </c>
      <c r="C937" s="1">
        <v>46017.656805555554</v>
      </c>
      <c r="D937" s="1">
        <v>46017.661076388889</v>
      </c>
      <c r="E937" t="s">
        <v>2371</v>
      </c>
      <c r="F937" t="s">
        <v>23</v>
      </c>
      <c r="G937" t="e">
        <f>+_xlfn.XLOOKUP(tbl_encuesta[[#This Row],[Me siento a gusto con el ambiente de trabajo que se genera en mi equipo.]],#REF!,#REF!)</f>
        <v>#REF!</v>
      </c>
      <c r="H937" t="s">
        <v>23</v>
      </c>
      <c r="I937" t="e">
        <f>+_xlfn.XLOOKUP(tbl_encuesta[[#This Row],[Me siento motivado a dar lo mejor de mí y hacer un buen trabajo]],#REF!,#REF!)</f>
        <v>#REF!</v>
      </c>
      <c r="J937" t="s">
        <v>23</v>
      </c>
      <c r="K937" t="e">
        <f>+_xlfn.XLOOKUP(tbl_encuesta[[#This Row],[Mi supervisor o jefe directo me otorga el soporte que necesito para afrontar cualquier problema que afecte mi trabajo]],#REF!,#REF!)</f>
        <v>#REF!</v>
      </c>
      <c r="L937" t="s">
        <v>23</v>
      </c>
      <c r="M937" t="e">
        <f>+_xlfn.XLOOKUP(tbl_encuesta[[#This Row],[Mi supervisor o jefe directo fomenta que nos apoyemos entre todos en el equipo]],#REF!,#REF!)</f>
        <v>#REF!</v>
      </c>
      <c r="N937" t="s">
        <v>22</v>
      </c>
      <c r="O937" t="e">
        <f>+_xlfn.XLOOKUP(tbl_encuesta[[#This Row],[Siento que mi trabajo es reconocido por mi supervisor o jefe directo.]],#REF!,#REF!)</f>
        <v>#REF!</v>
      </c>
      <c r="P937" t="s">
        <v>31</v>
      </c>
      <c r="Q937" t="e">
        <f xml:space="preserve">
_xlfn.XLOOKUP(
tbl_encuesta[[#This Row],[Mi supervisor o jefe directo nos brinda charlas de 5 minutos y comunica las novedades relevantes a mi puesto de trabajo]],#REF!,#REF!
)</f>
        <v>#REF!</v>
      </c>
      <c r="R937" t="s">
        <v>17</v>
      </c>
      <c r="T937" t="s">
        <v>19</v>
      </c>
      <c r="W937" t="s">
        <v>25</v>
      </c>
      <c r="X937" t="s">
        <v>22</v>
      </c>
      <c r="Y937" t="e">
        <f>+_xlfn.XLOOKUP(tbl_encuesta[[#This Row],[Considero a Limtek como un buen lugar para trabajar]],#REF!,#REF!)</f>
        <v>#REF!</v>
      </c>
      <c r="Z937" t="s">
        <v>2372</v>
      </c>
      <c r="AA937" t="s">
        <v>2373</v>
      </c>
      <c r="AB937" t="s">
        <v>28</v>
      </c>
      <c r="AC937" t="s">
        <v>3744</v>
      </c>
      <c r="AD937" t="s">
        <v>3744</v>
      </c>
      <c r="AE937" t="s">
        <v>29</v>
      </c>
    </row>
    <row r="938" spans="1:31" x14ac:dyDescent="0.25">
      <c r="A938">
        <v>119026831779</v>
      </c>
      <c r="B938">
        <v>462598545</v>
      </c>
      <c r="C938" s="1">
        <v>46017.657349537039</v>
      </c>
      <c r="D938" s="1">
        <v>46017.660879629628</v>
      </c>
      <c r="E938" t="s">
        <v>2351</v>
      </c>
      <c r="F938" t="s">
        <v>43</v>
      </c>
      <c r="G938" t="e">
        <f>+_xlfn.XLOOKUP(tbl_encuesta[[#This Row],[Me siento a gusto con el ambiente de trabajo que se genera en mi equipo.]],#REF!,#REF!)</f>
        <v>#REF!</v>
      </c>
      <c r="H938" t="s">
        <v>43</v>
      </c>
      <c r="I938" t="e">
        <f>+_xlfn.XLOOKUP(tbl_encuesta[[#This Row],[Me siento motivado a dar lo mejor de mí y hacer un buen trabajo]],#REF!,#REF!)</f>
        <v>#REF!</v>
      </c>
      <c r="J938" t="s">
        <v>43</v>
      </c>
      <c r="K938" t="e">
        <f>+_xlfn.XLOOKUP(tbl_encuesta[[#This Row],[Mi supervisor o jefe directo me otorga el soporte que necesito para afrontar cualquier problema que afecte mi trabajo]],#REF!,#REF!)</f>
        <v>#REF!</v>
      </c>
      <c r="L938" t="s">
        <v>43</v>
      </c>
      <c r="M938" t="e">
        <f>+_xlfn.XLOOKUP(tbl_encuesta[[#This Row],[Mi supervisor o jefe directo fomenta que nos apoyemos entre todos en el equipo]],#REF!,#REF!)</f>
        <v>#REF!</v>
      </c>
      <c r="N938" t="s">
        <v>43</v>
      </c>
      <c r="O938" t="e">
        <f>+_xlfn.XLOOKUP(tbl_encuesta[[#This Row],[Siento que mi trabajo es reconocido por mi supervisor o jefe directo.]],#REF!,#REF!)</f>
        <v>#REF!</v>
      </c>
      <c r="P938" t="s">
        <v>175</v>
      </c>
      <c r="Q938" t="e">
        <f xml:space="preserve">
_xlfn.XLOOKUP(
tbl_encuesta[[#This Row],[Mi supervisor o jefe directo nos brinda charlas de 5 minutos y comunica las novedades relevantes a mi puesto de trabajo]],#REF!,#REF!
)</f>
        <v>#REF!</v>
      </c>
      <c r="V938" t="s">
        <v>2374</v>
      </c>
      <c r="W938" t="s">
        <v>25</v>
      </c>
      <c r="X938" t="s">
        <v>97</v>
      </c>
      <c r="Y938" t="e">
        <f>+_xlfn.XLOOKUP(tbl_encuesta[[#This Row],[Considero a Limtek como un buen lugar para trabajar]],#REF!,#REF!)</f>
        <v>#REF!</v>
      </c>
      <c r="Z938" t="s">
        <v>2375</v>
      </c>
      <c r="AA938" t="s">
        <v>2376</v>
      </c>
      <c r="AB938" t="s">
        <v>28</v>
      </c>
      <c r="AC938" s="3" t="s">
        <v>3823</v>
      </c>
      <c r="AD938" s="3" t="s">
        <v>3823</v>
      </c>
      <c r="AE938" t="s">
        <v>34</v>
      </c>
    </row>
    <row r="939" spans="1:31" x14ac:dyDescent="0.25">
      <c r="A939">
        <v>119026830273</v>
      </c>
      <c r="B939">
        <v>462598545</v>
      </c>
      <c r="C939" s="1">
        <v>46017.65483796296</v>
      </c>
      <c r="D939" s="1">
        <v>46017.657210648147</v>
      </c>
      <c r="E939" t="s">
        <v>2377</v>
      </c>
      <c r="F939" t="s">
        <v>23</v>
      </c>
      <c r="G939" t="e">
        <f>+_xlfn.XLOOKUP(tbl_encuesta[[#This Row],[Me siento a gusto con el ambiente de trabajo que se genera en mi equipo.]],#REF!,#REF!)</f>
        <v>#REF!</v>
      </c>
      <c r="H939" t="s">
        <v>23</v>
      </c>
      <c r="I939" t="e">
        <f>+_xlfn.XLOOKUP(tbl_encuesta[[#This Row],[Me siento motivado a dar lo mejor de mí y hacer un buen trabajo]],#REF!,#REF!)</f>
        <v>#REF!</v>
      </c>
      <c r="J939" t="s">
        <v>23</v>
      </c>
      <c r="K939" t="e">
        <f>+_xlfn.XLOOKUP(tbl_encuesta[[#This Row],[Mi supervisor o jefe directo me otorga el soporte que necesito para afrontar cualquier problema que afecte mi trabajo]],#REF!,#REF!)</f>
        <v>#REF!</v>
      </c>
      <c r="L939" t="s">
        <v>23</v>
      </c>
      <c r="M939" t="e">
        <f>+_xlfn.XLOOKUP(tbl_encuesta[[#This Row],[Mi supervisor o jefe directo fomenta que nos apoyemos entre todos en el equipo]],#REF!,#REF!)</f>
        <v>#REF!</v>
      </c>
      <c r="N939" t="s">
        <v>23</v>
      </c>
      <c r="O939" t="e">
        <f>+_xlfn.XLOOKUP(tbl_encuesta[[#This Row],[Siento que mi trabajo es reconocido por mi supervisor o jefe directo.]],#REF!,#REF!)</f>
        <v>#REF!</v>
      </c>
      <c r="P939" t="s">
        <v>31</v>
      </c>
      <c r="Q939" t="e">
        <f xml:space="preserve">
_xlfn.XLOOKUP(
tbl_encuesta[[#This Row],[Mi supervisor o jefe directo nos brinda charlas de 5 minutos y comunica las novedades relevantes a mi puesto de trabajo]],#REF!,#REF!
)</f>
        <v>#REF!</v>
      </c>
      <c r="R939" t="s">
        <v>17</v>
      </c>
      <c r="W939" t="s">
        <v>25</v>
      </c>
      <c r="X939" t="s">
        <v>23</v>
      </c>
      <c r="Y939" t="e">
        <f>+_xlfn.XLOOKUP(tbl_encuesta[[#This Row],[Considero a Limtek como un buen lugar para trabajar]],#REF!,#REF!)</f>
        <v>#REF!</v>
      </c>
      <c r="Z939" t="s">
        <v>2378</v>
      </c>
      <c r="AA939" t="s">
        <v>2379</v>
      </c>
      <c r="AB939" t="s">
        <v>28</v>
      </c>
      <c r="AC939" t="s">
        <v>3592</v>
      </c>
      <c r="AD939" t="s">
        <v>2380</v>
      </c>
      <c r="AE939" t="s">
        <v>69</v>
      </c>
    </row>
    <row r="940" spans="1:31" x14ac:dyDescent="0.25">
      <c r="A940">
        <v>119026830043</v>
      </c>
      <c r="B940">
        <v>462598545</v>
      </c>
      <c r="C940" s="1">
        <v>46017.653541666667</v>
      </c>
      <c r="D940" s="1">
        <v>46017.656597222223</v>
      </c>
      <c r="E940" t="s">
        <v>2381</v>
      </c>
      <c r="F940" t="s">
        <v>43</v>
      </c>
      <c r="G940" t="e">
        <f>+_xlfn.XLOOKUP(tbl_encuesta[[#This Row],[Me siento a gusto con el ambiente de trabajo que se genera en mi equipo.]],#REF!,#REF!)</f>
        <v>#REF!</v>
      </c>
      <c r="H940" t="s">
        <v>23</v>
      </c>
      <c r="I940" t="e">
        <f>+_xlfn.XLOOKUP(tbl_encuesta[[#This Row],[Me siento motivado a dar lo mejor de mí y hacer un buen trabajo]],#REF!,#REF!)</f>
        <v>#REF!</v>
      </c>
      <c r="J940" t="s">
        <v>97</v>
      </c>
      <c r="K940" t="e">
        <f>+_xlfn.XLOOKUP(tbl_encuesta[[#This Row],[Mi supervisor o jefe directo me otorga el soporte que necesito para afrontar cualquier problema que afecte mi trabajo]],#REF!,#REF!)</f>
        <v>#REF!</v>
      </c>
      <c r="L940" t="s">
        <v>43</v>
      </c>
      <c r="M940" t="e">
        <f>+_xlfn.XLOOKUP(tbl_encuesta[[#This Row],[Mi supervisor o jefe directo fomenta que nos apoyemos entre todos en el equipo]],#REF!,#REF!)</f>
        <v>#REF!</v>
      </c>
      <c r="N940" t="s">
        <v>43</v>
      </c>
      <c r="O940" t="e">
        <f>+_xlfn.XLOOKUP(tbl_encuesta[[#This Row],[Siento que mi trabajo es reconocido por mi supervisor o jefe directo.]],#REF!,#REF!)</f>
        <v>#REF!</v>
      </c>
      <c r="P940" t="s">
        <v>175</v>
      </c>
      <c r="Q940" t="e">
        <f xml:space="preserve">
_xlfn.XLOOKUP(
tbl_encuesta[[#This Row],[Mi supervisor o jefe directo nos brinda charlas de 5 minutos y comunica las novedades relevantes a mi puesto de trabajo]],#REF!,#REF!
)</f>
        <v>#REF!</v>
      </c>
      <c r="R940" t="s">
        <v>17</v>
      </c>
      <c r="T940" t="s">
        <v>19</v>
      </c>
      <c r="W940" t="s">
        <v>25</v>
      </c>
      <c r="X940" t="s">
        <v>23</v>
      </c>
      <c r="Y940" t="e">
        <f>+_xlfn.XLOOKUP(tbl_encuesta[[#This Row],[Considero a Limtek como un buen lugar para trabajar]],#REF!,#REF!)</f>
        <v>#REF!</v>
      </c>
      <c r="Z940" t="s">
        <v>2382</v>
      </c>
      <c r="AA940" t="s">
        <v>2383</v>
      </c>
      <c r="AB940" t="s">
        <v>28</v>
      </c>
      <c r="AC940" t="s">
        <v>3744</v>
      </c>
      <c r="AD940" t="s">
        <v>3744</v>
      </c>
      <c r="AE940" t="s">
        <v>34</v>
      </c>
    </row>
    <row r="941" spans="1:31" x14ac:dyDescent="0.25">
      <c r="A941">
        <v>119026830023</v>
      </c>
      <c r="B941">
        <v>462598545</v>
      </c>
      <c r="C941" s="1">
        <v>46017.628229166665</v>
      </c>
      <c r="D941" s="1">
        <v>46017.656527777777</v>
      </c>
      <c r="E941" t="s">
        <v>2384</v>
      </c>
      <c r="F941" t="s">
        <v>43</v>
      </c>
      <c r="G941" t="e">
        <f>+_xlfn.XLOOKUP(tbl_encuesta[[#This Row],[Me siento a gusto con el ambiente de trabajo que se genera en mi equipo.]],#REF!,#REF!)</f>
        <v>#REF!</v>
      </c>
      <c r="H941" t="s">
        <v>23</v>
      </c>
      <c r="I941" t="e">
        <f>+_xlfn.XLOOKUP(tbl_encuesta[[#This Row],[Me siento motivado a dar lo mejor de mí y hacer un buen trabajo]],#REF!,#REF!)</f>
        <v>#REF!</v>
      </c>
      <c r="J941" t="s">
        <v>97</v>
      </c>
      <c r="K941" t="e">
        <f>+_xlfn.XLOOKUP(tbl_encuesta[[#This Row],[Mi supervisor o jefe directo me otorga el soporte que necesito para afrontar cualquier problema que afecte mi trabajo]],#REF!,#REF!)</f>
        <v>#REF!</v>
      </c>
      <c r="L941" t="s">
        <v>43</v>
      </c>
      <c r="M941" t="e">
        <f>+_xlfn.XLOOKUP(tbl_encuesta[[#This Row],[Mi supervisor o jefe directo fomenta que nos apoyemos entre todos en el equipo]],#REF!,#REF!)</f>
        <v>#REF!</v>
      </c>
      <c r="N941" t="s">
        <v>43</v>
      </c>
      <c r="O941" t="e">
        <f>+_xlfn.XLOOKUP(tbl_encuesta[[#This Row],[Siento que mi trabajo es reconocido por mi supervisor o jefe directo.]],#REF!,#REF!)</f>
        <v>#REF!</v>
      </c>
      <c r="P941" t="s">
        <v>175</v>
      </c>
      <c r="Q941" t="e">
        <f xml:space="preserve">
_xlfn.XLOOKUP(
tbl_encuesta[[#This Row],[Mi supervisor o jefe directo nos brinda charlas de 5 minutos y comunica las novedades relevantes a mi puesto de trabajo]],#REF!,#REF!
)</f>
        <v>#REF!</v>
      </c>
      <c r="R941" t="s">
        <v>17</v>
      </c>
      <c r="T941" t="s">
        <v>19</v>
      </c>
      <c r="W941" t="s">
        <v>25</v>
      </c>
      <c r="X941" t="s">
        <v>23</v>
      </c>
      <c r="Y941" t="e">
        <f>+_xlfn.XLOOKUP(tbl_encuesta[[#This Row],[Considero a Limtek como un buen lugar para trabajar]],#REF!,#REF!)</f>
        <v>#REF!</v>
      </c>
      <c r="Z941" t="s">
        <v>2382</v>
      </c>
      <c r="AA941" t="s">
        <v>2385</v>
      </c>
      <c r="AB941" t="s">
        <v>28</v>
      </c>
      <c r="AC941" t="s">
        <v>3744</v>
      </c>
      <c r="AD941" t="s">
        <v>3744</v>
      </c>
      <c r="AE941" t="s">
        <v>34</v>
      </c>
    </row>
    <row r="942" spans="1:31" x14ac:dyDescent="0.25">
      <c r="A942">
        <v>119026829900</v>
      </c>
      <c r="B942">
        <v>462598545</v>
      </c>
      <c r="C942" s="1">
        <v>46017.653773148151</v>
      </c>
      <c r="D942" s="1">
        <v>46017.6562037037</v>
      </c>
      <c r="E942" t="s">
        <v>2386</v>
      </c>
      <c r="F942" t="s">
        <v>22</v>
      </c>
      <c r="G942" t="e">
        <f>+_xlfn.XLOOKUP(tbl_encuesta[[#This Row],[Me siento a gusto con el ambiente de trabajo que se genera en mi equipo.]],#REF!,#REF!)</f>
        <v>#REF!</v>
      </c>
      <c r="H942" t="s">
        <v>22</v>
      </c>
      <c r="I942" t="e">
        <f>+_xlfn.XLOOKUP(tbl_encuesta[[#This Row],[Me siento motivado a dar lo mejor de mí y hacer un buen trabajo]],#REF!,#REF!)</f>
        <v>#REF!</v>
      </c>
      <c r="J942" t="s">
        <v>22</v>
      </c>
      <c r="K942" t="e">
        <f>+_xlfn.XLOOKUP(tbl_encuesta[[#This Row],[Mi supervisor o jefe directo me otorga el soporte que necesito para afrontar cualquier problema que afecte mi trabajo]],#REF!,#REF!)</f>
        <v>#REF!</v>
      </c>
      <c r="L942" t="s">
        <v>23</v>
      </c>
      <c r="M942" t="e">
        <f>+_xlfn.XLOOKUP(tbl_encuesta[[#This Row],[Mi supervisor o jefe directo fomenta que nos apoyemos entre todos en el equipo]],#REF!,#REF!)</f>
        <v>#REF!</v>
      </c>
      <c r="N942" t="s">
        <v>22</v>
      </c>
      <c r="O942" t="e">
        <f>+_xlfn.XLOOKUP(tbl_encuesta[[#This Row],[Siento que mi trabajo es reconocido por mi supervisor o jefe directo.]],#REF!,#REF!)</f>
        <v>#REF!</v>
      </c>
      <c r="P942" t="s">
        <v>67</v>
      </c>
      <c r="Q942" t="e">
        <f xml:space="preserve">
_xlfn.XLOOKUP(
tbl_encuesta[[#This Row],[Mi supervisor o jefe directo nos brinda charlas de 5 minutos y comunica las novedades relevantes a mi puesto de trabajo]],#REF!,#REF!
)</f>
        <v>#REF!</v>
      </c>
      <c r="R942" t="s">
        <v>17</v>
      </c>
      <c r="S942" t="s">
        <v>18</v>
      </c>
      <c r="W942" t="s">
        <v>25</v>
      </c>
      <c r="X942" t="s">
        <v>23</v>
      </c>
      <c r="Y942" t="e">
        <f>+_xlfn.XLOOKUP(tbl_encuesta[[#This Row],[Considero a Limtek como un buen lugar para trabajar]],#REF!,#REF!)</f>
        <v>#REF!</v>
      </c>
      <c r="Z942" t="s">
        <v>145</v>
      </c>
      <c r="AA942" t="s">
        <v>2387</v>
      </c>
      <c r="AB942" t="s">
        <v>28</v>
      </c>
      <c r="AC942" s="3" t="s">
        <v>3705</v>
      </c>
      <c r="AD942" s="3" t="s">
        <v>3712</v>
      </c>
      <c r="AE942" t="s">
        <v>34</v>
      </c>
    </row>
    <row r="943" spans="1:31" x14ac:dyDescent="0.25">
      <c r="A943">
        <v>119026828466</v>
      </c>
      <c r="B943">
        <v>462598545</v>
      </c>
      <c r="C943" s="1">
        <v>46017.649791666663</v>
      </c>
      <c r="D943" s="1">
        <v>46017.652685185189</v>
      </c>
      <c r="E943" t="s">
        <v>2388</v>
      </c>
      <c r="F943" t="s">
        <v>23</v>
      </c>
      <c r="G943" t="e">
        <f>+_xlfn.XLOOKUP(tbl_encuesta[[#This Row],[Me siento a gusto con el ambiente de trabajo que se genera en mi equipo.]],#REF!,#REF!)</f>
        <v>#REF!</v>
      </c>
      <c r="H943" t="s">
        <v>23</v>
      </c>
      <c r="I943" t="e">
        <f>+_xlfn.XLOOKUP(tbl_encuesta[[#This Row],[Me siento motivado a dar lo mejor de mí y hacer un buen trabajo]],#REF!,#REF!)</f>
        <v>#REF!</v>
      </c>
      <c r="J943" t="s">
        <v>23</v>
      </c>
      <c r="K943" t="e">
        <f>+_xlfn.XLOOKUP(tbl_encuesta[[#This Row],[Mi supervisor o jefe directo me otorga el soporte que necesito para afrontar cualquier problema que afecte mi trabajo]],#REF!,#REF!)</f>
        <v>#REF!</v>
      </c>
      <c r="L943" t="s">
        <v>22</v>
      </c>
      <c r="M943" t="e">
        <f>+_xlfn.XLOOKUP(tbl_encuesta[[#This Row],[Mi supervisor o jefe directo fomenta que nos apoyemos entre todos en el equipo]],#REF!,#REF!)</f>
        <v>#REF!</v>
      </c>
      <c r="N943" t="s">
        <v>22</v>
      </c>
      <c r="O943" t="e">
        <f>+_xlfn.XLOOKUP(tbl_encuesta[[#This Row],[Siento que mi trabajo es reconocido por mi supervisor o jefe directo.]],#REF!,#REF!)</f>
        <v>#REF!</v>
      </c>
      <c r="P943" t="s">
        <v>24</v>
      </c>
      <c r="Q943" t="e">
        <f xml:space="preserve">
_xlfn.XLOOKUP(
tbl_encuesta[[#This Row],[Mi supervisor o jefe directo nos brinda charlas de 5 minutos y comunica las novedades relevantes a mi puesto de trabajo]],#REF!,#REF!
)</f>
        <v>#REF!</v>
      </c>
      <c r="U943" t="s">
        <v>20</v>
      </c>
      <c r="W943" t="s">
        <v>25</v>
      </c>
      <c r="X943" t="s">
        <v>23</v>
      </c>
      <c r="Y943" t="e">
        <f>+_xlfn.XLOOKUP(tbl_encuesta[[#This Row],[Considero a Limtek como un buen lugar para trabajar]],#REF!,#REF!)</f>
        <v>#REF!</v>
      </c>
      <c r="Z943" t="s">
        <v>2389</v>
      </c>
      <c r="AA943" t="s">
        <v>2390</v>
      </c>
      <c r="AB943" t="s">
        <v>28</v>
      </c>
      <c r="AC943" t="s">
        <v>3744</v>
      </c>
      <c r="AD943" t="s">
        <v>3744</v>
      </c>
      <c r="AE943" t="s">
        <v>69</v>
      </c>
    </row>
    <row r="944" spans="1:31" x14ac:dyDescent="0.25">
      <c r="A944">
        <v>119026828195</v>
      </c>
      <c r="B944">
        <v>462598545</v>
      </c>
      <c r="C944" s="1">
        <v>46017.648877314816</v>
      </c>
      <c r="D944" s="1">
        <v>46017.65216435185</v>
      </c>
      <c r="E944" t="s">
        <v>2391</v>
      </c>
      <c r="F944" t="s">
        <v>23</v>
      </c>
      <c r="G944" t="e">
        <f>+_xlfn.XLOOKUP(tbl_encuesta[[#This Row],[Me siento a gusto con el ambiente de trabajo que se genera en mi equipo.]],#REF!,#REF!)</f>
        <v>#REF!</v>
      </c>
      <c r="H944" t="s">
        <v>23</v>
      </c>
      <c r="I944" t="e">
        <f>+_xlfn.XLOOKUP(tbl_encuesta[[#This Row],[Me siento motivado a dar lo mejor de mí y hacer un buen trabajo]],#REF!,#REF!)</f>
        <v>#REF!</v>
      </c>
      <c r="J944" t="s">
        <v>23</v>
      </c>
      <c r="K944" t="e">
        <f>+_xlfn.XLOOKUP(tbl_encuesta[[#This Row],[Mi supervisor o jefe directo me otorga el soporte que necesito para afrontar cualquier problema que afecte mi trabajo]],#REF!,#REF!)</f>
        <v>#REF!</v>
      </c>
      <c r="L944" t="s">
        <v>23</v>
      </c>
      <c r="M944" t="e">
        <f>+_xlfn.XLOOKUP(tbl_encuesta[[#This Row],[Mi supervisor o jefe directo fomenta que nos apoyemos entre todos en el equipo]],#REF!,#REF!)</f>
        <v>#REF!</v>
      </c>
      <c r="N944" t="s">
        <v>23</v>
      </c>
      <c r="O944" t="e">
        <f>+_xlfn.XLOOKUP(tbl_encuesta[[#This Row],[Siento que mi trabajo es reconocido por mi supervisor o jefe directo.]],#REF!,#REF!)</f>
        <v>#REF!</v>
      </c>
      <c r="P944" t="s">
        <v>67</v>
      </c>
      <c r="Q944" t="e">
        <f xml:space="preserve">
_xlfn.XLOOKUP(
tbl_encuesta[[#This Row],[Mi supervisor o jefe directo nos brinda charlas de 5 minutos y comunica las novedades relevantes a mi puesto de trabajo]],#REF!,#REF!
)</f>
        <v>#REF!</v>
      </c>
      <c r="R944" t="s">
        <v>17</v>
      </c>
      <c r="W944" t="s">
        <v>25</v>
      </c>
      <c r="X944" t="s">
        <v>22</v>
      </c>
      <c r="Y944" t="e">
        <f>+_xlfn.XLOOKUP(tbl_encuesta[[#This Row],[Considero a Limtek como un buen lugar para trabajar]],#REF!,#REF!)</f>
        <v>#REF!</v>
      </c>
      <c r="Z944" t="s">
        <v>2392</v>
      </c>
      <c r="AA944" t="s">
        <v>2393</v>
      </c>
      <c r="AB944" t="s">
        <v>28</v>
      </c>
      <c r="AC944" s="3" t="s">
        <v>3780</v>
      </c>
      <c r="AD944" s="3" t="s">
        <v>3781</v>
      </c>
      <c r="AE944" t="s">
        <v>34</v>
      </c>
    </row>
    <row r="945" spans="1:31" x14ac:dyDescent="0.25">
      <c r="A945">
        <v>119026827496</v>
      </c>
      <c r="B945">
        <v>462598545</v>
      </c>
      <c r="C945" s="1">
        <v>46017.647511574076</v>
      </c>
      <c r="D945" s="1">
        <v>46017.650752314818</v>
      </c>
      <c r="E945" t="s">
        <v>2394</v>
      </c>
      <c r="F945" t="s">
        <v>23</v>
      </c>
      <c r="G945" t="e">
        <f>+_xlfn.XLOOKUP(tbl_encuesta[[#This Row],[Me siento a gusto con el ambiente de trabajo que se genera en mi equipo.]],#REF!,#REF!)</f>
        <v>#REF!</v>
      </c>
      <c r="H945" t="s">
        <v>22</v>
      </c>
      <c r="I945" t="e">
        <f>+_xlfn.XLOOKUP(tbl_encuesta[[#This Row],[Me siento motivado a dar lo mejor de mí y hacer un buen trabajo]],#REF!,#REF!)</f>
        <v>#REF!</v>
      </c>
      <c r="J945" t="s">
        <v>23</v>
      </c>
      <c r="K945" t="e">
        <f>+_xlfn.XLOOKUP(tbl_encuesta[[#This Row],[Mi supervisor o jefe directo me otorga el soporte que necesito para afrontar cualquier problema que afecte mi trabajo]],#REF!,#REF!)</f>
        <v>#REF!</v>
      </c>
      <c r="L945" t="s">
        <v>23</v>
      </c>
      <c r="M945" t="e">
        <f>+_xlfn.XLOOKUP(tbl_encuesta[[#This Row],[Mi supervisor o jefe directo fomenta que nos apoyemos entre todos en el equipo]],#REF!,#REF!)</f>
        <v>#REF!</v>
      </c>
      <c r="N945" t="s">
        <v>23</v>
      </c>
      <c r="O945" t="e">
        <f>+_xlfn.XLOOKUP(tbl_encuesta[[#This Row],[Siento que mi trabajo es reconocido por mi supervisor o jefe directo.]],#REF!,#REF!)</f>
        <v>#REF!</v>
      </c>
      <c r="P945" t="s">
        <v>31</v>
      </c>
      <c r="Q945" t="e">
        <f xml:space="preserve">
_xlfn.XLOOKUP(
tbl_encuesta[[#This Row],[Mi supervisor o jefe directo nos brinda charlas de 5 minutos y comunica las novedades relevantes a mi puesto de trabajo]],#REF!,#REF!
)</f>
        <v>#REF!</v>
      </c>
      <c r="R945" t="s">
        <v>17</v>
      </c>
      <c r="S945" t="s">
        <v>18</v>
      </c>
      <c r="W945" t="s">
        <v>25</v>
      </c>
      <c r="X945" t="s">
        <v>22</v>
      </c>
      <c r="Y945" t="e">
        <f>+_xlfn.XLOOKUP(tbl_encuesta[[#This Row],[Considero a Limtek como un buen lugar para trabajar]],#REF!,#REF!)</f>
        <v>#REF!</v>
      </c>
      <c r="Z945" t="s">
        <v>2395</v>
      </c>
      <c r="AA945" t="s">
        <v>2396</v>
      </c>
      <c r="AB945" t="s">
        <v>28</v>
      </c>
      <c r="AC945" s="3" t="s">
        <v>3856</v>
      </c>
      <c r="AD945" s="3" t="s">
        <v>3856</v>
      </c>
      <c r="AE945" t="s">
        <v>29</v>
      </c>
    </row>
    <row r="946" spans="1:31" x14ac:dyDescent="0.25">
      <c r="A946">
        <v>119026826423</v>
      </c>
      <c r="B946">
        <v>462598545</v>
      </c>
      <c r="C946" s="1">
        <v>46017.645300925928</v>
      </c>
      <c r="D946" s="1">
        <v>46017.6484837963</v>
      </c>
      <c r="E946" t="s">
        <v>2397</v>
      </c>
      <c r="F946" t="s">
        <v>23</v>
      </c>
      <c r="G946" t="e">
        <f>+_xlfn.XLOOKUP(tbl_encuesta[[#This Row],[Me siento a gusto con el ambiente de trabajo que se genera en mi equipo.]],#REF!,#REF!)</f>
        <v>#REF!</v>
      </c>
      <c r="H946" t="s">
        <v>23</v>
      </c>
      <c r="I946" t="e">
        <f>+_xlfn.XLOOKUP(tbl_encuesta[[#This Row],[Me siento motivado a dar lo mejor de mí y hacer un buen trabajo]],#REF!,#REF!)</f>
        <v>#REF!</v>
      </c>
      <c r="J946" t="s">
        <v>23</v>
      </c>
      <c r="K946" t="e">
        <f>+_xlfn.XLOOKUP(tbl_encuesta[[#This Row],[Mi supervisor o jefe directo me otorga el soporte que necesito para afrontar cualquier problema que afecte mi trabajo]],#REF!,#REF!)</f>
        <v>#REF!</v>
      </c>
      <c r="L946" t="s">
        <v>23</v>
      </c>
      <c r="M946" t="e">
        <f>+_xlfn.XLOOKUP(tbl_encuesta[[#This Row],[Mi supervisor o jefe directo fomenta que nos apoyemos entre todos en el equipo]],#REF!,#REF!)</f>
        <v>#REF!</v>
      </c>
      <c r="N946" t="s">
        <v>23</v>
      </c>
      <c r="O946" t="e">
        <f>+_xlfn.XLOOKUP(tbl_encuesta[[#This Row],[Siento que mi trabajo es reconocido por mi supervisor o jefe directo.]],#REF!,#REF!)</f>
        <v>#REF!</v>
      </c>
      <c r="P946" t="s">
        <v>31</v>
      </c>
      <c r="Q946" t="e">
        <f xml:space="preserve">
_xlfn.XLOOKUP(
tbl_encuesta[[#This Row],[Mi supervisor o jefe directo nos brinda charlas de 5 minutos y comunica las novedades relevantes a mi puesto de trabajo]],#REF!,#REF!
)</f>
        <v>#REF!</v>
      </c>
      <c r="R946" t="s">
        <v>17</v>
      </c>
      <c r="W946" t="s">
        <v>25</v>
      </c>
      <c r="X946" t="s">
        <v>23</v>
      </c>
      <c r="Y946" t="e">
        <f>+_xlfn.XLOOKUP(tbl_encuesta[[#This Row],[Considero a Limtek como un buen lugar para trabajar]],#REF!,#REF!)</f>
        <v>#REF!</v>
      </c>
      <c r="Z946" t="s">
        <v>2398</v>
      </c>
      <c r="AA946" t="s">
        <v>2399</v>
      </c>
      <c r="AB946" t="s">
        <v>28</v>
      </c>
      <c r="AC946" t="s">
        <v>3592</v>
      </c>
      <c r="AD946" t="s">
        <v>3594</v>
      </c>
      <c r="AE946" t="s">
        <v>69</v>
      </c>
    </row>
    <row r="947" spans="1:31" x14ac:dyDescent="0.25">
      <c r="A947">
        <v>119026820608</v>
      </c>
      <c r="B947">
        <v>462598545</v>
      </c>
      <c r="C947" s="1">
        <v>46017.63175925926</v>
      </c>
      <c r="D947" s="1">
        <v>46017.636701388888</v>
      </c>
      <c r="E947" t="s">
        <v>2400</v>
      </c>
      <c r="F947" t="s">
        <v>23</v>
      </c>
      <c r="G947" t="e">
        <f>+_xlfn.XLOOKUP(tbl_encuesta[[#This Row],[Me siento a gusto con el ambiente de trabajo que se genera en mi equipo.]],#REF!,#REF!)</f>
        <v>#REF!</v>
      </c>
      <c r="H947" t="s">
        <v>23</v>
      </c>
      <c r="I947" t="e">
        <f>+_xlfn.XLOOKUP(tbl_encuesta[[#This Row],[Me siento motivado a dar lo mejor de mí y hacer un buen trabajo]],#REF!,#REF!)</f>
        <v>#REF!</v>
      </c>
      <c r="J947" t="s">
        <v>23</v>
      </c>
      <c r="K947" t="e">
        <f>+_xlfn.XLOOKUP(tbl_encuesta[[#This Row],[Mi supervisor o jefe directo me otorga el soporte que necesito para afrontar cualquier problema que afecte mi trabajo]],#REF!,#REF!)</f>
        <v>#REF!</v>
      </c>
      <c r="L947" t="s">
        <v>23</v>
      </c>
      <c r="M947" t="e">
        <f>+_xlfn.XLOOKUP(tbl_encuesta[[#This Row],[Mi supervisor o jefe directo fomenta que nos apoyemos entre todos en el equipo]],#REF!,#REF!)</f>
        <v>#REF!</v>
      </c>
      <c r="N947" t="s">
        <v>23</v>
      </c>
      <c r="O947" t="e">
        <f>+_xlfn.XLOOKUP(tbl_encuesta[[#This Row],[Siento que mi trabajo es reconocido por mi supervisor o jefe directo.]],#REF!,#REF!)</f>
        <v>#REF!</v>
      </c>
      <c r="P947" t="s">
        <v>31</v>
      </c>
      <c r="Q947" t="e">
        <f xml:space="preserve">
_xlfn.XLOOKUP(
tbl_encuesta[[#This Row],[Mi supervisor o jefe directo nos brinda charlas de 5 minutos y comunica las novedades relevantes a mi puesto de trabajo]],#REF!,#REF!
)</f>
        <v>#REF!</v>
      </c>
      <c r="R947" t="s">
        <v>17</v>
      </c>
      <c r="S947" t="s">
        <v>18</v>
      </c>
      <c r="W947" t="s">
        <v>25</v>
      </c>
      <c r="X947" t="s">
        <v>23</v>
      </c>
      <c r="Y947" t="e">
        <f>+_xlfn.XLOOKUP(tbl_encuesta[[#This Row],[Considero a Limtek como un buen lugar para trabajar]],#REF!,#REF!)</f>
        <v>#REF!</v>
      </c>
      <c r="Z947" t="s">
        <v>1977</v>
      </c>
      <c r="AA947" t="s">
        <v>1013</v>
      </c>
      <c r="AB947" t="s">
        <v>28</v>
      </c>
      <c r="AC947" s="3" t="s">
        <v>3729</v>
      </c>
      <c r="AD947" s="3" t="s">
        <v>3730</v>
      </c>
      <c r="AE947" t="s">
        <v>61</v>
      </c>
    </row>
    <row r="948" spans="1:31" x14ac:dyDescent="0.25">
      <c r="A948">
        <v>119026814022</v>
      </c>
      <c r="B948">
        <v>462598545</v>
      </c>
      <c r="C948" s="1">
        <v>46017.620520833334</v>
      </c>
      <c r="D948" s="1">
        <v>46017.621736111112</v>
      </c>
      <c r="E948" t="s">
        <v>2401</v>
      </c>
      <c r="F948" t="s">
        <v>23</v>
      </c>
      <c r="G948" t="e">
        <f>+_xlfn.XLOOKUP(tbl_encuesta[[#This Row],[Me siento a gusto con el ambiente de trabajo que se genera en mi equipo.]],#REF!,#REF!)</f>
        <v>#REF!</v>
      </c>
      <c r="H948" t="s">
        <v>23</v>
      </c>
      <c r="I948" t="e">
        <f>+_xlfn.XLOOKUP(tbl_encuesta[[#This Row],[Me siento motivado a dar lo mejor de mí y hacer un buen trabajo]],#REF!,#REF!)</f>
        <v>#REF!</v>
      </c>
      <c r="J948" t="s">
        <v>23</v>
      </c>
      <c r="K948" t="e">
        <f>+_xlfn.XLOOKUP(tbl_encuesta[[#This Row],[Mi supervisor o jefe directo me otorga el soporte que necesito para afrontar cualquier problema que afecte mi trabajo]],#REF!,#REF!)</f>
        <v>#REF!</v>
      </c>
      <c r="L948" t="s">
        <v>23</v>
      </c>
      <c r="M948" t="e">
        <f>+_xlfn.XLOOKUP(tbl_encuesta[[#This Row],[Mi supervisor o jefe directo fomenta que nos apoyemos entre todos en el equipo]],#REF!,#REF!)</f>
        <v>#REF!</v>
      </c>
      <c r="N948" t="s">
        <v>23</v>
      </c>
      <c r="O948" t="e">
        <f>+_xlfn.XLOOKUP(tbl_encuesta[[#This Row],[Siento que mi trabajo es reconocido por mi supervisor o jefe directo.]],#REF!,#REF!)</f>
        <v>#REF!</v>
      </c>
      <c r="P948" t="s">
        <v>31</v>
      </c>
      <c r="Q948" t="e">
        <f xml:space="preserve">
_xlfn.XLOOKUP(
tbl_encuesta[[#This Row],[Mi supervisor o jefe directo nos brinda charlas de 5 minutos y comunica las novedades relevantes a mi puesto de trabajo]],#REF!,#REF!
)</f>
        <v>#REF!</v>
      </c>
      <c r="R948" t="s">
        <v>17</v>
      </c>
      <c r="T948" t="s">
        <v>19</v>
      </c>
      <c r="W948" t="s">
        <v>25</v>
      </c>
      <c r="X948" t="s">
        <v>23</v>
      </c>
      <c r="Y948" t="e">
        <f>+_xlfn.XLOOKUP(tbl_encuesta[[#This Row],[Considero a Limtek como un buen lugar para trabajar]],#REF!,#REF!)</f>
        <v>#REF!</v>
      </c>
      <c r="Z948" t="s">
        <v>1397</v>
      </c>
      <c r="AA948" t="s">
        <v>2402</v>
      </c>
      <c r="AB948" t="s">
        <v>28</v>
      </c>
      <c r="AC948" t="s">
        <v>3592</v>
      </c>
      <c r="AD948" t="s">
        <v>2403</v>
      </c>
      <c r="AE948" t="s">
        <v>69</v>
      </c>
    </row>
    <row r="949" spans="1:31" x14ac:dyDescent="0.25">
      <c r="A949">
        <v>119026813294</v>
      </c>
      <c r="B949">
        <v>462598545</v>
      </c>
      <c r="C949" s="1">
        <v>46017.618032407408</v>
      </c>
      <c r="D949" s="1">
        <v>46017.620046296295</v>
      </c>
      <c r="E949" t="s">
        <v>2401</v>
      </c>
      <c r="F949" t="s">
        <v>23</v>
      </c>
      <c r="G949" t="e">
        <f>+_xlfn.XLOOKUP(tbl_encuesta[[#This Row],[Me siento a gusto con el ambiente de trabajo que se genera en mi equipo.]],#REF!,#REF!)</f>
        <v>#REF!</v>
      </c>
      <c r="H949" t="s">
        <v>23</v>
      </c>
      <c r="I949" t="e">
        <f>+_xlfn.XLOOKUP(tbl_encuesta[[#This Row],[Me siento motivado a dar lo mejor de mí y hacer un buen trabajo]],#REF!,#REF!)</f>
        <v>#REF!</v>
      </c>
      <c r="J949" t="s">
        <v>23</v>
      </c>
      <c r="K949" t="e">
        <f>+_xlfn.XLOOKUP(tbl_encuesta[[#This Row],[Mi supervisor o jefe directo me otorga el soporte que necesito para afrontar cualquier problema que afecte mi trabajo]],#REF!,#REF!)</f>
        <v>#REF!</v>
      </c>
      <c r="L949" t="s">
        <v>23</v>
      </c>
      <c r="M949" t="e">
        <f>+_xlfn.XLOOKUP(tbl_encuesta[[#This Row],[Mi supervisor o jefe directo fomenta que nos apoyemos entre todos en el equipo]],#REF!,#REF!)</f>
        <v>#REF!</v>
      </c>
      <c r="N949" t="s">
        <v>23</v>
      </c>
      <c r="O949" t="e">
        <f>+_xlfn.XLOOKUP(tbl_encuesta[[#This Row],[Siento que mi trabajo es reconocido por mi supervisor o jefe directo.]],#REF!,#REF!)</f>
        <v>#REF!</v>
      </c>
      <c r="P949" t="s">
        <v>31</v>
      </c>
      <c r="Q949" t="e">
        <f xml:space="preserve">
_xlfn.XLOOKUP(
tbl_encuesta[[#This Row],[Mi supervisor o jefe directo nos brinda charlas de 5 minutos y comunica las novedades relevantes a mi puesto de trabajo]],#REF!,#REF!
)</f>
        <v>#REF!</v>
      </c>
      <c r="R949" t="s">
        <v>17</v>
      </c>
      <c r="T949" t="s">
        <v>19</v>
      </c>
      <c r="W949" t="s">
        <v>25</v>
      </c>
      <c r="X949" t="s">
        <v>23</v>
      </c>
      <c r="Y949" t="e">
        <f>+_xlfn.XLOOKUP(tbl_encuesta[[#This Row],[Considero a Limtek como un buen lugar para trabajar]],#REF!,#REF!)</f>
        <v>#REF!</v>
      </c>
      <c r="Z949" t="s">
        <v>2404</v>
      </c>
      <c r="AA949" t="s">
        <v>2402</v>
      </c>
      <c r="AB949" t="s">
        <v>28</v>
      </c>
      <c r="AC949" t="s">
        <v>3592</v>
      </c>
      <c r="AD949" t="s">
        <v>2403</v>
      </c>
      <c r="AE949" t="s">
        <v>69</v>
      </c>
    </row>
    <row r="950" spans="1:31" x14ac:dyDescent="0.25">
      <c r="A950">
        <v>119026812792</v>
      </c>
      <c r="B950">
        <v>462598545</v>
      </c>
      <c r="C950" s="1">
        <v>46017.614884259259</v>
      </c>
      <c r="D950" s="1">
        <v>46017.618842592594</v>
      </c>
      <c r="E950" t="s">
        <v>1903</v>
      </c>
      <c r="F950" t="s">
        <v>23</v>
      </c>
      <c r="G950" t="e">
        <f>+_xlfn.XLOOKUP(tbl_encuesta[[#This Row],[Me siento a gusto con el ambiente de trabajo que se genera en mi equipo.]],#REF!,#REF!)</f>
        <v>#REF!</v>
      </c>
      <c r="H950" t="s">
        <v>23</v>
      </c>
      <c r="I950" t="e">
        <f>+_xlfn.XLOOKUP(tbl_encuesta[[#This Row],[Me siento motivado a dar lo mejor de mí y hacer un buen trabajo]],#REF!,#REF!)</f>
        <v>#REF!</v>
      </c>
      <c r="J950" t="s">
        <v>23</v>
      </c>
      <c r="K950" t="e">
        <f>+_xlfn.XLOOKUP(tbl_encuesta[[#This Row],[Mi supervisor o jefe directo me otorga el soporte que necesito para afrontar cualquier problema que afecte mi trabajo]],#REF!,#REF!)</f>
        <v>#REF!</v>
      </c>
      <c r="L950" t="s">
        <v>23</v>
      </c>
      <c r="M950" t="e">
        <f>+_xlfn.XLOOKUP(tbl_encuesta[[#This Row],[Mi supervisor o jefe directo fomenta que nos apoyemos entre todos en el equipo]],#REF!,#REF!)</f>
        <v>#REF!</v>
      </c>
      <c r="N950" t="s">
        <v>23</v>
      </c>
      <c r="O950" t="e">
        <f>+_xlfn.XLOOKUP(tbl_encuesta[[#This Row],[Siento que mi trabajo es reconocido por mi supervisor o jefe directo.]],#REF!,#REF!)</f>
        <v>#REF!</v>
      </c>
      <c r="P950" t="s">
        <v>31</v>
      </c>
      <c r="Q950" t="e">
        <f xml:space="preserve">
_xlfn.XLOOKUP(
tbl_encuesta[[#This Row],[Mi supervisor o jefe directo nos brinda charlas de 5 minutos y comunica las novedades relevantes a mi puesto de trabajo]],#REF!,#REF!
)</f>
        <v>#REF!</v>
      </c>
      <c r="R950" t="s">
        <v>17</v>
      </c>
      <c r="W950" t="s">
        <v>25</v>
      </c>
      <c r="X950" t="s">
        <v>23</v>
      </c>
      <c r="Y950" t="e">
        <f>+_xlfn.XLOOKUP(tbl_encuesta[[#This Row],[Considero a Limtek como un buen lugar para trabajar]],#REF!,#REF!)</f>
        <v>#REF!</v>
      </c>
      <c r="Z950" t="s">
        <v>2405</v>
      </c>
      <c r="AA950" t="s">
        <v>622</v>
      </c>
      <c r="AB950" t="s">
        <v>559</v>
      </c>
      <c r="AC950" t="s">
        <v>3744</v>
      </c>
      <c r="AD950" t="s">
        <v>3744</v>
      </c>
      <c r="AE950" t="s">
        <v>69</v>
      </c>
    </row>
    <row r="951" spans="1:31" x14ac:dyDescent="0.25">
      <c r="A951">
        <v>119026812336</v>
      </c>
      <c r="B951">
        <v>462598545</v>
      </c>
      <c r="C951" s="1">
        <v>46017.614224537036</v>
      </c>
      <c r="D951" s="1">
        <v>46017.617812500001</v>
      </c>
      <c r="E951" t="s">
        <v>2406</v>
      </c>
      <c r="F951" t="s">
        <v>23</v>
      </c>
      <c r="G951" t="e">
        <f>+_xlfn.XLOOKUP(tbl_encuesta[[#This Row],[Me siento a gusto con el ambiente de trabajo que se genera en mi equipo.]],#REF!,#REF!)</f>
        <v>#REF!</v>
      </c>
      <c r="H951" t="s">
        <v>23</v>
      </c>
      <c r="I951" t="e">
        <f>+_xlfn.XLOOKUP(tbl_encuesta[[#This Row],[Me siento motivado a dar lo mejor de mí y hacer un buen trabajo]],#REF!,#REF!)</f>
        <v>#REF!</v>
      </c>
      <c r="J951" t="s">
        <v>23</v>
      </c>
      <c r="K951" t="e">
        <f>+_xlfn.XLOOKUP(tbl_encuesta[[#This Row],[Mi supervisor o jefe directo me otorga el soporte que necesito para afrontar cualquier problema que afecte mi trabajo]],#REF!,#REF!)</f>
        <v>#REF!</v>
      </c>
      <c r="L951" t="s">
        <v>23</v>
      </c>
      <c r="M951" t="e">
        <f>+_xlfn.XLOOKUP(tbl_encuesta[[#This Row],[Mi supervisor o jefe directo fomenta que nos apoyemos entre todos en el equipo]],#REF!,#REF!)</f>
        <v>#REF!</v>
      </c>
      <c r="N951" t="s">
        <v>23</v>
      </c>
      <c r="O951" t="e">
        <f>+_xlfn.XLOOKUP(tbl_encuesta[[#This Row],[Siento que mi trabajo es reconocido por mi supervisor o jefe directo.]],#REF!,#REF!)</f>
        <v>#REF!</v>
      </c>
      <c r="P951" t="s">
        <v>31</v>
      </c>
      <c r="Q951" t="e">
        <f xml:space="preserve">
_xlfn.XLOOKUP(
tbl_encuesta[[#This Row],[Mi supervisor o jefe directo nos brinda charlas de 5 minutos y comunica las novedades relevantes a mi puesto de trabajo]],#REF!,#REF!
)</f>
        <v>#REF!</v>
      </c>
      <c r="R951" t="s">
        <v>17</v>
      </c>
      <c r="W951" t="s">
        <v>25</v>
      </c>
      <c r="X951" t="s">
        <v>23</v>
      </c>
      <c r="Y951" t="e">
        <f>+_xlfn.XLOOKUP(tbl_encuesta[[#This Row],[Considero a Limtek como un buen lugar para trabajar]],#REF!,#REF!)</f>
        <v>#REF!</v>
      </c>
      <c r="Z951" t="s">
        <v>132</v>
      </c>
      <c r="AA951" t="s">
        <v>2407</v>
      </c>
      <c r="AB951" t="s">
        <v>28</v>
      </c>
      <c r="AC951" s="3" t="s">
        <v>3729</v>
      </c>
      <c r="AD951" s="3" t="s">
        <v>3730</v>
      </c>
      <c r="AE951" t="s">
        <v>34</v>
      </c>
    </row>
    <row r="952" spans="1:31" x14ac:dyDescent="0.25">
      <c r="A952">
        <v>119026812026</v>
      </c>
      <c r="B952">
        <v>462598545</v>
      </c>
      <c r="C952" s="1">
        <v>46017.608298611114</v>
      </c>
      <c r="D952" s="1">
        <v>46017.617071759261</v>
      </c>
      <c r="E952" t="s">
        <v>2401</v>
      </c>
      <c r="F952" t="s">
        <v>23</v>
      </c>
      <c r="G952" t="e">
        <f>+_xlfn.XLOOKUP(tbl_encuesta[[#This Row],[Me siento a gusto con el ambiente de trabajo que se genera en mi equipo.]],#REF!,#REF!)</f>
        <v>#REF!</v>
      </c>
      <c r="H952" t="s">
        <v>23</v>
      </c>
      <c r="I952" t="e">
        <f>+_xlfn.XLOOKUP(tbl_encuesta[[#This Row],[Me siento motivado a dar lo mejor de mí y hacer un buen trabajo]],#REF!,#REF!)</f>
        <v>#REF!</v>
      </c>
      <c r="J952" t="s">
        <v>23</v>
      </c>
      <c r="K952" t="e">
        <f>+_xlfn.XLOOKUP(tbl_encuesta[[#This Row],[Mi supervisor o jefe directo me otorga el soporte que necesito para afrontar cualquier problema que afecte mi trabajo]],#REF!,#REF!)</f>
        <v>#REF!</v>
      </c>
      <c r="L952" t="s">
        <v>23</v>
      </c>
      <c r="M952" t="e">
        <f>+_xlfn.XLOOKUP(tbl_encuesta[[#This Row],[Mi supervisor o jefe directo fomenta que nos apoyemos entre todos en el equipo]],#REF!,#REF!)</f>
        <v>#REF!</v>
      </c>
      <c r="N952" t="s">
        <v>23</v>
      </c>
      <c r="O952" t="e">
        <f>+_xlfn.XLOOKUP(tbl_encuesta[[#This Row],[Siento que mi trabajo es reconocido por mi supervisor o jefe directo.]],#REF!,#REF!)</f>
        <v>#REF!</v>
      </c>
      <c r="P952" t="s">
        <v>31</v>
      </c>
      <c r="Q952" t="e">
        <f xml:space="preserve">
_xlfn.XLOOKUP(
tbl_encuesta[[#This Row],[Mi supervisor o jefe directo nos brinda charlas de 5 minutos y comunica las novedades relevantes a mi puesto de trabajo]],#REF!,#REF!
)</f>
        <v>#REF!</v>
      </c>
      <c r="R952" t="s">
        <v>17</v>
      </c>
      <c r="U952" t="s">
        <v>20</v>
      </c>
      <c r="W952" t="s">
        <v>25</v>
      </c>
      <c r="X952" t="s">
        <v>23</v>
      </c>
      <c r="Y952" t="e">
        <f>+_xlfn.XLOOKUP(tbl_encuesta[[#This Row],[Considero a Limtek como un buen lugar para trabajar]],#REF!,#REF!)</f>
        <v>#REF!</v>
      </c>
      <c r="Z952" t="s">
        <v>576</v>
      </c>
      <c r="AA952" t="s">
        <v>2408</v>
      </c>
      <c r="AB952" t="s">
        <v>28</v>
      </c>
      <c r="AC952" t="s">
        <v>3592</v>
      </c>
      <c r="AD952" t="s">
        <v>2403</v>
      </c>
      <c r="AE952" t="s">
        <v>69</v>
      </c>
    </row>
    <row r="953" spans="1:31" x14ac:dyDescent="0.25">
      <c r="A953">
        <v>119026811302</v>
      </c>
      <c r="B953">
        <v>462598545</v>
      </c>
      <c r="C953" s="1">
        <v>46017.603263888886</v>
      </c>
      <c r="D953" s="1">
        <v>46017.615555555552</v>
      </c>
      <c r="E953" t="s">
        <v>2409</v>
      </c>
      <c r="F953" t="s">
        <v>23</v>
      </c>
      <c r="G953" t="e">
        <f>+_xlfn.XLOOKUP(tbl_encuesta[[#This Row],[Me siento a gusto con el ambiente de trabajo que se genera en mi equipo.]],#REF!,#REF!)</f>
        <v>#REF!</v>
      </c>
      <c r="H953" t="s">
        <v>23</v>
      </c>
      <c r="I953" t="e">
        <f>+_xlfn.XLOOKUP(tbl_encuesta[[#This Row],[Me siento motivado a dar lo mejor de mí y hacer un buen trabajo]],#REF!,#REF!)</f>
        <v>#REF!</v>
      </c>
      <c r="J953" t="s">
        <v>22</v>
      </c>
      <c r="K953" t="e">
        <f>+_xlfn.XLOOKUP(tbl_encuesta[[#This Row],[Mi supervisor o jefe directo me otorga el soporte que necesito para afrontar cualquier problema que afecte mi trabajo]],#REF!,#REF!)</f>
        <v>#REF!</v>
      </c>
      <c r="L953" t="s">
        <v>23</v>
      </c>
      <c r="M953" t="e">
        <f>+_xlfn.XLOOKUP(tbl_encuesta[[#This Row],[Mi supervisor o jefe directo fomenta que nos apoyemos entre todos en el equipo]],#REF!,#REF!)</f>
        <v>#REF!</v>
      </c>
      <c r="N953" t="s">
        <v>23</v>
      </c>
      <c r="O953" t="e">
        <f>+_xlfn.XLOOKUP(tbl_encuesta[[#This Row],[Siento que mi trabajo es reconocido por mi supervisor o jefe directo.]],#REF!,#REF!)</f>
        <v>#REF!</v>
      </c>
      <c r="P953" t="s">
        <v>31</v>
      </c>
      <c r="Q953" t="e">
        <f xml:space="preserve">
_xlfn.XLOOKUP(
tbl_encuesta[[#This Row],[Mi supervisor o jefe directo nos brinda charlas de 5 minutos y comunica las novedades relevantes a mi puesto de trabajo]],#REF!,#REF!
)</f>
        <v>#REF!</v>
      </c>
      <c r="S953" t="s">
        <v>18</v>
      </c>
      <c r="W953" t="s">
        <v>25</v>
      </c>
      <c r="X953" t="s">
        <v>23</v>
      </c>
      <c r="Y953" t="e">
        <f>+_xlfn.XLOOKUP(tbl_encuesta[[#This Row],[Considero a Limtek como un buen lugar para trabajar]],#REF!,#REF!)</f>
        <v>#REF!</v>
      </c>
      <c r="Z953" t="s">
        <v>2410</v>
      </c>
      <c r="AA953" t="s">
        <v>2411</v>
      </c>
      <c r="AB953" t="s">
        <v>28</v>
      </c>
      <c r="AC953" s="3" t="s">
        <v>3729</v>
      </c>
      <c r="AD953" s="3" t="s">
        <v>3730</v>
      </c>
      <c r="AE953" t="s">
        <v>69</v>
      </c>
    </row>
    <row r="954" spans="1:31" x14ac:dyDescent="0.25">
      <c r="A954">
        <v>119026811069</v>
      </c>
      <c r="B954">
        <v>462598545</v>
      </c>
      <c r="C954" s="1">
        <v>46017.611516203702</v>
      </c>
      <c r="D954" s="1">
        <v>46017.615034722221</v>
      </c>
      <c r="E954" t="s">
        <v>2412</v>
      </c>
      <c r="F954" t="s">
        <v>22</v>
      </c>
      <c r="G954" t="e">
        <f>+_xlfn.XLOOKUP(tbl_encuesta[[#This Row],[Me siento a gusto con el ambiente de trabajo que se genera en mi equipo.]],#REF!,#REF!)</f>
        <v>#REF!</v>
      </c>
      <c r="H954" t="s">
        <v>22</v>
      </c>
      <c r="I954" t="e">
        <f>+_xlfn.XLOOKUP(tbl_encuesta[[#This Row],[Me siento motivado a dar lo mejor de mí y hacer un buen trabajo]],#REF!,#REF!)</f>
        <v>#REF!</v>
      </c>
      <c r="J954" t="s">
        <v>22</v>
      </c>
      <c r="K954" t="e">
        <f>+_xlfn.XLOOKUP(tbl_encuesta[[#This Row],[Mi supervisor o jefe directo me otorga el soporte que necesito para afrontar cualquier problema que afecte mi trabajo]],#REF!,#REF!)</f>
        <v>#REF!</v>
      </c>
      <c r="L954" t="s">
        <v>22</v>
      </c>
      <c r="M954" t="e">
        <f>+_xlfn.XLOOKUP(tbl_encuesta[[#This Row],[Mi supervisor o jefe directo fomenta que nos apoyemos entre todos en el equipo]],#REF!,#REF!)</f>
        <v>#REF!</v>
      </c>
      <c r="N954" t="s">
        <v>22</v>
      </c>
      <c r="O954" t="e">
        <f>+_xlfn.XLOOKUP(tbl_encuesta[[#This Row],[Siento que mi trabajo es reconocido por mi supervisor o jefe directo.]],#REF!,#REF!)</f>
        <v>#REF!</v>
      </c>
      <c r="P954" t="s">
        <v>67</v>
      </c>
      <c r="Q954" t="e">
        <f xml:space="preserve">
_xlfn.XLOOKUP(
tbl_encuesta[[#This Row],[Mi supervisor o jefe directo nos brinda charlas de 5 minutos y comunica las novedades relevantes a mi puesto de trabajo]],#REF!,#REF!
)</f>
        <v>#REF!</v>
      </c>
      <c r="S954" t="s">
        <v>18</v>
      </c>
      <c r="U954" t="s">
        <v>20</v>
      </c>
      <c r="W954" t="s">
        <v>25</v>
      </c>
      <c r="X954" t="s">
        <v>43</v>
      </c>
      <c r="Y954" t="e">
        <f>+_xlfn.XLOOKUP(tbl_encuesta[[#This Row],[Considero a Limtek como un buen lugar para trabajar]],#REF!,#REF!)</f>
        <v>#REF!</v>
      </c>
      <c r="Z954" t="s">
        <v>2413</v>
      </c>
      <c r="AA954" t="s">
        <v>2414</v>
      </c>
      <c r="AB954" t="s">
        <v>72</v>
      </c>
      <c r="AC954" s="3" t="s">
        <v>3842</v>
      </c>
      <c r="AD954" s="3" t="s">
        <v>3843</v>
      </c>
      <c r="AE954" t="s">
        <v>55</v>
      </c>
    </row>
    <row r="955" spans="1:31" x14ac:dyDescent="0.25">
      <c r="A955">
        <v>119026810519</v>
      </c>
      <c r="B955">
        <v>462598545</v>
      </c>
      <c r="C955" s="1">
        <v>46017.611076388886</v>
      </c>
      <c r="D955" s="1">
        <v>46017.613865740743</v>
      </c>
      <c r="E955" t="s">
        <v>2415</v>
      </c>
      <c r="F955" t="s">
        <v>22</v>
      </c>
      <c r="G955" t="e">
        <f>+_xlfn.XLOOKUP(tbl_encuesta[[#This Row],[Me siento a gusto con el ambiente de trabajo que se genera en mi equipo.]],#REF!,#REF!)</f>
        <v>#REF!</v>
      </c>
      <c r="H955" t="s">
        <v>22</v>
      </c>
      <c r="I955" t="e">
        <f>+_xlfn.XLOOKUP(tbl_encuesta[[#This Row],[Me siento motivado a dar lo mejor de mí y hacer un buen trabajo]],#REF!,#REF!)</f>
        <v>#REF!</v>
      </c>
      <c r="J955" t="s">
        <v>22</v>
      </c>
      <c r="K955" t="e">
        <f>+_xlfn.XLOOKUP(tbl_encuesta[[#This Row],[Mi supervisor o jefe directo me otorga el soporte que necesito para afrontar cualquier problema que afecte mi trabajo]],#REF!,#REF!)</f>
        <v>#REF!</v>
      </c>
      <c r="L955" t="s">
        <v>22</v>
      </c>
      <c r="M955" t="e">
        <f>+_xlfn.XLOOKUP(tbl_encuesta[[#This Row],[Mi supervisor o jefe directo fomenta que nos apoyemos entre todos en el equipo]],#REF!,#REF!)</f>
        <v>#REF!</v>
      </c>
      <c r="N955" t="s">
        <v>43</v>
      </c>
      <c r="O955" t="e">
        <f>+_xlfn.XLOOKUP(tbl_encuesta[[#This Row],[Siento que mi trabajo es reconocido por mi supervisor o jefe directo.]],#REF!,#REF!)</f>
        <v>#REF!</v>
      </c>
      <c r="P955" t="s">
        <v>67</v>
      </c>
      <c r="Q955" t="e">
        <f xml:space="preserve">
_xlfn.XLOOKUP(
tbl_encuesta[[#This Row],[Mi supervisor o jefe directo nos brinda charlas de 5 minutos y comunica las novedades relevantes a mi puesto de trabajo]],#REF!,#REF!
)</f>
        <v>#REF!</v>
      </c>
      <c r="R955" t="s">
        <v>17</v>
      </c>
      <c r="T955" t="s">
        <v>19</v>
      </c>
      <c r="W955" t="s">
        <v>25</v>
      </c>
      <c r="X955" t="s">
        <v>23</v>
      </c>
      <c r="Y955" t="e">
        <f>+_xlfn.XLOOKUP(tbl_encuesta[[#This Row],[Considero a Limtek como un buen lugar para trabajar]],#REF!,#REF!)</f>
        <v>#REF!</v>
      </c>
      <c r="Z955" t="s">
        <v>2416</v>
      </c>
      <c r="AA955" t="s">
        <v>2417</v>
      </c>
      <c r="AB955" t="s">
        <v>28</v>
      </c>
      <c r="AC955" s="3" t="s">
        <v>3736</v>
      </c>
      <c r="AD955" s="3" t="s">
        <v>3736</v>
      </c>
      <c r="AE955" t="s">
        <v>69</v>
      </c>
    </row>
    <row r="956" spans="1:31" x14ac:dyDescent="0.25">
      <c r="A956">
        <v>119026810094</v>
      </c>
      <c r="B956">
        <v>462598545</v>
      </c>
      <c r="C956" s="1">
        <v>46017.59783564815</v>
      </c>
      <c r="D956" s="1">
        <v>46017.612893518519</v>
      </c>
      <c r="E956" t="s">
        <v>2418</v>
      </c>
      <c r="F956" t="s">
        <v>23</v>
      </c>
      <c r="G956" t="e">
        <f>+_xlfn.XLOOKUP(tbl_encuesta[[#This Row],[Me siento a gusto con el ambiente de trabajo que se genera en mi equipo.]],#REF!,#REF!)</f>
        <v>#REF!</v>
      </c>
      <c r="H956" t="s">
        <v>23</v>
      </c>
      <c r="I956" t="e">
        <f>+_xlfn.XLOOKUP(tbl_encuesta[[#This Row],[Me siento motivado a dar lo mejor de mí y hacer un buen trabajo]],#REF!,#REF!)</f>
        <v>#REF!</v>
      </c>
      <c r="J956" t="s">
        <v>23</v>
      </c>
      <c r="K956" t="e">
        <f>+_xlfn.XLOOKUP(tbl_encuesta[[#This Row],[Mi supervisor o jefe directo me otorga el soporte que necesito para afrontar cualquier problema que afecte mi trabajo]],#REF!,#REF!)</f>
        <v>#REF!</v>
      </c>
      <c r="L956" t="s">
        <v>23</v>
      </c>
      <c r="M956" t="e">
        <f>+_xlfn.XLOOKUP(tbl_encuesta[[#This Row],[Mi supervisor o jefe directo fomenta que nos apoyemos entre todos en el equipo]],#REF!,#REF!)</f>
        <v>#REF!</v>
      </c>
      <c r="N956" t="s">
        <v>23</v>
      </c>
      <c r="O956" t="e">
        <f>+_xlfn.XLOOKUP(tbl_encuesta[[#This Row],[Siento que mi trabajo es reconocido por mi supervisor o jefe directo.]],#REF!,#REF!)</f>
        <v>#REF!</v>
      </c>
      <c r="P956" t="s">
        <v>31</v>
      </c>
      <c r="Q956" t="e">
        <f xml:space="preserve">
_xlfn.XLOOKUP(
tbl_encuesta[[#This Row],[Mi supervisor o jefe directo nos brinda charlas de 5 minutos y comunica las novedades relevantes a mi puesto de trabajo]],#REF!,#REF!
)</f>
        <v>#REF!</v>
      </c>
      <c r="R956" t="s">
        <v>17</v>
      </c>
      <c r="W956" t="s">
        <v>25</v>
      </c>
      <c r="X956" t="s">
        <v>23</v>
      </c>
      <c r="Y956" t="e">
        <f>+_xlfn.XLOOKUP(tbl_encuesta[[#This Row],[Considero a Limtek como un buen lugar para trabajar]],#REF!,#REF!)</f>
        <v>#REF!</v>
      </c>
      <c r="Z956" t="s">
        <v>2419</v>
      </c>
      <c r="AA956" t="s">
        <v>2420</v>
      </c>
      <c r="AB956" t="s">
        <v>28</v>
      </c>
      <c r="AC956" s="3" t="s">
        <v>3729</v>
      </c>
      <c r="AD956" s="3" t="s">
        <v>3730</v>
      </c>
      <c r="AE956" t="s">
        <v>34</v>
      </c>
    </row>
    <row r="957" spans="1:31" x14ac:dyDescent="0.25">
      <c r="A957">
        <v>119026809623</v>
      </c>
      <c r="B957">
        <v>462598545</v>
      </c>
      <c r="C957" s="1">
        <v>46017.610092592593</v>
      </c>
      <c r="D957" s="1">
        <v>46017.611805555556</v>
      </c>
      <c r="E957" t="s">
        <v>2421</v>
      </c>
      <c r="F957" t="s">
        <v>23</v>
      </c>
      <c r="G957" t="e">
        <f>+_xlfn.XLOOKUP(tbl_encuesta[[#This Row],[Me siento a gusto con el ambiente de trabajo que se genera en mi equipo.]],#REF!,#REF!)</f>
        <v>#REF!</v>
      </c>
      <c r="H957" t="s">
        <v>23</v>
      </c>
      <c r="I957" t="e">
        <f>+_xlfn.XLOOKUP(tbl_encuesta[[#This Row],[Me siento motivado a dar lo mejor de mí y hacer un buen trabajo]],#REF!,#REF!)</f>
        <v>#REF!</v>
      </c>
      <c r="J957" t="s">
        <v>22</v>
      </c>
      <c r="K957" t="e">
        <f>+_xlfn.XLOOKUP(tbl_encuesta[[#This Row],[Mi supervisor o jefe directo me otorga el soporte que necesito para afrontar cualquier problema que afecte mi trabajo]],#REF!,#REF!)</f>
        <v>#REF!</v>
      </c>
      <c r="L957" t="s">
        <v>23</v>
      </c>
      <c r="M957" t="e">
        <f>+_xlfn.XLOOKUP(tbl_encuesta[[#This Row],[Mi supervisor o jefe directo fomenta que nos apoyemos entre todos en el equipo]],#REF!,#REF!)</f>
        <v>#REF!</v>
      </c>
      <c r="N957" t="s">
        <v>22</v>
      </c>
      <c r="O957" t="e">
        <f>+_xlfn.XLOOKUP(tbl_encuesta[[#This Row],[Siento que mi trabajo es reconocido por mi supervisor o jefe directo.]],#REF!,#REF!)</f>
        <v>#REF!</v>
      </c>
      <c r="P957" t="s">
        <v>31</v>
      </c>
      <c r="Q957" t="e">
        <f xml:space="preserve">
_xlfn.XLOOKUP(
tbl_encuesta[[#This Row],[Mi supervisor o jefe directo nos brinda charlas de 5 minutos y comunica las novedades relevantes a mi puesto de trabajo]],#REF!,#REF!
)</f>
        <v>#REF!</v>
      </c>
      <c r="R957" t="s">
        <v>17</v>
      </c>
      <c r="W957" t="s">
        <v>46</v>
      </c>
      <c r="X957" t="s">
        <v>23</v>
      </c>
      <c r="Y957" t="e">
        <f>+_xlfn.XLOOKUP(tbl_encuesta[[#This Row],[Considero a Limtek como un buen lugar para trabajar]],#REF!,#REF!)</f>
        <v>#REF!</v>
      </c>
      <c r="Z957" t="s">
        <v>329</v>
      </c>
      <c r="AA957" t="s">
        <v>329</v>
      </c>
      <c r="AB957" t="s">
        <v>28</v>
      </c>
      <c r="AC957" s="3" t="s">
        <v>3736</v>
      </c>
      <c r="AD957" s="3" t="s">
        <v>3736</v>
      </c>
      <c r="AE957" t="s">
        <v>55</v>
      </c>
    </row>
    <row r="958" spans="1:31" x14ac:dyDescent="0.25">
      <c r="A958">
        <v>119026809361</v>
      </c>
      <c r="B958">
        <v>462598545</v>
      </c>
      <c r="C958" s="1">
        <v>46017.60900462963</v>
      </c>
      <c r="D958" s="1">
        <v>46017.611238425925</v>
      </c>
      <c r="E958" t="s">
        <v>2422</v>
      </c>
      <c r="F958" t="s">
        <v>22</v>
      </c>
      <c r="G958" t="e">
        <f>+_xlfn.XLOOKUP(tbl_encuesta[[#This Row],[Me siento a gusto con el ambiente de trabajo que se genera en mi equipo.]],#REF!,#REF!)</f>
        <v>#REF!</v>
      </c>
      <c r="H958" t="s">
        <v>22</v>
      </c>
      <c r="I958" t="e">
        <f>+_xlfn.XLOOKUP(tbl_encuesta[[#This Row],[Me siento motivado a dar lo mejor de mí y hacer un buen trabajo]],#REF!,#REF!)</f>
        <v>#REF!</v>
      </c>
      <c r="J958" t="s">
        <v>22</v>
      </c>
      <c r="K958" t="e">
        <f>+_xlfn.XLOOKUP(tbl_encuesta[[#This Row],[Mi supervisor o jefe directo me otorga el soporte que necesito para afrontar cualquier problema que afecte mi trabajo]],#REF!,#REF!)</f>
        <v>#REF!</v>
      </c>
      <c r="L958" t="s">
        <v>22</v>
      </c>
      <c r="M958" t="e">
        <f>+_xlfn.XLOOKUP(tbl_encuesta[[#This Row],[Mi supervisor o jefe directo fomenta que nos apoyemos entre todos en el equipo]],#REF!,#REF!)</f>
        <v>#REF!</v>
      </c>
      <c r="N958" t="s">
        <v>22</v>
      </c>
      <c r="O958" t="e">
        <f>+_xlfn.XLOOKUP(tbl_encuesta[[#This Row],[Siento que mi trabajo es reconocido por mi supervisor o jefe directo.]],#REF!,#REF!)</f>
        <v>#REF!</v>
      </c>
      <c r="P958" t="s">
        <v>67</v>
      </c>
      <c r="Q958" t="e">
        <f xml:space="preserve">
_xlfn.XLOOKUP(
tbl_encuesta[[#This Row],[Mi supervisor o jefe directo nos brinda charlas de 5 minutos y comunica las novedades relevantes a mi puesto de trabajo]],#REF!,#REF!
)</f>
        <v>#REF!</v>
      </c>
      <c r="T958" t="s">
        <v>19</v>
      </c>
      <c r="W958" t="s">
        <v>46</v>
      </c>
      <c r="X958" t="s">
        <v>22</v>
      </c>
      <c r="Y958" t="e">
        <f>+_xlfn.XLOOKUP(tbl_encuesta[[#This Row],[Considero a Limtek como un buen lugar para trabajar]],#REF!,#REF!)</f>
        <v>#REF!</v>
      </c>
      <c r="Z958" t="s">
        <v>1048</v>
      </c>
      <c r="AA958" t="s">
        <v>1196</v>
      </c>
      <c r="AB958" t="s">
        <v>28</v>
      </c>
      <c r="AC958" s="3" t="s">
        <v>3705</v>
      </c>
      <c r="AD958" s="3" t="s">
        <v>3705</v>
      </c>
      <c r="AE958" t="s">
        <v>61</v>
      </c>
    </row>
    <row r="959" spans="1:31" x14ac:dyDescent="0.25">
      <c r="A959">
        <v>119026808945</v>
      </c>
      <c r="B959">
        <v>462598545</v>
      </c>
      <c r="C959" s="1">
        <v>46017.604733796295</v>
      </c>
      <c r="D959" s="1">
        <v>46017.610381944447</v>
      </c>
      <c r="E959" t="s">
        <v>2222</v>
      </c>
      <c r="F959" t="s">
        <v>23</v>
      </c>
      <c r="G959" t="e">
        <f>+_xlfn.XLOOKUP(tbl_encuesta[[#This Row],[Me siento a gusto con el ambiente de trabajo que se genera en mi equipo.]],#REF!,#REF!)</f>
        <v>#REF!</v>
      </c>
      <c r="H959" t="s">
        <v>23</v>
      </c>
      <c r="I959" t="e">
        <f>+_xlfn.XLOOKUP(tbl_encuesta[[#This Row],[Me siento motivado a dar lo mejor de mí y hacer un buen trabajo]],#REF!,#REF!)</f>
        <v>#REF!</v>
      </c>
      <c r="J959" t="s">
        <v>23</v>
      </c>
      <c r="K959" t="e">
        <f>+_xlfn.XLOOKUP(tbl_encuesta[[#This Row],[Mi supervisor o jefe directo me otorga el soporte que necesito para afrontar cualquier problema que afecte mi trabajo]],#REF!,#REF!)</f>
        <v>#REF!</v>
      </c>
      <c r="L959" t="s">
        <v>23</v>
      </c>
      <c r="M959" t="e">
        <f>+_xlfn.XLOOKUP(tbl_encuesta[[#This Row],[Mi supervisor o jefe directo fomenta que nos apoyemos entre todos en el equipo]],#REF!,#REF!)</f>
        <v>#REF!</v>
      </c>
      <c r="N959" t="s">
        <v>23</v>
      </c>
      <c r="O959" t="e">
        <f>+_xlfn.XLOOKUP(tbl_encuesta[[#This Row],[Siento que mi trabajo es reconocido por mi supervisor o jefe directo.]],#REF!,#REF!)</f>
        <v>#REF!</v>
      </c>
      <c r="P959" t="s">
        <v>31</v>
      </c>
      <c r="Q959" t="e">
        <f xml:space="preserve">
_xlfn.XLOOKUP(
tbl_encuesta[[#This Row],[Mi supervisor o jefe directo nos brinda charlas de 5 minutos y comunica las novedades relevantes a mi puesto de trabajo]],#REF!,#REF!
)</f>
        <v>#REF!</v>
      </c>
      <c r="R959" t="s">
        <v>17</v>
      </c>
      <c r="T959" t="s">
        <v>19</v>
      </c>
      <c r="W959" t="s">
        <v>25</v>
      </c>
      <c r="X959" t="s">
        <v>23</v>
      </c>
      <c r="Y959" t="e">
        <f>+_xlfn.XLOOKUP(tbl_encuesta[[#This Row],[Considero a Limtek como un buen lugar para trabajar]],#REF!,#REF!)</f>
        <v>#REF!</v>
      </c>
      <c r="Z959" t="s">
        <v>2423</v>
      </c>
      <c r="AA959" t="s">
        <v>2424</v>
      </c>
      <c r="AB959" t="s">
        <v>559</v>
      </c>
      <c r="AC959" s="3" t="s">
        <v>3716</v>
      </c>
      <c r="AD959" s="3" t="s">
        <v>3716</v>
      </c>
      <c r="AE959" t="s">
        <v>29</v>
      </c>
    </row>
    <row r="960" spans="1:31" x14ac:dyDescent="0.25">
      <c r="A960">
        <v>119026808941</v>
      </c>
      <c r="B960">
        <v>462598545</v>
      </c>
      <c r="C960" s="1">
        <v>46017.604745370372</v>
      </c>
      <c r="D960" s="1">
        <v>46017.610381944447</v>
      </c>
      <c r="E960" t="s">
        <v>2425</v>
      </c>
      <c r="F960" t="s">
        <v>23</v>
      </c>
      <c r="G960" t="e">
        <f>+_xlfn.XLOOKUP(tbl_encuesta[[#This Row],[Me siento a gusto con el ambiente de trabajo que se genera en mi equipo.]],#REF!,#REF!)</f>
        <v>#REF!</v>
      </c>
      <c r="H960" t="s">
        <v>23</v>
      </c>
      <c r="I960" t="e">
        <f>+_xlfn.XLOOKUP(tbl_encuesta[[#This Row],[Me siento motivado a dar lo mejor de mí y hacer un buen trabajo]],#REF!,#REF!)</f>
        <v>#REF!</v>
      </c>
      <c r="J960" t="s">
        <v>23</v>
      </c>
      <c r="K960" t="e">
        <f>+_xlfn.XLOOKUP(tbl_encuesta[[#This Row],[Mi supervisor o jefe directo me otorga el soporte que necesito para afrontar cualquier problema que afecte mi trabajo]],#REF!,#REF!)</f>
        <v>#REF!</v>
      </c>
      <c r="L960" t="s">
        <v>23</v>
      </c>
      <c r="M960" t="e">
        <f>+_xlfn.XLOOKUP(tbl_encuesta[[#This Row],[Mi supervisor o jefe directo fomenta que nos apoyemos entre todos en el equipo]],#REF!,#REF!)</f>
        <v>#REF!</v>
      </c>
      <c r="N960" t="s">
        <v>23</v>
      </c>
      <c r="O960" t="e">
        <f>+_xlfn.XLOOKUP(tbl_encuesta[[#This Row],[Siento que mi trabajo es reconocido por mi supervisor o jefe directo.]],#REF!,#REF!)</f>
        <v>#REF!</v>
      </c>
      <c r="P960" t="s">
        <v>31</v>
      </c>
      <c r="Q960" t="e">
        <f xml:space="preserve">
_xlfn.XLOOKUP(
tbl_encuesta[[#This Row],[Mi supervisor o jefe directo nos brinda charlas de 5 minutos y comunica las novedades relevantes a mi puesto de trabajo]],#REF!,#REF!
)</f>
        <v>#REF!</v>
      </c>
      <c r="R960" t="s">
        <v>17</v>
      </c>
      <c r="T960" t="s">
        <v>19</v>
      </c>
      <c r="W960" t="s">
        <v>25</v>
      </c>
      <c r="X960" t="s">
        <v>23</v>
      </c>
      <c r="Y960" t="e">
        <f>+_xlfn.XLOOKUP(tbl_encuesta[[#This Row],[Considero a Limtek como un buen lugar para trabajar]],#REF!,#REF!)</f>
        <v>#REF!</v>
      </c>
      <c r="Z960" t="s">
        <v>2426</v>
      </c>
      <c r="AA960" t="s">
        <v>2427</v>
      </c>
      <c r="AB960" t="s">
        <v>559</v>
      </c>
      <c r="AC960" s="3" t="s">
        <v>3716</v>
      </c>
      <c r="AD960" s="3" t="s">
        <v>3716</v>
      </c>
      <c r="AE960" t="s">
        <v>29</v>
      </c>
    </row>
    <row r="961" spans="1:31" x14ac:dyDescent="0.25">
      <c r="A961">
        <v>119026808838</v>
      </c>
      <c r="B961">
        <v>462598545</v>
      </c>
      <c r="C961" s="1">
        <v>46017.605520833335</v>
      </c>
      <c r="D961" s="1">
        <v>46017.61010416667</v>
      </c>
      <c r="E961" t="s">
        <v>2428</v>
      </c>
      <c r="F961" t="s">
        <v>22</v>
      </c>
      <c r="G961" t="e">
        <f>+_xlfn.XLOOKUP(tbl_encuesta[[#This Row],[Me siento a gusto con el ambiente de trabajo que se genera en mi equipo.]],#REF!,#REF!)</f>
        <v>#REF!</v>
      </c>
      <c r="H961" t="s">
        <v>23</v>
      </c>
      <c r="I961" t="e">
        <f>+_xlfn.XLOOKUP(tbl_encuesta[[#This Row],[Me siento motivado a dar lo mejor de mí y hacer un buen trabajo]],#REF!,#REF!)</f>
        <v>#REF!</v>
      </c>
      <c r="J961" t="s">
        <v>22</v>
      </c>
      <c r="K961" t="e">
        <f>+_xlfn.XLOOKUP(tbl_encuesta[[#This Row],[Mi supervisor o jefe directo me otorga el soporte que necesito para afrontar cualquier problema que afecte mi trabajo]],#REF!,#REF!)</f>
        <v>#REF!</v>
      </c>
      <c r="L961" t="s">
        <v>22</v>
      </c>
      <c r="M961" t="e">
        <f>+_xlfn.XLOOKUP(tbl_encuesta[[#This Row],[Mi supervisor o jefe directo fomenta que nos apoyemos entre todos en el equipo]],#REF!,#REF!)</f>
        <v>#REF!</v>
      </c>
      <c r="N961" t="s">
        <v>22</v>
      </c>
      <c r="O961" t="e">
        <f>+_xlfn.XLOOKUP(tbl_encuesta[[#This Row],[Siento que mi trabajo es reconocido por mi supervisor o jefe directo.]],#REF!,#REF!)</f>
        <v>#REF!</v>
      </c>
      <c r="P961" t="s">
        <v>31</v>
      </c>
      <c r="Q961" t="e">
        <f xml:space="preserve">
_xlfn.XLOOKUP(
tbl_encuesta[[#This Row],[Mi supervisor o jefe directo nos brinda charlas de 5 minutos y comunica las novedades relevantes a mi puesto de trabajo]],#REF!,#REF!
)</f>
        <v>#REF!</v>
      </c>
      <c r="R961" t="s">
        <v>17</v>
      </c>
      <c r="S961" t="s">
        <v>18</v>
      </c>
      <c r="W961" t="s">
        <v>25</v>
      </c>
      <c r="X961" t="s">
        <v>23</v>
      </c>
      <c r="Y961" t="e">
        <f>+_xlfn.XLOOKUP(tbl_encuesta[[#This Row],[Considero a Limtek como un buen lugar para trabajar]],#REF!,#REF!)</f>
        <v>#REF!</v>
      </c>
      <c r="Z961" t="s">
        <v>576</v>
      </c>
      <c r="AA961" t="s">
        <v>2429</v>
      </c>
      <c r="AB961" t="s">
        <v>28</v>
      </c>
      <c r="AC961" s="3" t="s">
        <v>3766</v>
      </c>
      <c r="AD961" s="3" t="s">
        <v>3709</v>
      </c>
      <c r="AE961" t="s">
        <v>34</v>
      </c>
    </row>
    <row r="962" spans="1:31" x14ac:dyDescent="0.25">
      <c r="A962">
        <v>119026807315</v>
      </c>
      <c r="B962">
        <v>462598545</v>
      </c>
      <c r="C962" s="1">
        <v>46017.59584490741</v>
      </c>
      <c r="D962" s="1">
        <v>46017.607060185182</v>
      </c>
      <c r="E962" t="s">
        <v>2430</v>
      </c>
      <c r="F962" t="s">
        <v>23</v>
      </c>
      <c r="G962" t="e">
        <f>+_xlfn.XLOOKUP(tbl_encuesta[[#This Row],[Me siento a gusto con el ambiente de trabajo que se genera en mi equipo.]],#REF!,#REF!)</f>
        <v>#REF!</v>
      </c>
      <c r="H962" t="s">
        <v>23</v>
      </c>
      <c r="I962" t="e">
        <f>+_xlfn.XLOOKUP(tbl_encuesta[[#This Row],[Me siento motivado a dar lo mejor de mí y hacer un buen trabajo]],#REF!,#REF!)</f>
        <v>#REF!</v>
      </c>
      <c r="J962" t="s">
        <v>22</v>
      </c>
      <c r="K962" t="e">
        <f>+_xlfn.XLOOKUP(tbl_encuesta[[#This Row],[Mi supervisor o jefe directo me otorga el soporte que necesito para afrontar cualquier problema que afecte mi trabajo]],#REF!,#REF!)</f>
        <v>#REF!</v>
      </c>
      <c r="L962" t="s">
        <v>23</v>
      </c>
      <c r="M962" t="e">
        <f>+_xlfn.XLOOKUP(tbl_encuesta[[#This Row],[Mi supervisor o jefe directo fomenta que nos apoyemos entre todos en el equipo]],#REF!,#REF!)</f>
        <v>#REF!</v>
      </c>
      <c r="N962" t="s">
        <v>22</v>
      </c>
      <c r="O962" t="e">
        <f>+_xlfn.XLOOKUP(tbl_encuesta[[#This Row],[Siento que mi trabajo es reconocido por mi supervisor o jefe directo.]],#REF!,#REF!)</f>
        <v>#REF!</v>
      </c>
      <c r="P962" t="s">
        <v>31</v>
      </c>
      <c r="Q962" t="e">
        <f xml:space="preserve">
_xlfn.XLOOKUP(
tbl_encuesta[[#This Row],[Mi supervisor o jefe directo nos brinda charlas de 5 minutos y comunica las novedades relevantes a mi puesto de trabajo]],#REF!,#REF!
)</f>
        <v>#REF!</v>
      </c>
      <c r="R962" t="s">
        <v>17</v>
      </c>
      <c r="S962" t="s">
        <v>18</v>
      </c>
      <c r="W962" t="s">
        <v>25</v>
      </c>
      <c r="X962" t="s">
        <v>23</v>
      </c>
      <c r="Y962" t="e">
        <f>+_xlfn.XLOOKUP(tbl_encuesta[[#This Row],[Considero a Limtek como un buen lugar para trabajar]],#REF!,#REF!)</f>
        <v>#REF!</v>
      </c>
      <c r="Z962" t="s">
        <v>2431</v>
      </c>
      <c r="AA962" t="s">
        <v>2432</v>
      </c>
      <c r="AB962" t="s">
        <v>28</v>
      </c>
      <c r="AC962" s="3" t="s">
        <v>3705</v>
      </c>
      <c r="AD962" s="3" t="s">
        <v>3711</v>
      </c>
      <c r="AE962" t="s">
        <v>61</v>
      </c>
    </row>
    <row r="963" spans="1:31" x14ac:dyDescent="0.25">
      <c r="A963">
        <v>119026806955</v>
      </c>
      <c r="B963">
        <v>462598545</v>
      </c>
      <c r="C963" s="1">
        <v>46017.602013888885</v>
      </c>
      <c r="D963" s="1">
        <v>46017.606319444443</v>
      </c>
      <c r="E963" t="s">
        <v>2433</v>
      </c>
      <c r="F963" t="s">
        <v>23</v>
      </c>
      <c r="G963" t="e">
        <f>+_xlfn.XLOOKUP(tbl_encuesta[[#This Row],[Me siento a gusto con el ambiente de trabajo que se genera en mi equipo.]],#REF!,#REF!)</f>
        <v>#REF!</v>
      </c>
      <c r="H963" t="s">
        <v>23</v>
      </c>
      <c r="I963" t="e">
        <f>+_xlfn.XLOOKUP(tbl_encuesta[[#This Row],[Me siento motivado a dar lo mejor de mí y hacer un buen trabajo]],#REF!,#REF!)</f>
        <v>#REF!</v>
      </c>
      <c r="J963" t="s">
        <v>23</v>
      </c>
      <c r="K963" t="e">
        <f>+_xlfn.XLOOKUP(tbl_encuesta[[#This Row],[Mi supervisor o jefe directo me otorga el soporte que necesito para afrontar cualquier problema que afecte mi trabajo]],#REF!,#REF!)</f>
        <v>#REF!</v>
      </c>
      <c r="L963" t="s">
        <v>23</v>
      </c>
      <c r="M963" t="e">
        <f>+_xlfn.XLOOKUP(tbl_encuesta[[#This Row],[Mi supervisor o jefe directo fomenta que nos apoyemos entre todos en el equipo]],#REF!,#REF!)</f>
        <v>#REF!</v>
      </c>
      <c r="N963" t="s">
        <v>22</v>
      </c>
      <c r="O963" t="e">
        <f>+_xlfn.XLOOKUP(tbl_encuesta[[#This Row],[Siento que mi trabajo es reconocido por mi supervisor o jefe directo.]],#REF!,#REF!)</f>
        <v>#REF!</v>
      </c>
      <c r="P963" t="s">
        <v>67</v>
      </c>
      <c r="Q963" t="e">
        <f xml:space="preserve">
_xlfn.XLOOKUP(
tbl_encuesta[[#This Row],[Mi supervisor o jefe directo nos brinda charlas de 5 minutos y comunica las novedades relevantes a mi puesto de trabajo]],#REF!,#REF!
)</f>
        <v>#REF!</v>
      </c>
      <c r="R963" t="s">
        <v>17</v>
      </c>
      <c r="T963" t="s">
        <v>19</v>
      </c>
      <c r="W963" t="s">
        <v>25</v>
      </c>
      <c r="X963" t="s">
        <v>23</v>
      </c>
      <c r="Y963" t="e">
        <f>+_xlfn.XLOOKUP(tbl_encuesta[[#This Row],[Considero a Limtek como un buen lugar para trabajar]],#REF!,#REF!)</f>
        <v>#REF!</v>
      </c>
      <c r="Z963" t="s">
        <v>2434</v>
      </c>
      <c r="AA963" t="s">
        <v>2435</v>
      </c>
      <c r="AB963" t="s">
        <v>28</v>
      </c>
      <c r="AC963" t="s">
        <v>3592</v>
      </c>
      <c r="AD963" t="s">
        <v>2436</v>
      </c>
      <c r="AE963" t="s">
        <v>69</v>
      </c>
    </row>
    <row r="964" spans="1:31" x14ac:dyDescent="0.25">
      <c r="A964">
        <v>119026806776</v>
      </c>
      <c r="B964">
        <v>462598545</v>
      </c>
      <c r="C964" s="1">
        <v>46017.600636574076</v>
      </c>
      <c r="D964" s="1">
        <v>46017.605902777781</v>
      </c>
      <c r="E964" t="s">
        <v>2430</v>
      </c>
      <c r="F964" t="s">
        <v>22</v>
      </c>
      <c r="G964" t="e">
        <f>+_xlfn.XLOOKUP(tbl_encuesta[[#This Row],[Me siento a gusto con el ambiente de trabajo que se genera en mi equipo.]],#REF!,#REF!)</f>
        <v>#REF!</v>
      </c>
      <c r="H964" t="s">
        <v>23</v>
      </c>
      <c r="I964" t="e">
        <f>+_xlfn.XLOOKUP(tbl_encuesta[[#This Row],[Me siento motivado a dar lo mejor de mí y hacer un buen trabajo]],#REF!,#REF!)</f>
        <v>#REF!</v>
      </c>
      <c r="J964" t="s">
        <v>22</v>
      </c>
      <c r="K964" t="e">
        <f>+_xlfn.XLOOKUP(tbl_encuesta[[#This Row],[Mi supervisor o jefe directo me otorga el soporte que necesito para afrontar cualquier problema que afecte mi trabajo]],#REF!,#REF!)</f>
        <v>#REF!</v>
      </c>
      <c r="L964" t="s">
        <v>23</v>
      </c>
      <c r="M964" t="e">
        <f>+_xlfn.XLOOKUP(tbl_encuesta[[#This Row],[Mi supervisor o jefe directo fomenta que nos apoyemos entre todos en el equipo]],#REF!,#REF!)</f>
        <v>#REF!</v>
      </c>
      <c r="N964" t="s">
        <v>22</v>
      </c>
      <c r="O964" t="e">
        <f>+_xlfn.XLOOKUP(tbl_encuesta[[#This Row],[Siento que mi trabajo es reconocido por mi supervisor o jefe directo.]],#REF!,#REF!)</f>
        <v>#REF!</v>
      </c>
      <c r="P964" t="s">
        <v>67</v>
      </c>
      <c r="Q964" t="e">
        <f xml:space="preserve">
_xlfn.XLOOKUP(
tbl_encuesta[[#This Row],[Mi supervisor o jefe directo nos brinda charlas de 5 minutos y comunica las novedades relevantes a mi puesto de trabajo]],#REF!,#REF!
)</f>
        <v>#REF!</v>
      </c>
      <c r="R964" t="s">
        <v>17</v>
      </c>
      <c r="U964" t="s">
        <v>20</v>
      </c>
      <c r="W964" t="s">
        <v>25</v>
      </c>
      <c r="X964" t="s">
        <v>23</v>
      </c>
      <c r="Y964" t="e">
        <f>+_xlfn.XLOOKUP(tbl_encuesta[[#This Row],[Considero a Limtek como un buen lugar para trabajar]],#REF!,#REF!)</f>
        <v>#REF!</v>
      </c>
      <c r="Z964" t="s">
        <v>2437</v>
      </c>
      <c r="AA964" t="s">
        <v>2438</v>
      </c>
      <c r="AB964" t="s">
        <v>28</v>
      </c>
      <c r="AC964" s="3" t="s">
        <v>3705</v>
      </c>
      <c r="AD964" s="3" t="s">
        <v>3711</v>
      </c>
      <c r="AE964" t="s">
        <v>61</v>
      </c>
    </row>
    <row r="965" spans="1:31" x14ac:dyDescent="0.25">
      <c r="A965">
        <v>119026806129</v>
      </c>
      <c r="B965">
        <v>462598545</v>
      </c>
      <c r="C965" s="1">
        <v>46017.602106481485</v>
      </c>
      <c r="D965" s="1">
        <v>46017.604490740741</v>
      </c>
      <c r="E965" t="s">
        <v>2439</v>
      </c>
      <c r="F965" t="s">
        <v>23</v>
      </c>
      <c r="G965" t="e">
        <f>+_xlfn.XLOOKUP(tbl_encuesta[[#This Row],[Me siento a gusto con el ambiente de trabajo que se genera en mi equipo.]],#REF!,#REF!)</f>
        <v>#REF!</v>
      </c>
      <c r="H965" t="s">
        <v>23</v>
      </c>
      <c r="I965" t="e">
        <f>+_xlfn.XLOOKUP(tbl_encuesta[[#This Row],[Me siento motivado a dar lo mejor de mí y hacer un buen trabajo]],#REF!,#REF!)</f>
        <v>#REF!</v>
      </c>
      <c r="J965" t="s">
        <v>23</v>
      </c>
      <c r="K965" t="e">
        <f>+_xlfn.XLOOKUP(tbl_encuesta[[#This Row],[Mi supervisor o jefe directo me otorga el soporte que necesito para afrontar cualquier problema que afecte mi trabajo]],#REF!,#REF!)</f>
        <v>#REF!</v>
      </c>
      <c r="L965" t="s">
        <v>23</v>
      </c>
      <c r="M965" t="e">
        <f>+_xlfn.XLOOKUP(tbl_encuesta[[#This Row],[Mi supervisor o jefe directo fomenta que nos apoyemos entre todos en el equipo]],#REF!,#REF!)</f>
        <v>#REF!</v>
      </c>
      <c r="N965" t="s">
        <v>22</v>
      </c>
      <c r="O965" t="e">
        <f>+_xlfn.XLOOKUP(tbl_encuesta[[#This Row],[Siento que mi trabajo es reconocido por mi supervisor o jefe directo.]],#REF!,#REF!)</f>
        <v>#REF!</v>
      </c>
      <c r="P965" t="s">
        <v>31</v>
      </c>
      <c r="Q965" t="e">
        <f xml:space="preserve">
_xlfn.XLOOKUP(
tbl_encuesta[[#This Row],[Mi supervisor o jefe directo nos brinda charlas de 5 minutos y comunica las novedades relevantes a mi puesto de trabajo]],#REF!,#REF!
)</f>
        <v>#REF!</v>
      </c>
      <c r="R965" t="s">
        <v>17</v>
      </c>
      <c r="S965" t="s">
        <v>18</v>
      </c>
      <c r="W965" t="s">
        <v>25</v>
      </c>
      <c r="X965" t="s">
        <v>22</v>
      </c>
      <c r="Y965" t="e">
        <f>+_xlfn.XLOOKUP(tbl_encuesta[[#This Row],[Considero a Limtek como un buen lugar para trabajar]],#REF!,#REF!)</f>
        <v>#REF!</v>
      </c>
      <c r="Z965" t="s">
        <v>193</v>
      </c>
      <c r="AA965" t="s">
        <v>2440</v>
      </c>
      <c r="AB965" t="s">
        <v>28</v>
      </c>
      <c r="AC965" s="3" t="s">
        <v>3729</v>
      </c>
      <c r="AD965" s="3" t="s">
        <v>3730</v>
      </c>
      <c r="AE965" t="s">
        <v>61</v>
      </c>
    </row>
    <row r="966" spans="1:31" x14ac:dyDescent="0.25">
      <c r="A966">
        <v>119026805795</v>
      </c>
      <c r="B966">
        <v>462598545</v>
      </c>
      <c r="C966" s="1">
        <v>46017.597662037035</v>
      </c>
      <c r="D966" s="1">
        <v>46017.603981481479</v>
      </c>
      <c r="E966" t="s">
        <v>2441</v>
      </c>
      <c r="F966" t="s">
        <v>23</v>
      </c>
      <c r="G966" t="e">
        <f>+_xlfn.XLOOKUP(tbl_encuesta[[#This Row],[Me siento a gusto con el ambiente de trabajo que se genera en mi equipo.]],#REF!,#REF!)</f>
        <v>#REF!</v>
      </c>
      <c r="H966" t="s">
        <v>23</v>
      </c>
      <c r="I966" t="e">
        <f>+_xlfn.XLOOKUP(tbl_encuesta[[#This Row],[Me siento motivado a dar lo mejor de mí y hacer un buen trabajo]],#REF!,#REF!)</f>
        <v>#REF!</v>
      </c>
      <c r="J966" t="s">
        <v>23</v>
      </c>
      <c r="K966" t="e">
        <f>+_xlfn.XLOOKUP(tbl_encuesta[[#This Row],[Mi supervisor o jefe directo me otorga el soporte que necesito para afrontar cualquier problema que afecte mi trabajo]],#REF!,#REF!)</f>
        <v>#REF!</v>
      </c>
      <c r="L966" t="s">
        <v>23</v>
      </c>
      <c r="M966" t="e">
        <f>+_xlfn.XLOOKUP(tbl_encuesta[[#This Row],[Mi supervisor o jefe directo fomenta que nos apoyemos entre todos en el equipo]],#REF!,#REF!)</f>
        <v>#REF!</v>
      </c>
      <c r="N966" t="s">
        <v>23</v>
      </c>
      <c r="O966" t="e">
        <f>+_xlfn.XLOOKUP(tbl_encuesta[[#This Row],[Siento que mi trabajo es reconocido por mi supervisor o jefe directo.]],#REF!,#REF!)</f>
        <v>#REF!</v>
      </c>
      <c r="P966" t="s">
        <v>31</v>
      </c>
      <c r="Q966" t="e">
        <f xml:space="preserve">
_xlfn.XLOOKUP(
tbl_encuesta[[#This Row],[Mi supervisor o jefe directo nos brinda charlas de 5 minutos y comunica las novedades relevantes a mi puesto de trabajo]],#REF!,#REF!
)</f>
        <v>#REF!</v>
      </c>
      <c r="R966" t="s">
        <v>17</v>
      </c>
      <c r="S966" t="s">
        <v>18</v>
      </c>
      <c r="W966" t="s">
        <v>25</v>
      </c>
      <c r="X966" t="s">
        <v>23</v>
      </c>
      <c r="Y966" t="e">
        <f>+_xlfn.XLOOKUP(tbl_encuesta[[#This Row],[Considero a Limtek como un buen lugar para trabajar]],#REF!,#REF!)</f>
        <v>#REF!</v>
      </c>
      <c r="Z966" t="s">
        <v>576</v>
      </c>
      <c r="AA966" t="s">
        <v>2442</v>
      </c>
      <c r="AB966" t="s">
        <v>28</v>
      </c>
      <c r="AC966" s="3" t="s">
        <v>3705</v>
      </c>
      <c r="AD966" s="3" t="s">
        <v>3711</v>
      </c>
      <c r="AE966" t="s">
        <v>69</v>
      </c>
    </row>
    <row r="967" spans="1:31" x14ac:dyDescent="0.25">
      <c r="A967">
        <v>119026805512</v>
      </c>
      <c r="B967">
        <v>462598545</v>
      </c>
      <c r="C967" s="1">
        <v>46017.600995370369</v>
      </c>
      <c r="D967" s="1">
        <v>46017.603344907409</v>
      </c>
      <c r="E967" t="s">
        <v>2443</v>
      </c>
      <c r="F967" t="s">
        <v>23</v>
      </c>
      <c r="G967" t="e">
        <f>+_xlfn.XLOOKUP(tbl_encuesta[[#This Row],[Me siento a gusto con el ambiente de trabajo que se genera en mi equipo.]],#REF!,#REF!)</f>
        <v>#REF!</v>
      </c>
      <c r="H967" t="s">
        <v>23</v>
      </c>
      <c r="I967" t="e">
        <f>+_xlfn.XLOOKUP(tbl_encuesta[[#This Row],[Me siento motivado a dar lo mejor de mí y hacer un buen trabajo]],#REF!,#REF!)</f>
        <v>#REF!</v>
      </c>
      <c r="J967" t="s">
        <v>23</v>
      </c>
      <c r="K967" t="e">
        <f>+_xlfn.XLOOKUP(tbl_encuesta[[#This Row],[Mi supervisor o jefe directo me otorga el soporte que necesito para afrontar cualquier problema que afecte mi trabajo]],#REF!,#REF!)</f>
        <v>#REF!</v>
      </c>
      <c r="L967" t="s">
        <v>23</v>
      </c>
      <c r="M967" t="e">
        <f>+_xlfn.XLOOKUP(tbl_encuesta[[#This Row],[Mi supervisor o jefe directo fomenta que nos apoyemos entre todos en el equipo]],#REF!,#REF!)</f>
        <v>#REF!</v>
      </c>
      <c r="N967" t="s">
        <v>23</v>
      </c>
      <c r="O967" t="e">
        <f>+_xlfn.XLOOKUP(tbl_encuesta[[#This Row],[Siento que mi trabajo es reconocido por mi supervisor o jefe directo.]],#REF!,#REF!)</f>
        <v>#REF!</v>
      </c>
      <c r="P967" t="s">
        <v>67</v>
      </c>
      <c r="Q967" t="e">
        <f xml:space="preserve">
_xlfn.XLOOKUP(
tbl_encuesta[[#This Row],[Mi supervisor o jefe directo nos brinda charlas de 5 minutos y comunica las novedades relevantes a mi puesto de trabajo]],#REF!,#REF!
)</f>
        <v>#REF!</v>
      </c>
      <c r="R967" t="s">
        <v>17</v>
      </c>
      <c r="W967" t="s">
        <v>25</v>
      </c>
      <c r="X967" t="s">
        <v>23</v>
      </c>
      <c r="Y967" t="e">
        <f>+_xlfn.XLOOKUP(tbl_encuesta[[#This Row],[Considero a Limtek como un buen lugar para trabajar]],#REF!,#REF!)</f>
        <v>#REF!</v>
      </c>
      <c r="Z967" t="s">
        <v>2444</v>
      </c>
      <c r="AA967" t="s">
        <v>2445</v>
      </c>
      <c r="AB967" t="s">
        <v>28</v>
      </c>
      <c r="AC967" s="3" t="s">
        <v>3735</v>
      </c>
      <c r="AD967" s="3" t="s">
        <v>3735</v>
      </c>
      <c r="AE967" t="s">
        <v>34</v>
      </c>
    </row>
    <row r="968" spans="1:31" x14ac:dyDescent="0.25">
      <c r="A968">
        <v>119026805484</v>
      </c>
      <c r="B968">
        <v>462598545</v>
      </c>
      <c r="C968" s="1">
        <v>46017.598136574074</v>
      </c>
      <c r="D968" s="1">
        <v>46017.603275462963</v>
      </c>
      <c r="E968" t="s">
        <v>2446</v>
      </c>
      <c r="F968" t="s">
        <v>23</v>
      </c>
      <c r="G968" t="e">
        <f>+_xlfn.XLOOKUP(tbl_encuesta[[#This Row],[Me siento a gusto con el ambiente de trabajo que se genera en mi equipo.]],#REF!,#REF!)</f>
        <v>#REF!</v>
      </c>
      <c r="H968" t="s">
        <v>23</v>
      </c>
      <c r="I968" t="e">
        <f>+_xlfn.XLOOKUP(tbl_encuesta[[#This Row],[Me siento motivado a dar lo mejor de mí y hacer un buen trabajo]],#REF!,#REF!)</f>
        <v>#REF!</v>
      </c>
      <c r="J968" t="s">
        <v>23</v>
      </c>
      <c r="K968" t="e">
        <f>+_xlfn.XLOOKUP(tbl_encuesta[[#This Row],[Mi supervisor o jefe directo me otorga el soporte que necesito para afrontar cualquier problema que afecte mi trabajo]],#REF!,#REF!)</f>
        <v>#REF!</v>
      </c>
      <c r="L968" t="s">
        <v>23</v>
      </c>
      <c r="M968" t="e">
        <f>+_xlfn.XLOOKUP(tbl_encuesta[[#This Row],[Mi supervisor o jefe directo fomenta que nos apoyemos entre todos en el equipo]],#REF!,#REF!)</f>
        <v>#REF!</v>
      </c>
      <c r="N968" t="s">
        <v>22</v>
      </c>
      <c r="O968" t="e">
        <f>+_xlfn.XLOOKUP(tbl_encuesta[[#This Row],[Siento que mi trabajo es reconocido por mi supervisor o jefe directo.]],#REF!,#REF!)</f>
        <v>#REF!</v>
      </c>
      <c r="P968" t="s">
        <v>31</v>
      </c>
      <c r="Q968" t="e">
        <f xml:space="preserve">
_xlfn.XLOOKUP(
tbl_encuesta[[#This Row],[Mi supervisor o jefe directo nos brinda charlas de 5 minutos y comunica las novedades relevantes a mi puesto de trabajo]],#REF!,#REF!
)</f>
        <v>#REF!</v>
      </c>
      <c r="R968" t="s">
        <v>17</v>
      </c>
      <c r="W968" t="s">
        <v>25</v>
      </c>
      <c r="X968" t="s">
        <v>23</v>
      </c>
      <c r="Y968" t="e">
        <f>+_xlfn.XLOOKUP(tbl_encuesta[[#This Row],[Considero a Limtek como un buen lugar para trabajar]],#REF!,#REF!)</f>
        <v>#REF!</v>
      </c>
      <c r="Z968" t="s">
        <v>1420</v>
      </c>
      <c r="AA968" t="s">
        <v>2447</v>
      </c>
      <c r="AB968" t="s">
        <v>28</v>
      </c>
      <c r="AC968" s="3" t="s">
        <v>3705</v>
      </c>
      <c r="AD968" s="3" t="s">
        <v>3711</v>
      </c>
      <c r="AE968" t="s">
        <v>55</v>
      </c>
    </row>
    <row r="969" spans="1:31" x14ac:dyDescent="0.25">
      <c r="A969">
        <v>119026804949</v>
      </c>
      <c r="B969">
        <v>462598545</v>
      </c>
      <c r="C969" s="1">
        <v>46017.597488425927</v>
      </c>
      <c r="D969" s="1">
        <v>46017.602141203701</v>
      </c>
      <c r="E969" t="s">
        <v>2448</v>
      </c>
      <c r="F969" t="s">
        <v>23</v>
      </c>
      <c r="G969" t="e">
        <f>+_xlfn.XLOOKUP(tbl_encuesta[[#This Row],[Me siento a gusto con el ambiente de trabajo que se genera en mi equipo.]],#REF!,#REF!)</f>
        <v>#REF!</v>
      </c>
      <c r="H969" t="s">
        <v>23</v>
      </c>
      <c r="I969" t="e">
        <f>+_xlfn.XLOOKUP(tbl_encuesta[[#This Row],[Me siento motivado a dar lo mejor de mí y hacer un buen trabajo]],#REF!,#REF!)</f>
        <v>#REF!</v>
      </c>
      <c r="J969" t="s">
        <v>23</v>
      </c>
      <c r="K969" t="e">
        <f>+_xlfn.XLOOKUP(tbl_encuesta[[#This Row],[Mi supervisor o jefe directo me otorga el soporte que necesito para afrontar cualquier problema que afecte mi trabajo]],#REF!,#REF!)</f>
        <v>#REF!</v>
      </c>
      <c r="L969" t="s">
        <v>23</v>
      </c>
      <c r="M969" t="e">
        <f>+_xlfn.XLOOKUP(tbl_encuesta[[#This Row],[Mi supervisor o jefe directo fomenta que nos apoyemos entre todos en el equipo]],#REF!,#REF!)</f>
        <v>#REF!</v>
      </c>
      <c r="N969" t="s">
        <v>23</v>
      </c>
      <c r="O969" t="e">
        <f>+_xlfn.XLOOKUP(tbl_encuesta[[#This Row],[Siento que mi trabajo es reconocido por mi supervisor o jefe directo.]],#REF!,#REF!)</f>
        <v>#REF!</v>
      </c>
      <c r="P969" t="s">
        <v>31</v>
      </c>
      <c r="Q969" t="e">
        <f xml:space="preserve">
_xlfn.XLOOKUP(
tbl_encuesta[[#This Row],[Mi supervisor o jefe directo nos brinda charlas de 5 minutos y comunica las novedades relevantes a mi puesto de trabajo]],#REF!,#REF!
)</f>
        <v>#REF!</v>
      </c>
      <c r="R969" t="s">
        <v>17</v>
      </c>
      <c r="W969" t="s">
        <v>25</v>
      </c>
      <c r="X969" t="s">
        <v>23</v>
      </c>
      <c r="Y969" t="e">
        <f>+_xlfn.XLOOKUP(tbl_encuesta[[#This Row],[Considero a Limtek como un buen lugar para trabajar]],#REF!,#REF!)</f>
        <v>#REF!</v>
      </c>
      <c r="Z969" t="s">
        <v>2449</v>
      </c>
      <c r="AA969" t="s">
        <v>2450</v>
      </c>
      <c r="AB969" t="s">
        <v>28</v>
      </c>
      <c r="AC969" s="3" t="s">
        <v>3705</v>
      </c>
      <c r="AD969" s="3" t="s">
        <v>3713</v>
      </c>
      <c r="AE969" t="s">
        <v>61</v>
      </c>
    </row>
    <row r="970" spans="1:31" x14ac:dyDescent="0.25">
      <c r="A970">
        <v>119026804692</v>
      </c>
      <c r="B970">
        <v>462598545</v>
      </c>
      <c r="C970" s="1">
        <v>46017.595636574071</v>
      </c>
      <c r="D970" s="1">
        <v>46017.601539351854</v>
      </c>
      <c r="E970" t="s">
        <v>2451</v>
      </c>
      <c r="F970" t="s">
        <v>43</v>
      </c>
      <c r="G970" t="e">
        <f>+_xlfn.XLOOKUP(tbl_encuesta[[#This Row],[Me siento a gusto con el ambiente de trabajo que se genera en mi equipo.]],#REF!,#REF!)</f>
        <v>#REF!</v>
      </c>
      <c r="H970" t="s">
        <v>23</v>
      </c>
      <c r="I970" t="e">
        <f>+_xlfn.XLOOKUP(tbl_encuesta[[#This Row],[Me siento motivado a dar lo mejor de mí y hacer un buen trabajo]],#REF!,#REF!)</f>
        <v>#REF!</v>
      </c>
      <c r="J970" t="s">
        <v>43</v>
      </c>
      <c r="K970" t="e">
        <f>+_xlfn.XLOOKUP(tbl_encuesta[[#This Row],[Mi supervisor o jefe directo me otorga el soporte que necesito para afrontar cualquier problema que afecte mi trabajo]],#REF!,#REF!)</f>
        <v>#REF!</v>
      </c>
      <c r="L970" t="s">
        <v>43</v>
      </c>
      <c r="M970" t="e">
        <f>+_xlfn.XLOOKUP(tbl_encuesta[[#This Row],[Mi supervisor o jefe directo fomenta que nos apoyemos entre todos en el equipo]],#REF!,#REF!)</f>
        <v>#REF!</v>
      </c>
      <c r="N970" t="s">
        <v>43</v>
      </c>
      <c r="O970" t="e">
        <f>+_xlfn.XLOOKUP(tbl_encuesta[[#This Row],[Siento que mi trabajo es reconocido por mi supervisor o jefe directo.]],#REF!,#REF!)</f>
        <v>#REF!</v>
      </c>
      <c r="P970" t="s">
        <v>24</v>
      </c>
      <c r="Q970" t="e">
        <f xml:space="preserve">
_xlfn.XLOOKUP(
tbl_encuesta[[#This Row],[Mi supervisor o jefe directo nos brinda charlas de 5 minutos y comunica las novedades relevantes a mi puesto de trabajo]],#REF!,#REF!
)</f>
        <v>#REF!</v>
      </c>
      <c r="T970" t="s">
        <v>19</v>
      </c>
      <c r="V970" t="s">
        <v>2452</v>
      </c>
      <c r="W970" t="s">
        <v>25</v>
      </c>
      <c r="X970" t="s">
        <v>22</v>
      </c>
      <c r="Y970" t="e">
        <f>+_xlfn.XLOOKUP(tbl_encuesta[[#This Row],[Considero a Limtek como un buen lugar para trabajar]],#REF!,#REF!)</f>
        <v>#REF!</v>
      </c>
      <c r="Z970" t="s">
        <v>213</v>
      </c>
      <c r="AA970" t="s">
        <v>2453</v>
      </c>
      <c r="AB970" t="s">
        <v>28</v>
      </c>
      <c r="AC970" s="3" t="s">
        <v>3769</v>
      </c>
      <c r="AD970" s="3" t="s">
        <v>3774</v>
      </c>
      <c r="AE970" t="s">
        <v>69</v>
      </c>
    </row>
    <row r="971" spans="1:31" x14ac:dyDescent="0.25">
      <c r="A971">
        <v>119026803093</v>
      </c>
      <c r="B971">
        <v>462598545</v>
      </c>
      <c r="C971" s="1">
        <v>46017.589548611111</v>
      </c>
      <c r="D971" s="1">
        <v>46017.598124999997</v>
      </c>
      <c r="E971" t="s">
        <v>2455</v>
      </c>
      <c r="F971" t="s">
        <v>22</v>
      </c>
      <c r="G971" t="e">
        <f>+_xlfn.XLOOKUP(tbl_encuesta[[#This Row],[Me siento a gusto con el ambiente de trabajo que se genera en mi equipo.]],#REF!,#REF!)</f>
        <v>#REF!</v>
      </c>
      <c r="H971" t="s">
        <v>23</v>
      </c>
      <c r="I971" t="e">
        <f>+_xlfn.XLOOKUP(tbl_encuesta[[#This Row],[Me siento motivado a dar lo mejor de mí y hacer un buen trabajo]],#REF!,#REF!)</f>
        <v>#REF!</v>
      </c>
      <c r="J971" t="s">
        <v>23</v>
      </c>
      <c r="K971" t="e">
        <f>+_xlfn.XLOOKUP(tbl_encuesta[[#This Row],[Mi supervisor o jefe directo me otorga el soporte que necesito para afrontar cualquier problema que afecte mi trabajo]],#REF!,#REF!)</f>
        <v>#REF!</v>
      </c>
      <c r="L971" t="s">
        <v>23</v>
      </c>
      <c r="M971" t="e">
        <f>+_xlfn.XLOOKUP(tbl_encuesta[[#This Row],[Mi supervisor o jefe directo fomenta que nos apoyemos entre todos en el equipo]],#REF!,#REF!)</f>
        <v>#REF!</v>
      </c>
      <c r="N971" t="s">
        <v>22</v>
      </c>
      <c r="O971" t="e">
        <f>+_xlfn.XLOOKUP(tbl_encuesta[[#This Row],[Siento que mi trabajo es reconocido por mi supervisor o jefe directo.]],#REF!,#REF!)</f>
        <v>#REF!</v>
      </c>
      <c r="P971" t="s">
        <v>31</v>
      </c>
      <c r="Q971" t="e">
        <f xml:space="preserve">
_xlfn.XLOOKUP(
tbl_encuesta[[#This Row],[Mi supervisor o jefe directo nos brinda charlas de 5 minutos y comunica las novedades relevantes a mi puesto de trabajo]],#REF!,#REF!
)</f>
        <v>#REF!</v>
      </c>
      <c r="V971" t="s">
        <v>2456</v>
      </c>
      <c r="W971" t="s">
        <v>25</v>
      </c>
      <c r="X971" t="s">
        <v>23</v>
      </c>
      <c r="Y971" t="e">
        <f>+_xlfn.XLOOKUP(tbl_encuesta[[#This Row],[Considero a Limtek como un buen lugar para trabajar]],#REF!,#REF!)</f>
        <v>#REF!</v>
      </c>
      <c r="Z971" t="s">
        <v>2457</v>
      </c>
      <c r="AA971" t="s">
        <v>2458</v>
      </c>
      <c r="AB971" t="s">
        <v>28</v>
      </c>
      <c r="AC971" t="s">
        <v>3744</v>
      </c>
      <c r="AD971" t="s">
        <v>3744</v>
      </c>
      <c r="AE971" t="s">
        <v>29</v>
      </c>
    </row>
    <row r="972" spans="1:31" x14ac:dyDescent="0.25">
      <c r="A972">
        <v>119026803060</v>
      </c>
      <c r="B972">
        <v>462598545</v>
      </c>
      <c r="C972" s="1">
        <v>46017.592152777775</v>
      </c>
      <c r="D972" s="1">
        <v>46017.598055555558</v>
      </c>
      <c r="E972" t="s">
        <v>2443</v>
      </c>
      <c r="F972" t="s">
        <v>22</v>
      </c>
      <c r="G972" t="e">
        <f>+_xlfn.XLOOKUP(tbl_encuesta[[#This Row],[Me siento a gusto con el ambiente de trabajo que se genera en mi equipo.]],#REF!,#REF!)</f>
        <v>#REF!</v>
      </c>
      <c r="H972" t="s">
        <v>23</v>
      </c>
      <c r="I972" t="e">
        <f>+_xlfn.XLOOKUP(tbl_encuesta[[#This Row],[Me siento motivado a dar lo mejor de mí y hacer un buen trabajo]],#REF!,#REF!)</f>
        <v>#REF!</v>
      </c>
      <c r="J972" t="s">
        <v>23</v>
      </c>
      <c r="K972" t="e">
        <f>+_xlfn.XLOOKUP(tbl_encuesta[[#This Row],[Mi supervisor o jefe directo me otorga el soporte que necesito para afrontar cualquier problema que afecte mi trabajo]],#REF!,#REF!)</f>
        <v>#REF!</v>
      </c>
      <c r="L972" t="s">
        <v>23</v>
      </c>
      <c r="M972" t="e">
        <f>+_xlfn.XLOOKUP(tbl_encuesta[[#This Row],[Mi supervisor o jefe directo fomenta que nos apoyemos entre todos en el equipo]],#REF!,#REF!)</f>
        <v>#REF!</v>
      </c>
      <c r="N972" t="s">
        <v>23</v>
      </c>
      <c r="O972" t="e">
        <f>+_xlfn.XLOOKUP(tbl_encuesta[[#This Row],[Siento que mi trabajo es reconocido por mi supervisor o jefe directo.]],#REF!,#REF!)</f>
        <v>#REF!</v>
      </c>
      <c r="P972" t="s">
        <v>67</v>
      </c>
      <c r="Q972" t="e">
        <f xml:space="preserve">
_xlfn.XLOOKUP(
tbl_encuesta[[#This Row],[Mi supervisor o jefe directo nos brinda charlas de 5 minutos y comunica las novedades relevantes a mi puesto de trabajo]],#REF!,#REF!
)</f>
        <v>#REF!</v>
      </c>
      <c r="R972" t="s">
        <v>17</v>
      </c>
      <c r="W972" t="s">
        <v>25</v>
      </c>
      <c r="X972" t="s">
        <v>23</v>
      </c>
      <c r="Y972" t="e">
        <f>+_xlfn.XLOOKUP(tbl_encuesta[[#This Row],[Considero a Limtek como un buen lugar para trabajar]],#REF!,#REF!)</f>
        <v>#REF!</v>
      </c>
      <c r="Z972" t="s">
        <v>2459</v>
      </c>
      <c r="AA972" t="s">
        <v>2445</v>
      </c>
      <c r="AB972" t="s">
        <v>28</v>
      </c>
      <c r="AC972" s="3" t="s">
        <v>3735</v>
      </c>
      <c r="AD972" s="3" t="s">
        <v>3735</v>
      </c>
      <c r="AE972" t="s">
        <v>34</v>
      </c>
    </row>
    <row r="973" spans="1:31" x14ac:dyDescent="0.25">
      <c r="A973">
        <v>119026802632</v>
      </c>
      <c r="B973">
        <v>462598545</v>
      </c>
      <c r="C973" s="1">
        <v>46017.582662037035</v>
      </c>
      <c r="D973" s="1">
        <v>46017.597129629627</v>
      </c>
      <c r="E973" t="s">
        <v>1903</v>
      </c>
      <c r="F973" t="s">
        <v>23</v>
      </c>
      <c r="G973" t="e">
        <f>+_xlfn.XLOOKUP(tbl_encuesta[[#This Row],[Me siento a gusto con el ambiente de trabajo que se genera en mi equipo.]],#REF!,#REF!)</f>
        <v>#REF!</v>
      </c>
      <c r="H973" t="s">
        <v>23</v>
      </c>
      <c r="I973" t="e">
        <f>+_xlfn.XLOOKUP(tbl_encuesta[[#This Row],[Me siento motivado a dar lo mejor de mí y hacer un buen trabajo]],#REF!,#REF!)</f>
        <v>#REF!</v>
      </c>
      <c r="J973" t="s">
        <v>23</v>
      </c>
      <c r="K973" t="e">
        <f>+_xlfn.XLOOKUP(tbl_encuesta[[#This Row],[Mi supervisor o jefe directo me otorga el soporte que necesito para afrontar cualquier problema que afecte mi trabajo]],#REF!,#REF!)</f>
        <v>#REF!</v>
      </c>
      <c r="L973" t="s">
        <v>23</v>
      </c>
      <c r="M973" t="e">
        <f>+_xlfn.XLOOKUP(tbl_encuesta[[#This Row],[Mi supervisor o jefe directo fomenta que nos apoyemos entre todos en el equipo]],#REF!,#REF!)</f>
        <v>#REF!</v>
      </c>
      <c r="N973" t="s">
        <v>23</v>
      </c>
      <c r="O973" t="e">
        <f>+_xlfn.XLOOKUP(tbl_encuesta[[#This Row],[Siento que mi trabajo es reconocido por mi supervisor o jefe directo.]],#REF!,#REF!)</f>
        <v>#REF!</v>
      </c>
      <c r="P973" t="s">
        <v>67</v>
      </c>
      <c r="Q973" t="e">
        <f xml:space="preserve">
_xlfn.XLOOKUP(
tbl_encuesta[[#This Row],[Mi supervisor o jefe directo nos brinda charlas de 5 minutos y comunica las novedades relevantes a mi puesto de trabajo]],#REF!,#REF!
)</f>
        <v>#REF!</v>
      </c>
      <c r="R973" t="s">
        <v>17</v>
      </c>
      <c r="W973" t="s">
        <v>25</v>
      </c>
      <c r="X973" t="s">
        <v>23</v>
      </c>
      <c r="Y973" t="e">
        <f>+_xlfn.XLOOKUP(tbl_encuesta[[#This Row],[Considero a Limtek como un buen lugar para trabajar]],#REF!,#REF!)</f>
        <v>#REF!</v>
      </c>
      <c r="Z973" t="s">
        <v>2460</v>
      </c>
      <c r="AA973" t="s">
        <v>2461</v>
      </c>
      <c r="AB973" t="s">
        <v>559</v>
      </c>
      <c r="AC973" s="3" t="s">
        <v>3716</v>
      </c>
      <c r="AD973" s="3" t="s">
        <v>3716</v>
      </c>
      <c r="AE973" t="s">
        <v>69</v>
      </c>
    </row>
    <row r="974" spans="1:31" x14ac:dyDescent="0.25">
      <c r="A974">
        <v>119026802489</v>
      </c>
      <c r="B974">
        <v>462598545</v>
      </c>
      <c r="C974" s="1">
        <v>46017.592731481483</v>
      </c>
      <c r="D974" s="1">
        <v>46017.596851851849</v>
      </c>
      <c r="E974" t="s">
        <v>2441</v>
      </c>
      <c r="F974" t="s">
        <v>23</v>
      </c>
      <c r="G974" t="e">
        <f>+_xlfn.XLOOKUP(tbl_encuesta[[#This Row],[Me siento a gusto con el ambiente de trabajo que se genera en mi equipo.]],#REF!,#REF!)</f>
        <v>#REF!</v>
      </c>
      <c r="H974" t="s">
        <v>23</v>
      </c>
      <c r="I974" t="e">
        <f>+_xlfn.XLOOKUP(tbl_encuesta[[#This Row],[Me siento motivado a dar lo mejor de mí y hacer un buen trabajo]],#REF!,#REF!)</f>
        <v>#REF!</v>
      </c>
      <c r="J974" t="s">
        <v>23</v>
      </c>
      <c r="K974" t="e">
        <f>+_xlfn.XLOOKUP(tbl_encuesta[[#This Row],[Mi supervisor o jefe directo me otorga el soporte que necesito para afrontar cualquier problema que afecte mi trabajo]],#REF!,#REF!)</f>
        <v>#REF!</v>
      </c>
      <c r="L974" t="s">
        <v>23</v>
      </c>
      <c r="M974" t="e">
        <f>+_xlfn.XLOOKUP(tbl_encuesta[[#This Row],[Mi supervisor o jefe directo fomenta que nos apoyemos entre todos en el equipo]],#REF!,#REF!)</f>
        <v>#REF!</v>
      </c>
      <c r="N974" t="s">
        <v>23</v>
      </c>
      <c r="O974" t="e">
        <f>+_xlfn.XLOOKUP(tbl_encuesta[[#This Row],[Siento que mi trabajo es reconocido por mi supervisor o jefe directo.]],#REF!,#REF!)</f>
        <v>#REF!</v>
      </c>
      <c r="P974" t="s">
        <v>31</v>
      </c>
      <c r="Q974" t="e">
        <f xml:space="preserve">
_xlfn.XLOOKUP(
tbl_encuesta[[#This Row],[Mi supervisor o jefe directo nos brinda charlas de 5 minutos y comunica las novedades relevantes a mi puesto de trabajo]],#REF!,#REF!
)</f>
        <v>#REF!</v>
      </c>
      <c r="R974" t="s">
        <v>17</v>
      </c>
      <c r="S974" t="s">
        <v>18</v>
      </c>
      <c r="W974" t="s">
        <v>25</v>
      </c>
      <c r="X974" t="s">
        <v>23</v>
      </c>
      <c r="Y974" t="e">
        <f>+_xlfn.XLOOKUP(tbl_encuesta[[#This Row],[Considero a Limtek como un buen lugar para trabajar]],#REF!,#REF!)</f>
        <v>#REF!</v>
      </c>
      <c r="Z974" t="s">
        <v>576</v>
      </c>
      <c r="AA974" t="s">
        <v>2462</v>
      </c>
      <c r="AB974" t="s">
        <v>28</v>
      </c>
      <c r="AC974" s="3" t="s">
        <v>3705</v>
      </c>
      <c r="AD974" s="3" t="s">
        <v>3711</v>
      </c>
      <c r="AE974" t="s">
        <v>69</v>
      </c>
    </row>
    <row r="975" spans="1:31" x14ac:dyDescent="0.25">
      <c r="A975">
        <v>119026802425</v>
      </c>
      <c r="B975">
        <v>462598545</v>
      </c>
      <c r="C975" s="1">
        <v>46017.582430555558</v>
      </c>
      <c r="D975" s="1">
        <v>46017.596712962964</v>
      </c>
      <c r="E975" t="s">
        <v>2463</v>
      </c>
      <c r="F975" t="s">
        <v>23</v>
      </c>
      <c r="G975" t="e">
        <f>+_xlfn.XLOOKUP(tbl_encuesta[[#This Row],[Me siento a gusto con el ambiente de trabajo que se genera en mi equipo.]],#REF!,#REF!)</f>
        <v>#REF!</v>
      </c>
      <c r="H975" t="s">
        <v>23</v>
      </c>
      <c r="I975" t="e">
        <f>+_xlfn.XLOOKUP(tbl_encuesta[[#This Row],[Me siento motivado a dar lo mejor de mí y hacer un buen trabajo]],#REF!,#REF!)</f>
        <v>#REF!</v>
      </c>
      <c r="J975" t="s">
        <v>23</v>
      </c>
      <c r="K975" t="e">
        <f>+_xlfn.XLOOKUP(tbl_encuesta[[#This Row],[Mi supervisor o jefe directo me otorga el soporte que necesito para afrontar cualquier problema que afecte mi trabajo]],#REF!,#REF!)</f>
        <v>#REF!</v>
      </c>
      <c r="L975" t="s">
        <v>23</v>
      </c>
      <c r="M975" t="e">
        <f>+_xlfn.XLOOKUP(tbl_encuesta[[#This Row],[Mi supervisor o jefe directo fomenta que nos apoyemos entre todos en el equipo]],#REF!,#REF!)</f>
        <v>#REF!</v>
      </c>
      <c r="N975" t="s">
        <v>23</v>
      </c>
      <c r="O975" t="e">
        <f>+_xlfn.XLOOKUP(tbl_encuesta[[#This Row],[Siento que mi trabajo es reconocido por mi supervisor o jefe directo.]],#REF!,#REF!)</f>
        <v>#REF!</v>
      </c>
      <c r="P975" t="s">
        <v>31</v>
      </c>
      <c r="Q975" t="e">
        <f xml:space="preserve">
_xlfn.XLOOKUP(
tbl_encuesta[[#This Row],[Mi supervisor o jefe directo nos brinda charlas de 5 minutos y comunica las novedades relevantes a mi puesto de trabajo]],#REF!,#REF!
)</f>
        <v>#REF!</v>
      </c>
      <c r="R975" t="s">
        <v>17</v>
      </c>
      <c r="S975" t="s">
        <v>18</v>
      </c>
      <c r="W975" t="s">
        <v>25</v>
      </c>
      <c r="X975" t="s">
        <v>23</v>
      </c>
      <c r="Y975" t="e">
        <f>+_xlfn.XLOOKUP(tbl_encuesta[[#This Row],[Considero a Limtek como un buen lugar para trabajar]],#REF!,#REF!)</f>
        <v>#REF!</v>
      </c>
      <c r="Z975" t="s">
        <v>576</v>
      </c>
      <c r="AA975" t="s">
        <v>2464</v>
      </c>
      <c r="AB975" t="s">
        <v>559</v>
      </c>
      <c r="AC975" s="3" t="s">
        <v>3716</v>
      </c>
      <c r="AD975" s="3" t="s">
        <v>3716</v>
      </c>
      <c r="AE975" t="s">
        <v>69</v>
      </c>
    </row>
    <row r="976" spans="1:31" x14ac:dyDescent="0.25">
      <c r="A976">
        <v>119026801766</v>
      </c>
      <c r="B976">
        <v>462598545</v>
      </c>
      <c r="C976" s="1">
        <v>46017.594467592593</v>
      </c>
      <c r="D976" s="1">
        <v>46017.595416666663</v>
      </c>
      <c r="E976" t="s">
        <v>2465</v>
      </c>
      <c r="F976" t="s">
        <v>23</v>
      </c>
      <c r="G976" t="e">
        <f>+_xlfn.XLOOKUP(tbl_encuesta[[#This Row],[Me siento a gusto con el ambiente de trabajo que se genera en mi equipo.]],#REF!,#REF!)</f>
        <v>#REF!</v>
      </c>
      <c r="H976" t="s">
        <v>23</v>
      </c>
      <c r="I976" t="e">
        <f>+_xlfn.XLOOKUP(tbl_encuesta[[#This Row],[Me siento motivado a dar lo mejor de mí y hacer un buen trabajo]],#REF!,#REF!)</f>
        <v>#REF!</v>
      </c>
      <c r="J976" t="s">
        <v>23</v>
      </c>
      <c r="K976" t="e">
        <f>+_xlfn.XLOOKUP(tbl_encuesta[[#This Row],[Mi supervisor o jefe directo me otorga el soporte que necesito para afrontar cualquier problema que afecte mi trabajo]],#REF!,#REF!)</f>
        <v>#REF!</v>
      </c>
      <c r="L976" t="s">
        <v>23</v>
      </c>
      <c r="M976" t="e">
        <f>+_xlfn.XLOOKUP(tbl_encuesta[[#This Row],[Mi supervisor o jefe directo fomenta que nos apoyemos entre todos en el equipo]],#REF!,#REF!)</f>
        <v>#REF!</v>
      </c>
      <c r="N976" t="s">
        <v>23</v>
      </c>
      <c r="O976" t="e">
        <f>+_xlfn.XLOOKUP(tbl_encuesta[[#This Row],[Siento que mi trabajo es reconocido por mi supervisor o jefe directo.]],#REF!,#REF!)</f>
        <v>#REF!</v>
      </c>
      <c r="P976" t="s">
        <v>31</v>
      </c>
      <c r="Q976" t="e">
        <f xml:space="preserve">
_xlfn.XLOOKUP(
tbl_encuesta[[#This Row],[Mi supervisor o jefe directo nos brinda charlas de 5 minutos y comunica las novedades relevantes a mi puesto de trabajo]],#REF!,#REF!
)</f>
        <v>#REF!</v>
      </c>
      <c r="R976" t="s">
        <v>17</v>
      </c>
      <c r="W976" t="s">
        <v>25</v>
      </c>
      <c r="X976" t="s">
        <v>23</v>
      </c>
      <c r="Y976" t="e">
        <f>+_xlfn.XLOOKUP(tbl_encuesta[[#This Row],[Considero a Limtek como un buen lugar para trabajar]],#REF!,#REF!)</f>
        <v>#REF!</v>
      </c>
      <c r="Z976" t="s">
        <v>2466</v>
      </c>
      <c r="AA976" t="s">
        <v>2467</v>
      </c>
      <c r="AB976" t="s">
        <v>28</v>
      </c>
      <c r="AC976" s="3" t="s">
        <v>3714</v>
      </c>
      <c r="AD976" s="3" t="s">
        <v>3715</v>
      </c>
      <c r="AE976" t="s">
        <v>29</v>
      </c>
    </row>
    <row r="977" spans="1:31" x14ac:dyDescent="0.25">
      <c r="A977">
        <v>119026801661</v>
      </c>
      <c r="B977">
        <v>462598545</v>
      </c>
      <c r="C977" s="1">
        <v>46017.585127314815</v>
      </c>
      <c r="D977" s="1">
        <v>46017.595208333332</v>
      </c>
      <c r="E977" t="s">
        <v>2468</v>
      </c>
      <c r="F977" t="s">
        <v>22</v>
      </c>
      <c r="G977" t="e">
        <f>+_xlfn.XLOOKUP(tbl_encuesta[[#This Row],[Me siento a gusto con el ambiente de trabajo que se genera en mi equipo.]],#REF!,#REF!)</f>
        <v>#REF!</v>
      </c>
      <c r="H977" t="s">
        <v>23</v>
      </c>
      <c r="I977" t="e">
        <f>+_xlfn.XLOOKUP(tbl_encuesta[[#This Row],[Me siento motivado a dar lo mejor de mí y hacer un buen trabajo]],#REF!,#REF!)</f>
        <v>#REF!</v>
      </c>
      <c r="J977" t="s">
        <v>23</v>
      </c>
      <c r="K977" t="e">
        <f>+_xlfn.XLOOKUP(tbl_encuesta[[#This Row],[Mi supervisor o jefe directo me otorga el soporte que necesito para afrontar cualquier problema que afecte mi trabajo]],#REF!,#REF!)</f>
        <v>#REF!</v>
      </c>
      <c r="L977" t="s">
        <v>23</v>
      </c>
      <c r="M977" t="e">
        <f>+_xlfn.XLOOKUP(tbl_encuesta[[#This Row],[Mi supervisor o jefe directo fomenta que nos apoyemos entre todos en el equipo]],#REF!,#REF!)</f>
        <v>#REF!</v>
      </c>
      <c r="N977" t="s">
        <v>22</v>
      </c>
      <c r="O977" t="e">
        <f>+_xlfn.XLOOKUP(tbl_encuesta[[#This Row],[Siento que mi trabajo es reconocido por mi supervisor o jefe directo.]],#REF!,#REF!)</f>
        <v>#REF!</v>
      </c>
      <c r="P977" t="s">
        <v>67</v>
      </c>
      <c r="Q977" t="e">
        <f xml:space="preserve">
_xlfn.XLOOKUP(
tbl_encuesta[[#This Row],[Mi supervisor o jefe directo nos brinda charlas de 5 minutos y comunica las novedades relevantes a mi puesto de trabajo]],#REF!,#REF!
)</f>
        <v>#REF!</v>
      </c>
      <c r="T977" t="s">
        <v>19</v>
      </c>
      <c r="W977" t="s">
        <v>25</v>
      </c>
      <c r="X977" t="s">
        <v>23</v>
      </c>
      <c r="Y977" t="e">
        <f>+_xlfn.XLOOKUP(tbl_encuesta[[#This Row],[Considero a Limtek como un buen lugar para trabajar]],#REF!,#REF!)</f>
        <v>#REF!</v>
      </c>
      <c r="Z977" t="s">
        <v>2469</v>
      </c>
      <c r="AA977" t="s">
        <v>2470</v>
      </c>
      <c r="AB977" t="s">
        <v>28</v>
      </c>
      <c r="AC977" s="3" t="s">
        <v>3705</v>
      </c>
      <c r="AD977" s="3" t="s">
        <v>3705</v>
      </c>
      <c r="AE977" t="s">
        <v>69</v>
      </c>
    </row>
    <row r="978" spans="1:31" x14ac:dyDescent="0.25">
      <c r="A978">
        <v>119026801377</v>
      </c>
      <c r="B978">
        <v>462598545</v>
      </c>
      <c r="C978" s="1">
        <v>46017.593460648146</v>
      </c>
      <c r="D978" s="1">
        <v>46017.594571759262</v>
      </c>
      <c r="E978" t="s">
        <v>2448</v>
      </c>
      <c r="F978" t="s">
        <v>23</v>
      </c>
      <c r="G978" t="e">
        <f>+_xlfn.XLOOKUP(tbl_encuesta[[#This Row],[Me siento a gusto con el ambiente de trabajo que se genera en mi equipo.]],#REF!,#REF!)</f>
        <v>#REF!</v>
      </c>
      <c r="H978" t="s">
        <v>23</v>
      </c>
      <c r="I978" t="e">
        <f>+_xlfn.XLOOKUP(tbl_encuesta[[#This Row],[Me siento motivado a dar lo mejor de mí y hacer un buen trabajo]],#REF!,#REF!)</f>
        <v>#REF!</v>
      </c>
      <c r="J978" t="s">
        <v>23</v>
      </c>
      <c r="K978" t="e">
        <f>+_xlfn.XLOOKUP(tbl_encuesta[[#This Row],[Mi supervisor o jefe directo me otorga el soporte que necesito para afrontar cualquier problema que afecte mi trabajo]],#REF!,#REF!)</f>
        <v>#REF!</v>
      </c>
      <c r="L978" t="s">
        <v>23</v>
      </c>
      <c r="M978" t="e">
        <f>+_xlfn.XLOOKUP(tbl_encuesta[[#This Row],[Mi supervisor o jefe directo fomenta que nos apoyemos entre todos en el equipo]],#REF!,#REF!)</f>
        <v>#REF!</v>
      </c>
      <c r="N978" t="s">
        <v>23</v>
      </c>
      <c r="O978" t="e">
        <f>+_xlfn.XLOOKUP(tbl_encuesta[[#This Row],[Siento que mi trabajo es reconocido por mi supervisor o jefe directo.]],#REF!,#REF!)</f>
        <v>#REF!</v>
      </c>
      <c r="P978" t="s">
        <v>31</v>
      </c>
      <c r="Q978" t="e">
        <f xml:space="preserve">
_xlfn.XLOOKUP(
tbl_encuesta[[#This Row],[Mi supervisor o jefe directo nos brinda charlas de 5 minutos y comunica las novedades relevantes a mi puesto de trabajo]],#REF!,#REF!
)</f>
        <v>#REF!</v>
      </c>
      <c r="R978" t="s">
        <v>17</v>
      </c>
      <c r="W978" t="s">
        <v>25</v>
      </c>
      <c r="X978" t="s">
        <v>23</v>
      </c>
      <c r="Y978" t="e">
        <f>+_xlfn.XLOOKUP(tbl_encuesta[[#This Row],[Considero a Limtek como un buen lugar para trabajar]],#REF!,#REF!)</f>
        <v>#REF!</v>
      </c>
      <c r="Z978" t="s">
        <v>727</v>
      </c>
      <c r="AA978" t="s">
        <v>2471</v>
      </c>
      <c r="AB978" t="s">
        <v>28</v>
      </c>
      <c r="AC978" s="3" t="s">
        <v>3705</v>
      </c>
      <c r="AD978" s="3" t="s">
        <v>3705</v>
      </c>
      <c r="AE978" t="s">
        <v>61</v>
      </c>
    </row>
    <row r="979" spans="1:31" x14ac:dyDescent="0.25">
      <c r="A979">
        <v>119026801198</v>
      </c>
      <c r="B979">
        <v>462598545</v>
      </c>
      <c r="C979" s="1">
        <v>46017.592476851853</v>
      </c>
      <c r="D979" s="1">
        <v>46017.594178240739</v>
      </c>
      <c r="E979" t="s">
        <v>2465</v>
      </c>
      <c r="F979" t="s">
        <v>23</v>
      </c>
      <c r="G979" t="e">
        <f>+_xlfn.XLOOKUP(tbl_encuesta[[#This Row],[Me siento a gusto con el ambiente de trabajo que se genera en mi equipo.]],#REF!,#REF!)</f>
        <v>#REF!</v>
      </c>
      <c r="H979" t="s">
        <v>23</v>
      </c>
      <c r="I979" t="e">
        <f>+_xlfn.XLOOKUP(tbl_encuesta[[#This Row],[Me siento motivado a dar lo mejor de mí y hacer un buen trabajo]],#REF!,#REF!)</f>
        <v>#REF!</v>
      </c>
      <c r="J979" t="s">
        <v>23</v>
      </c>
      <c r="K979" t="e">
        <f>+_xlfn.XLOOKUP(tbl_encuesta[[#This Row],[Mi supervisor o jefe directo me otorga el soporte que necesito para afrontar cualquier problema que afecte mi trabajo]],#REF!,#REF!)</f>
        <v>#REF!</v>
      </c>
      <c r="L979" t="s">
        <v>23</v>
      </c>
      <c r="M979" t="e">
        <f>+_xlfn.XLOOKUP(tbl_encuesta[[#This Row],[Mi supervisor o jefe directo fomenta que nos apoyemos entre todos en el equipo]],#REF!,#REF!)</f>
        <v>#REF!</v>
      </c>
      <c r="N979" t="s">
        <v>23</v>
      </c>
      <c r="O979" t="e">
        <f>+_xlfn.XLOOKUP(tbl_encuesta[[#This Row],[Siento que mi trabajo es reconocido por mi supervisor o jefe directo.]],#REF!,#REF!)</f>
        <v>#REF!</v>
      </c>
      <c r="P979" t="s">
        <v>31</v>
      </c>
      <c r="Q979" t="e">
        <f xml:space="preserve">
_xlfn.XLOOKUP(
tbl_encuesta[[#This Row],[Mi supervisor o jefe directo nos brinda charlas de 5 minutos y comunica las novedades relevantes a mi puesto de trabajo]],#REF!,#REF!
)</f>
        <v>#REF!</v>
      </c>
      <c r="R979" t="s">
        <v>17</v>
      </c>
      <c r="W979" t="s">
        <v>25</v>
      </c>
      <c r="X979" t="s">
        <v>23</v>
      </c>
      <c r="Y979" t="e">
        <f>+_xlfn.XLOOKUP(tbl_encuesta[[#This Row],[Considero a Limtek como un buen lugar para trabajar]],#REF!,#REF!)</f>
        <v>#REF!</v>
      </c>
      <c r="Z979" t="s">
        <v>2466</v>
      </c>
      <c r="AA979" t="s">
        <v>2472</v>
      </c>
      <c r="AB979" t="s">
        <v>28</v>
      </c>
      <c r="AC979" s="3" t="s">
        <v>3714</v>
      </c>
      <c r="AD979" s="3" t="s">
        <v>3715</v>
      </c>
      <c r="AE979" t="s">
        <v>29</v>
      </c>
    </row>
    <row r="980" spans="1:31" x14ac:dyDescent="0.25">
      <c r="A980">
        <v>119026800962</v>
      </c>
      <c r="B980">
        <v>462598545</v>
      </c>
      <c r="C980" s="1">
        <v>46017.585162037038</v>
      </c>
      <c r="D980" s="1">
        <v>46017.5937037037</v>
      </c>
      <c r="E980" t="s">
        <v>2448</v>
      </c>
      <c r="F980" t="s">
        <v>23</v>
      </c>
      <c r="G980" t="e">
        <f>+_xlfn.XLOOKUP(tbl_encuesta[[#This Row],[Me siento a gusto con el ambiente de trabajo que se genera en mi equipo.]],#REF!,#REF!)</f>
        <v>#REF!</v>
      </c>
      <c r="H980" t="s">
        <v>23</v>
      </c>
      <c r="I980" t="e">
        <f>+_xlfn.XLOOKUP(tbl_encuesta[[#This Row],[Me siento motivado a dar lo mejor de mí y hacer un buen trabajo]],#REF!,#REF!)</f>
        <v>#REF!</v>
      </c>
      <c r="J980" t="s">
        <v>22</v>
      </c>
      <c r="K980" t="e">
        <f>+_xlfn.XLOOKUP(tbl_encuesta[[#This Row],[Mi supervisor o jefe directo me otorga el soporte que necesito para afrontar cualquier problema que afecte mi trabajo]],#REF!,#REF!)</f>
        <v>#REF!</v>
      </c>
      <c r="L980" t="s">
        <v>23</v>
      </c>
      <c r="M980" t="e">
        <f>+_xlfn.XLOOKUP(tbl_encuesta[[#This Row],[Mi supervisor o jefe directo fomenta que nos apoyemos entre todos en el equipo]],#REF!,#REF!)</f>
        <v>#REF!</v>
      </c>
      <c r="N980" t="s">
        <v>23</v>
      </c>
      <c r="O980" t="e">
        <f>+_xlfn.XLOOKUP(tbl_encuesta[[#This Row],[Siento que mi trabajo es reconocido por mi supervisor o jefe directo.]],#REF!,#REF!)</f>
        <v>#REF!</v>
      </c>
      <c r="P980" t="s">
        <v>31</v>
      </c>
      <c r="Q980" t="e">
        <f xml:space="preserve">
_xlfn.XLOOKUP(
tbl_encuesta[[#This Row],[Mi supervisor o jefe directo nos brinda charlas de 5 minutos y comunica las novedades relevantes a mi puesto de trabajo]],#REF!,#REF!
)</f>
        <v>#REF!</v>
      </c>
      <c r="R980" t="s">
        <v>17</v>
      </c>
      <c r="U980" t="s">
        <v>20</v>
      </c>
      <c r="W980" t="s">
        <v>25</v>
      </c>
      <c r="X980" t="s">
        <v>23</v>
      </c>
      <c r="Y980" t="e">
        <f>+_xlfn.XLOOKUP(tbl_encuesta[[#This Row],[Considero a Limtek como un buen lugar para trabajar]],#REF!,#REF!)</f>
        <v>#REF!</v>
      </c>
      <c r="Z980" t="s">
        <v>2473</v>
      </c>
      <c r="AA980" t="s">
        <v>2474</v>
      </c>
      <c r="AB980" t="s">
        <v>28</v>
      </c>
      <c r="AC980" s="3" t="s">
        <v>3705</v>
      </c>
      <c r="AD980" s="3" t="s">
        <v>3713</v>
      </c>
      <c r="AE980" t="s">
        <v>34</v>
      </c>
    </row>
    <row r="981" spans="1:31" x14ac:dyDescent="0.25">
      <c r="A981">
        <v>119026800749</v>
      </c>
      <c r="B981">
        <v>462598545</v>
      </c>
      <c r="C981" s="1">
        <v>46017.584780092591</v>
      </c>
      <c r="D981" s="1">
        <v>46017.593182870369</v>
      </c>
      <c r="E981" t="s">
        <v>2475</v>
      </c>
      <c r="F981" t="s">
        <v>23</v>
      </c>
      <c r="G981" t="e">
        <f>+_xlfn.XLOOKUP(tbl_encuesta[[#This Row],[Me siento a gusto con el ambiente de trabajo que se genera en mi equipo.]],#REF!,#REF!)</f>
        <v>#REF!</v>
      </c>
      <c r="H981" t="s">
        <v>23</v>
      </c>
      <c r="I981" t="e">
        <f>+_xlfn.XLOOKUP(tbl_encuesta[[#This Row],[Me siento motivado a dar lo mejor de mí y hacer un buen trabajo]],#REF!,#REF!)</f>
        <v>#REF!</v>
      </c>
      <c r="J981" t="s">
        <v>23</v>
      </c>
      <c r="K981" t="e">
        <f>+_xlfn.XLOOKUP(tbl_encuesta[[#This Row],[Mi supervisor o jefe directo me otorga el soporte que necesito para afrontar cualquier problema que afecte mi trabajo]],#REF!,#REF!)</f>
        <v>#REF!</v>
      </c>
      <c r="L981" t="s">
        <v>23</v>
      </c>
      <c r="M981" t="e">
        <f>+_xlfn.XLOOKUP(tbl_encuesta[[#This Row],[Mi supervisor o jefe directo fomenta que nos apoyemos entre todos en el equipo]],#REF!,#REF!)</f>
        <v>#REF!</v>
      </c>
      <c r="N981" t="s">
        <v>23</v>
      </c>
      <c r="O981" t="e">
        <f>+_xlfn.XLOOKUP(tbl_encuesta[[#This Row],[Siento que mi trabajo es reconocido por mi supervisor o jefe directo.]],#REF!,#REF!)</f>
        <v>#REF!</v>
      </c>
      <c r="P981" t="s">
        <v>31</v>
      </c>
      <c r="Q981" t="e">
        <f xml:space="preserve">
_xlfn.XLOOKUP(
tbl_encuesta[[#This Row],[Mi supervisor o jefe directo nos brinda charlas de 5 minutos y comunica las novedades relevantes a mi puesto de trabajo]],#REF!,#REF!
)</f>
        <v>#REF!</v>
      </c>
      <c r="R981" t="s">
        <v>17</v>
      </c>
      <c r="S981" t="s">
        <v>18</v>
      </c>
      <c r="W981" t="s">
        <v>25</v>
      </c>
      <c r="X981" t="s">
        <v>23</v>
      </c>
      <c r="Y981" t="e">
        <f>+_xlfn.XLOOKUP(tbl_encuesta[[#This Row],[Considero a Limtek como un buen lugar para trabajar]],#REF!,#REF!)</f>
        <v>#REF!</v>
      </c>
      <c r="Z981" t="s">
        <v>2476</v>
      </c>
      <c r="AA981" t="s">
        <v>2477</v>
      </c>
      <c r="AB981" t="s">
        <v>559</v>
      </c>
      <c r="AC981" s="3" t="s">
        <v>3716</v>
      </c>
      <c r="AD981" s="3" t="s">
        <v>3716</v>
      </c>
      <c r="AE981" t="s">
        <v>29</v>
      </c>
    </row>
    <row r="982" spans="1:31" x14ac:dyDescent="0.25">
      <c r="A982">
        <v>119026800701</v>
      </c>
      <c r="B982">
        <v>462598545</v>
      </c>
      <c r="C982" s="1">
        <v>46017.581932870373</v>
      </c>
      <c r="D982" s="1">
        <v>46017.593090277776</v>
      </c>
      <c r="E982" t="s">
        <v>2478</v>
      </c>
      <c r="F982" t="s">
        <v>23</v>
      </c>
      <c r="G982" t="e">
        <f>+_xlfn.XLOOKUP(tbl_encuesta[[#This Row],[Me siento a gusto con el ambiente de trabajo que se genera en mi equipo.]],#REF!,#REF!)</f>
        <v>#REF!</v>
      </c>
      <c r="H982" t="s">
        <v>23</v>
      </c>
      <c r="I982" t="e">
        <f>+_xlfn.XLOOKUP(tbl_encuesta[[#This Row],[Me siento motivado a dar lo mejor de mí y hacer un buen trabajo]],#REF!,#REF!)</f>
        <v>#REF!</v>
      </c>
      <c r="J982" t="s">
        <v>23</v>
      </c>
      <c r="K982" t="e">
        <f>+_xlfn.XLOOKUP(tbl_encuesta[[#This Row],[Mi supervisor o jefe directo me otorga el soporte que necesito para afrontar cualquier problema que afecte mi trabajo]],#REF!,#REF!)</f>
        <v>#REF!</v>
      </c>
      <c r="L982" t="s">
        <v>23</v>
      </c>
      <c r="M982" t="e">
        <f>+_xlfn.XLOOKUP(tbl_encuesta[[#This Row],[Mi supervisor o jefe directo fomenta que nos apoyemos entre todos en el equipo]],#REF!,#REF!)</f>
        <v>#REF!</v>
      </c>
      <c r="N982" t="s">
        <v>23</v>
      </c>
      <c r="O982" t="e">
        <f>+_xlfn.XLOOKUP(tbl_encuesta[[#This Row],[Siento que mi trabajo es reconocido por mi supervisor o jefe directo.]],#REF!,#REF!)</f>
        <v>#REF!</v>
      </c>
      <c r="P982" t="s">
        <v>31</v>
      </c>
      <c r="Q982" t="e">
        <f xml:space="preserve">
_xlfn.XLOOKUP(
tbl_encuesta[[#This Row],[Mi supervisor o jefe directo nos brinda charlas de 5 minutos y comunica las novedades relevantes a mi puesto de trabajo]],#REF!,#REF!
)</f>
        <v>#REF!</v>
      </c>
      <c r="R982" t="s">
        <v>17</v>
      </c>
      <c r="W982" t="s">
        <v>25</v>
      </c>
      <c r="X982" t="s">
        <v>23</v>
      </c>
      <c r="Y982" t="e">
        <f>+_xlfn.XLOOKUP(tbl_encuesta[[#This Row],[Considero a Limtek como un buen lugar para trabajar]],#REF!,#REF!)</f>
        <v>#REF!</v>
      </c>
      <c r="Z982" t="s">
        <v>2479</v>
      </c>
      <c r="AA982" t="s">
        <v>2480</v>
      </c>
      <c r="AB982" t="s">
        <v>559</v>
      </c>
      <c r="AC982" s="3" t="s">
        <v>3716</v>
      </c>
      <c r="AD982" s="3" t="s">
        <v>3716</v>
      </c>
      <c r="AE982" t="s">
        <v>29</v>
      </c>
    </row>
    <row r="983" spans="1:31" x14ac:dyDescent="0.25">
      <c r="A983">
        <v>119026800700</v>
      </c>
      <c r="B983">
        <v>462598545</v>
      </c>
      <c r="C983" s="1">
        <v>46017.582476851851</v>
      </c>
      <c r="D983" s="1">
        <v>46017.593090277776</v>
      </c>
      <c r="E983" t="s">
        <v>1903</v>
      </c>
      <c r="F983" t="s">
        <v>23</v>
      </c>
      <c r="G983" t="e">
        <f>+_xlfn.XLOOKUP(tbl_encuesta[[#This Row],[Me siento a gusto con el ambiente de trabajo que se genera en mi equipo.]],#REF!,#REF!)</f>
        <v>#REF!</v>
      </c>
      <c r="H983" t="s">
        <v>23</v>
      </c>
      <c r="I983" t="e">
        <f>+_xlfn.XLOOKUP(tbl_encuesta[[#This Row],[Me siento motivado a dar lo mejor de mí y hacer un buen trabajo]],#REF!,#REF!)</f>
        <v>#REF!</v>
      </c>
      <c r="J983" t="s">
        <v>23</v>
      </c>
      <c r="K983" t="e">
        <f>+_xlfn.XLOOKUP(tbl_encuesta[[#This Row],[Mi supervisor o jefe directo me otorga el soporte que necesito para afrontar cualquier problema que afecte mi trabajo]],#REF!,#REF!)</f>
        <v>#REF!</v>
      </c>
      <c r="L983" t="s">
        <v>23</v>
      </c>
      <c r="M983" t="e">
        <f>+_xlfn.XLOOKUP(tbl_encuesta[[#This Row],[Mi supervisor o jefe directo fomenta que nos apoyemos entre todos en el equipo]],#REF!,#REF!)</f>
        <v>#REF!</v>
      </c>
      <c r="N983" t="s">
        <v>23</v>
      </c>
      <c r="O983" t="e">
        <f>+_xlfn.XLOOKUP(tbl_encuesta[[#This Row],[Siento que mi trabajo es reconocido por mi supervisor o jefe directo.]],#REF!,#REF!)</f>
        <v>#REF!</v>
      </c>
      <c r="P983" t="s">
        <v>67</v>
      </c>
      <c r="Q983" t="e">
        <f xml:space="preserve">
_xlfn.XLOOKUP(
tbl_encuesta[[#This Row],[Mi supervisor o jefe directo nos brinda charlas de 5 minutos y comunica las novedades relevantes a mi puesto de trabajo]],#REF!,#REF!
)</f>
        <v>#REF!</v>
      </c>
      <c r="R983" t="s">
        <v>17</v>
      </c>
      <c r="S983" t="s">
        <v>18</v>
      </c>
      <c r="W983" t="s">
        <v>25</v>
      </c>
      <c r="X983" t="s">
        <v>23</v>
      </c>
      <c r="Y983" t="e">
        <f>+_xlfn.XLOOKUP(tbl_encuesta[[#This Row],[Considero a Limtek como un buen lugar para trabajar]],#REF!,#REF!)</f>
        <v>#REF!</v>
      </c>
      <c r="Z983" t="s">
        <v>2481</v>
      </c>
      <c r="AA983" t="s">
        <v>2482</v>
      </c>
      <c r="AB983" t="s">
        <v>559</v>
      </c>
      <c r="AC983" s="3" t="s">
        <v>3716</v>
      </c>
      <c r="AD983" s="3" t="s">
        <v>3716</v>
      </c>
      <c r="AE983" t="s">
        <v>29</v>
      </c>
    </row>
    <row r="984" spans="1:31" x14ac:dyDescent="0.25">
      <c r="A984">
        <v>119026800694</v>
      </c>
      <c r="B984">
        <v>462598545</v>
      </c>
      <c r="C984" s="1">
        <v>46017.582384259258</v>
      </c>
      <c r="D984" s="1">
        <v>46017.593078703707</v>
      </c>
      <c r="E984" t="s">
        <v>2222</v>
      </c>
      <c r="F984" t="s">
        <v>23</v>
      </c>
      <c r="G984" t="e">
        <f>+_xlfn.XLOOKUP(tbl_encuesta[[#This Row],[Me siento a gusto con el ambiente de trabajo que se genera en mi equipo.]],#REF!,#REF!)</f>
        <v>#REF!</v>
      </c>
      <c r="H984" t="s">
        <v>23</v>
      </c>
      <c r="I984" t="e">
        <f>+_xlfn.XLOOKUP(tbl_encuesta[[#This Row],[Me siento motivado a dar lo mejor de mí y hacer un buen trabajo]],#REF!,#REF!)</f>
        <v>#REF!</v>
      </c>
      <c r="J984" t="s">
        <v>23</v>
      </c>
      <c r="K984" t="e">
        <f>+_xlfn.XLOOKUP(tbl_encuesta[[#This Row],[Mi supervisor o jefe directo me otorga el soporte que necesito para afrontar cualquier problema que afecte mi trabajo]],#REF!,#REF!)</f>
        <v>#REF!</v>
      </c>
      <c r="L984" t="s">
        <v>23</v>
      </c>
      <c r="M984" t="e">
        <f>+_xlfn.XLOOKUP(tbl_encuesta[[#This Row],[Mi supervisor o jefe directo fomenta que nos apoyemos entre todos en el equipo]],#REF!,#REF!)</f>
        <v>#REF!</v>
      </c>
      <c r="N984" t="s">
        <v>23</v>
      </c>
      <c r="O984" t="e">
        <f>+_xlfn.XLOOKUP(tbl_encuesta[[#This Row],[Siento que mi trabajo es reconocido por mi supervisor o jefe directo.]],#REF!,#REF!)</f>
        <v>#REF!</v>
      </c>
      <c r="P984" t="s">
        <v>31</v>
      </c>
      <c r="Q984" t="e">
        <f xml:space="preserve">
_xlfn.XLOOKUP(
tbl_encuesta[[#This Row],[Mi supervisor o jefe directo nos brinda charlas de 5 minutos y comunica las novedades relevantes a mi puesto de trabajo]],#REF!,#REF!
)</f>
        <v>#REF!</v>
      </c>
      <c r="R984" t="s">
        <v>17</v>
      </c>
      <c r="U984" t="s">
        <v>20</v>
      </c>
      <c r="W984" t="s">
        <v>25</v>
      </c>
      <c r="X984" t="s">
        <v>23</v>
      </c>
      <c r="Y984" t="e">
        <f>+_xlfn.XLOOKUP(tbl_encuesta[[#This Row],[Considero a Limtek como un buen lugar para trabajar]],#REF!,#REF!)</f>
        <v>#REF!</v>
      </c>
      <c r="Z984" t="s">
        <v>2483</v>
      </c>
      <c r="AA984" t="s">
        <v>2484</v>
      </c>
      <c r="AB984" t="s">
        <v>559</v>
      </c>
      <c r="AC984" s="3" t="s">
        <v>3716</v>
      </c>
      <c r="AD984" s="3" t="s">
        <v>3716</v>
      </c>
      <c r="AE984" t="s">
        <v>29</v>
      </c>
    </row>
    <row r="985" spans="1:31" x14ac:dyDescent="0.25">
      <c r="A985">
        <v>119026800450</v>
      </c>
      <c r="B985">
        <v>462598545</v>
      </c>
      <c r="C985" s="1">
        <v>46017.588206018518</v>
      </c>
      <c r="D985" s="1">
        <v>46017.592534722222</v>
      </c>
      <c r="E985" t="s">
        <v>2485</v>
      </c>
      <c r="F985" t="s">
        <v>23</v>
      </c>
      <c r="G985" t="e">
        <f>+_xlfn.XLOOKUP(tbl_encuesta[[#This Row],[Me siento a gusto con el ambiente de trabajo que se genera en mi equipo.]],#REF!,#REF!)</f>
        <v>#REF!</v>
      </c>
      <c r="H985" t="s">
        <v>23</v>
      </c>
      <c r="I985" t="e">
        <f>+_xlfn.XLOOKUP(tbl_encuesta[[#This Row],[Me siento motivado a dar lo mejor de mí y hacer un buen trabajo]],#REF!,#REF!)</f>
        <v>#REF!</v>
      </c>
      <c r="J985" t="s">
        <v>23</v>
      </c>
      <c r="K985" t="e">
        <f>+_xlfn.XLOOKUP(tbl_encuesta[[#This Row],[Mi supervisor o jefe directo me otorga el soporte que necesito para afrontar cualquier problema que afecte mi trabajo]],#REF!,#REF!)</f>
        <v>#REF!</v>
      </c>
      <c r="L985" t="s">
        <v>23</v>
      </c>
      <c r="M985" t="e">
        <f>+_xlfn.XLOOKUP(tbl_encuesta[[#This Row],[Mi supervisor o jefe directo fomenta que nos apoyemos entre todos en el equipo]],#REF!,#REF!)</f>
        <v>#REF!</v>
      </c>
      <c r="N985" t="s">
        <v>23</v>
      </c>
      <c r="O985" t="e">
        <f>+_xlfn.XLOOKUP(tbl_encuesta[[#This Row],[Siento que mi trabajo es reconocido por mi supervisor o jefe directo.]],#REF!,#REF!)</f>
        <v>#REF!</v>
      </c>
      <c r="P985" t="s">
        <v>31</v>
      </c>
      <c r="Q985" t="e">
        <f xml:space="preserve">
_xlfn.XLOOKUP(
tbl_encuesta[[#This Row],[Mi supervisor o jefe directo nos brinda charlas de 5 minutos y comunica las novedades relevantes a mi puesto de trabajo]],#REF!,#REF!
)</f>
        <v>#REF!</v>
      </c>
      <c r="R985" t="s">
        <v>17</v>
      </c>
      <c r="T985" t="s">
        <v>19</v>
      </c>
      <c r="W985" t="s">
        <v>25</v>
      </c>
      <c r="X985" t="s">
        <v>23</v>
      </c>
      <c r="Y985" t="e">
        <f>+_xlfn.XLOOKUP(tbl_encuesta[[#This Row],[Considero a Limtek como un buen lugar para trabajar]],#REF!,#REF!)</f>
        <v>#REF!</v>
      </c>
      <c r="Z985" t="s">
        <v>2486</v>
      </c>
      <c r="AA985" t="s">
        <v>2487</v>
      </c>
      <c r="AB985" t="s">
        <v>28</v>
      </c>
      <c r="AC985" s="3" t="s">
        <v>3766</v>
      </c>
      <c r="AD985" s="3" t="s">
        <v>3766</v>
      </c>
      <c r="AE985" t="s">
        <v>29</v>
      </c>
    </row>
    <row r="986" spans="1:31" x14ac:dyDescent="0.25">
      <c r="A986">
        <v>119026799847</v>
      </c>
      <c r="B986">
        <v>462598545</v>
      </c>
      <c r="C986" s="1">
        <v>46017.590439814812</v>
      </c>
      <c r="D986" s="1">
        <v>46017.591249999998</v>
      </c>
      <c r="E986" t="s">
        <v>2488</v>
      </c>
      <c r="F986" t="s">
        <v>23</v>
      </c>
      <c r="G986" t="e">
        <f>+_xlfn.XLOOKUP(tbl_encuesta[[#This Row],[Me siento a gusto con el ambiente de trabajo que se genera en mi equipo.]],#REF!,#REF!)</f>
        <v>#REF!</v>
      </c>
      <c r="H986" t="s">
        <v>23</v>
      </c>
      <c r="I986" t="e">
        <f>+_xlfn.XLOOKUP(tbl_encuesta[[#This Row],[Me siento motivado a dar lo mejor de mí y hacer un buen trabajo]],#REF!,#REF!)</f>
        <v>#REF!</v>
      </c>
      <c r="J986" t="s">
        <v>23</v>
      </c>
      <c r="K986" t="e">
        <f>+_xlfn.XLOOKUP(tbl_encuesta[[#This Row],[Mi supervisor o jefe directo me otorga el soporte que necesito para afrontar cualquier problema que afecte mi trabajo]],#REF!,#REF!)</f>
        <v>#REF!</v>
      </c>
      <c r="L986" t="s">
        <v>23</v>
      </c>
      <c r="M986" t="e">
        <f>+_xlfn.XLOOKUP(tbl_encuesta[[#This Row],[Mi supervisor o jefe directo fomenta que nos apoyemos entre todos en el equipo]],#REF!,#REF!)</f>
        <v>#REF!</v>
      </c>
      <c r="N986" t="s">
        <v>23</v>
      </c>
      <c r="O986" t="e">
        <f>+_xlfn.XLOOKUP(tbl_encuesta[[#This Row],[Siento que mi trabajo es reconocido por mi supervisor o jefe directo.]],#REF!,#REF!)</f>
        <v>#REF!</v>
      </c>
      <c r="P986" t="s">
        <v>31</v>
      </c>
      <c r="Q986" t="e">
        <f xml:space="preserve">
_xlfn.XLOOKUP(
tbl_encuesta[[#This Row],[Mi supervisor o jefe directo nos brinda charlas de 5 minutos y comunica las novedades relevantes a mi puesto de trabajo]],#REF!,#REF!
)</f>
        <v>#REF!</v>
      </c>
      <c r="R986" t="s">
        <v>17</v>
      </c>
      <c r="W986" t="s">
        <v>25</v>
      </c>
      <c r="X986" t="s">
        <v>23</v>
      </c>
      <c r="Y986" t="e">
        <f>+_xlfn.XLOOKUP(tbl_encuesta[[#This Row],[Considero a Limtek como un buen lugar para trabajar]],#REF!,#REF!)</f>
        <v>#REF!</v>
      </c>
      <c r="Z986" t="s">
        <v>2489</v>
      </c>
      <c r="AA986" t="s">
        <v>2490</v>
      </c>
      <c r="AB986" t="s">
        <v>28</v>
      </c>
      <c r="AC986" s="3" t="s">
        <v>3705</v>
      </c>
      <c r="AD986" s="3" t="s">
        <v>3712</v>
      </c>
      <c r="AE986" t="s">
        <v>55</v>
      </c>
    </row>
    <row r="987" spans="1:31" x14ac:dyDescent="0.25">
      <c r="A987">
        <v>119026799411</v>
      </c>
      <c r="B987">
        <v>462598545</v>
      </c>
      <c r="C987" s="1">
        <v>46017.588402777779</v>
      </c>
      <c r="D987" s="1">
        <v>46017.590254629627</v>
      </c>
      <c r="E987" t="s">
        <v>2491</v>
      </c>
      <c r="F987" t="s">
        <v>23</v>
      </c>
      <c r="G987" t="e">
        <f>+_xlfn.XLOOKUP(tbl_encuesta[[#This Row],[Me siento a gusto con el ambiente de trabajo que se genera en mi equipo.]],#REF!,#REF!)</f>
        <v>#REF!</v>
      </c>
      <c r="H987" t="s">
        <v>23</v>
      </c>
      <c r="I987" t="e">
        <f>+_xlfn.XLOOKUP(tbl_encuesta[[#This Row],[Me siento motivado a dar lo mejor de mí y hacer un buen trabajo]],#REF!,#REF!)</f>
        <v>#REF!</v>
      </c>
      <c r="J987" t="s">
        <v>23</v>
      </c>
      <c r="K987" t="e">
        <f>+_xlfn.XLOOKUP(tbl_encuesta[[#This Row],[Mi supervisor o jefe directo me otorga el soporte que necesito para afrontar cualquier problema que afecte mi trabajo]],#REF!,#REF!)</f>
        <v>#REF!</v>
      </c>
      <c r="L987" t="s">
        <v>23</v>
      </c>
      <c r="M987" t="e">
        <f>+_xlfn.XLOOKUP(tbl_encuesta[[#This Row],[Mi supervisor o jefe directo fomenta que nos apoyemos entre todos en el equipo]],#REF!,#REF!)</f>
        <v>#REF!</v>
      </c>
      <c r="N987" t="s">
        <v>23</v>
      </c>
      <c r="O987" t="e">
        <f>+_xlfn.XLOOKUP(tbl_encuesta[[#This Row],[Siento que mi trabajo es reconocido por mi supervisor o jefe directo.]],#REF!,#REF!)</f>
        <v>#REF!</v>
      </c>
      <c r="P987" t="s">
        <v>31</v>
      </c>
      <c r="Q987" t="e">
        <f xml:space="preserve">
_xlfn.XLOOKUP(
tbl_encuesta[[#This Row],[Mi supervisor o jefe directo nos brinda charlas de 5 minutos y comunica las novedades relevantes a mi puesto de trabajo]],#REF!,#REF!
)</f>
        <v>#REF!</v>
      </c>
      <c r="R987" t="s">
        <v>17</v>
      </c>
      <c r="W987" t="s">
        <v>25</v>
      </c>
      <c r="X987" t="s">
        <v>23</v>
      </c>
      <c r="Y987" t="e">
        <f>+_xlfn.XLOOKUP(tbl_encuesta[[#This Row],[Considero a Limtek como un buen lugar para trabajar]],#REF!,#REF!)</f>
        <v>#REF!</v>
      </c>
      <c r="Z987" t="s">
        <v>193</v>
      </c>
      <c r="AA987" t="s">
        <v>2492</v>
      </c>
      <c r="AB987" t="s">
        <v>28</v>
      </c>
      <c r="AC987" s="3" t="s">
        <v>3705</v>
      </c>
      <c r="AD987" s="3" t="s">
        <v>3713</v>
      </c>
      <c r="AE987" t="s">
        <v>29</v>
      </c>
    </row>
    <row r="988" spans="1:31" x14ac:dyDescent="0.25">
      <c r="A988">
        <v>119026799341</v>
      </c>
      <c r="B988">
        <v>462598545</v>
      </c>
      <c r="C988" s="1">
        <v>46017.584733796299</v>
      </c>
      <c r="D988" s="1">
        <v>46017.590104166666</v>
      </c>
      <c r="E988" t="s">
        <v>2493</v>
      </c>
      <c r="F988" t="s">
        <v>23</v>
      </c>
      <c r="G988" t="e">
        <f>+_xlfn.XLOOKUP(tbl_encuesta[[#This Row],[Me siento a gusto con el ambiente de trabajo que se genera en mi equipo.]],#REF!,#REF!)</f>
        <v>#REF!</v>
      </c>
      <c r="H988" t="s">
        <v>23</v>
      </c>
      <c r="I988" t="e">
        <f>+_xlfn.XLOOKUP(tbl_encuesta[[#This Row],[Me siento motivado a dar lo mejor de mí y hacer un buen trabajo]],#REF!,#REF!)</f>
        <v>#REF!</v>
      </c>
      <c r="J988" t="s">
        <v>22</v>
      </c>
      <c r="K988" t="e">
        <f>+_xlfn.XLOOKUP(tbl_encuesta[[#This Row],[Mi supervisor o jefe directo me otorga el soporte que necesito para afrontar cualquier problema que afecte mi trabajo]],#REF!,#REF!)</f>
        <v>#REF!</v>
      </c>
      <c r="L988" t="s">
        <v>23</v>
      </c>
      <c r="M988" t="e">
        <f>+_xlfn.XLOOKUP(tbl_encuesta[[#This Row],[Mi supervisor o jefe directo fomenta que nos apoyemos entre todos en el equipo]],#REF!,#REF!)</f>
        <v>#REF!</v>
      </c>
      <c r="N988" t="s">
        <v>22</v>
      </c>
      <c r="O988" t="e">
        <f>+_xlfn.XLOOKUP(tbl_encuesta[[#This Row],[Siento que mi trabajo es reconocido por mi supervisor o jefe directo.]],#REF!,#REF!)</f>
        <v>#REF!</v>
      </c>
      <c r="P988" t="s">
        <v>67</v>
      </c>
      <c r="Q988" t="e">
        <f xml:space="preserve">
_xlfn.XLOOKUP(
tbl_encuesta[[#This Row],[Mi supervisor o jefe directo nos brinda charlas de 5 minutos y comunica las novedades relevantes a mi puesto de trabajo]],#REF!,#REF!
)</f>
        <v>#REF!</v>
      </c>
      <c r="R988" t="s">
        <v>17</v>
      </c>
      <c r="V988" t="s">
        <v>2494</v>
      </c>
      <c r="W988" t="s">
        <v>25</v>
      </c>
      <c r="X988" t="s">
        <v>23</v>
      </c>
      <c r="Y988" t="e">
        <f>+_xlfn.XLOOKUP(tbl_encuesta[[#This Row],[Considero a Limtek como un buen lugar para trabajar]],#REF!,#REF!)</f>
        <v>#REF!</v>
      </c>
      <c r="Z988" t="s">
        <v>1771</v>
      </c>
      <c r="AA988" t="s">
        <v>2495</v>
      </c>
      <c r="AB988" t="s">
        <v>28</v>
      </c>
      <c r="AC988" s="3" t="s">
        <v>3705</v>
      </c>
      <c r="AD988" s="3" t="s">
        <v>3712</v>
      </c>
      <c r="AE988" t="s">
        <v>61</v>
      </c>
    </row>
    <row r="989" spans="1:31" x14ac:dyDescent="0.25">
      <c r="A989">
        <v>119026799172</v>
      </c>
      <c r="B989">
        <v>462598545</v>
      </c>
      <c r="C989" s="1">
        <v>46017.584560185183</v>
      </c>
      <c r="D989" s="1">
        <v>46017.589722222219</v>
      </c>
      <c r="E989" t="s">
        <v>2496</v>
      </c>
      <c r="F989" t="s">
        <v>23</v>
      </c>
      <c r="G989" t="e">
        <f>+_xlfn.XLOOKUP(tbl_encuesta[[#This Row],[Me siento a gusto con el ambiente de trabajo que se genera en mi equipo.]],#REF!,#REF!)</f>
        <v>#REF!</v>
      </c>
      <c r="H989" t="s">
        <v>23</v>
      </c>
      <c r="I989" t="e">
        <f>+_xlfn.XLOOKUP(tbl_encuesta[[#This Row],[Me siento motivado a dar lo mejor de mí y hacer un buen trabajo]],#REF!,#REF!)</f>
        <v>#REF!</v>
      </c>
      <c r="J989" t="s">
        <v>23</v>
      </c>
      <c r="K989" t="e">
        <f>+_xlfn.XLOOKUP(tbl_encuesta[[#This Row],[Mi supervisor o jefe directo me otorga el soporte que necesito para afrontar cualquier problema que afecte mi trabajo]],#REF!,#REF!)</f>
        <v>#REF!</v>
      </c>
      <c r="L989" t="s">
        <v>23</v>
      </c>
      <c r="M989" t="e">
        <f>+_xlfn.XLOOKUP(tbl_encuesta[[#This Row],[Mi supervisor o jefe directo fomenta que nos apoyemos entre todos en el equipo]],#REF!,#REF!)</f>
        <v>#REF!</v>
      </c>
      <c r="N989" t="s">
        <v>23</v>
      </c>
      <c r="O989" t="e">
        <f>+_xlfn.XLOOKUP(tbl_encuesta[[#This Row],[Siento que mi trabajo es reconocido por mi supervisor o jefe directo.]],#REF!,#REF!)</f>
        <v>#REF!</v>
      </c>
      <c r="P989" t="s">
        <v>31</v>
      </c>
      <c r="Q989" t="e">
        <f xml:space="preserve">
_xlfn.XLOOKUP(
tbl_encuesta[[#This Row],[Mi supervisor o jefe directo nos brinda charlas de 5 minutos y comunica las novedades relevantes a mi puesto de trabajo]],#REF!,#REF!
)</f>
        <v>#REF!</v>
      </c>
      <c r="R989" t="s">
        <v>17</v>
      </c>
      <c r="S989" t="s">
        <v>18</v>
      </c>
      <c r="W989" t="s">
        <v>25</v>
      </c>
      <c r="X989" t="s">
        <v>23</v>
      </c>
      <c r="Y989" t="e">
        <f>+_xlfn.XLOOKUP(tbl_encuesta[[#This Row],[Considero a Limtek como un buen lugar para trabajar]],#REF!,#REF!)</f>
        <v>#REF!</v>
      </c>
      <c r="Z989" t="s">
        <v>1661</v>
      </c>
      <c r="AA989" t="s">
        <v>1662</v>
      </c>
      <c r="AB989" t="s">
        <v>563</v>
      </c>
      <c r="AC989" s="3" t="s">
        <v>3610</v>
      </c>
      <c r="AD989" s="3" t="s">
        <v>3610</v>
      </c>
      <c r="AE989" t="s">
        <v>69</v>
      </c>
    </row>
    <row r="990" spans="1:31" x14ac:dyDescent="0.25">
      <c r="A990">
        <v>119026799148</v>
      </c>
      <c r="B990">
        <v>462598545</v>
      </c>
      <c r="C990" s="1">
        <v>46017.588252314818</v>
      </c>
      <c r="D990" s="1">
        <v>46017.589675925927</v>
      </c>
      <c r="E990" t="s">
        <v>2497</v>
      </c>
      <c r="F990" t="s">
        <v>22</v>
      </c>
      <c r="G990" t="e">
        <f>+_xlfn.XLOOKUP(tbl_encuesta[[#This Row],[Me siento a gusto con el ambiente de trabajo que se genera en mi equipo.]],#REF!,#REF!)</f>
        <v>#REF!</v>
      </c>
      <c r="H990" t="s">
        <v>97</v>
      </c>
      <c r="I990" t="e">
        <f>+_xlfn.XLOOKUP(tbl_encuesta[[#This Row],[Me siento motivado a dar lo mejor de mí y hacer un buen trabajo]],#REF!,#REF!)</f>
        <v>#REF!</v>
      </c>
      <c r="J990" t="s">
        <v>43</v>
      </c>
      <c r="K990" t="e">
        <f>+_xlfn.XLOOKUP(tbl_encuesta[[#This Row],[Mi supervisor o jefe directo me otorga el soporte que necesito para afrontar cualquier problema que afecte mi trabajo]],#REF!,#REF!)</f>
        <v>#REF!</v>
      </c>
      <c r="L990" t="s">
        <v>22</v>
      </c>
      <c r="M990" t="e">
        <f>+_xlfn.XLOOKUP(tbl_encuesta[[#This Row],[Mi supervisor o jefe directo fomenta que nos apoyemos entre todos en el equipo]],#REF!,#REF!)</f>
        <v>#REF!</v>
      </c>
      <c r="N990" t="s">
        <v>97</v>
      </c>
      <c r="O990" t="e">
        <f>+_xlfn.XLOOKUP(tbl_encuesta[[#This Row],[Siento que mi trabajo es reconocido por mi supervisor o jefe directo.]],#REF!,#REF!)</f>
        <v>#REF!</v>
      </c>
      <c r="P990" t="s">
        <v>175</v>
      </c>
      <c r="Q990" t="e">
        <f xml:space="preserve">
_xlfn.XLOOKUP(
tbl_encuesta[[#This Row],[Mi supervisor o jefe directo nos brinda charlas de 5 minutos y comunica las novedades relevantes a mi puesto de trabajo]],#REF!,#REF!
)</f>
        <v>#REF!</v>
      </c>
      <c r="R990" t="s">
        <v>17</v>
      </c>
      <c r="S990" t="s">
        <v>18</v>
      </c>
      <c r="W990" t="s">
        <v>25</v>
      </c>
      <c r="X990" t="s">
        <v>22</v>
      </c>
      <c r="Y990" t="e">
        <f>+_xlfn.XLOOKUP(tbl_encuesta[[#This Row],[Considero a Limtek como un buen lugar para trabajar]],#REF!,#REF!)</f>
        <v>#REF!</v>
      </c>
      <c r="Z990" t="s">
        <v>122</v>
      </c>
      <c r="AA990" t="s">
        <v>68</v>
      </c>
      <c r="AB990" t="s">
        <v>28</v>
      </c>
      <c r="AC990" s="3" t="s">
        <v>3705</v>
      </c>
      <c r="AD990" s="3" t="s">
        <v>3711</v>
      </c>
      <c r="AE990" t="s">
        <v>69</v>
      </c>
    </row>
    <row r="991" spans="1:31" x14ac:dyDescent="0.25">
      <c r="A991">
        <v>119026798773</v>
      </c>
      <c r="B991">
        <v>462598545</v>
      </c>
      <c r="C991" s="1">
        <v>46017.587337962963</v>
      </c>
      <c r="D991" s="1">
        <v>46017.588900462964</v>
      </c>
      <c r="E991" t="s">
        <v>2498</v>
      </c>
      <c r="F991" t="s">
        <v>22</v>
      </c>
      <c r="G991" t="e">
        <f>+_xlfn.XLOOKUP(tbl_encuesta[[#This Row],[Me siento a gusto con el ambiente de trabajo que se genera en mi equipo.]],#REF!,#REF!)</f>
        <v>#REF!</v>
      </c>
      <c r="H991" t="s">
        <v>23</v>
      </c>
      <c r="I991" t="e">
        <f>+_xlfn.XLOOKUP(tbl_encuesta[[#This Row],[Me siento motivado a dar lo mejor de mí y hacer un buen trabajo]],#REF!,#REF!)</f>
        <v>#REF!</v>
      </c>
      <c r="J991" t="s">
        <v>22</v>
      </c>
      <c r="K991" t="e">
        <f>+_xlfn.XLOOKUP(tbl_encuesta[[#This Row],[Mi supervisor o jefe directo me otorga el soporte que necesito para afrontar cualquier problema que afecte mi trabajo]],#REF!,#REF!)</f>
        <v>#REF!</v>
      </c>
      <c r="L991" t="s">
        <v>22</v>
      </c>
      <c r="M991" t="e">
        <f>+_xlfn.XLOOKUP(tbl_encuesta[[#This Row],[Mi supervisor o jefe directo fomenta que nos apoyemos entre todos en el equipo]],#REF!,#REF!)</f>
        <v>#REF!</v>
      </c>
      <c r="N991" t="s">
        <v>22</v>
      </c>
      <c r="O991" t="e">
        <f>+_xlfn.XLOOKUP(tbl_encuesta[[#This Row],[Siento que mi trabajo es reconocido por mi supervisor o jefe directo.]],#REF!,#REF!)</f>
        <v>#REF!</v>
      </c>
      <c r="P991" t="s">
        <v>67</v>
      </c>
      <c r="Q991" t="e">
        <f xml:space="preserve">
_xlfn.XLOOKUP(
tbl_encuesta[[#This Row],[Mi supervisor o jefe directo nos brinda charlas de 5 minutos y comunica las novedades relevantes a mi puesto de trabajo]],#REF!,#REF!
)</f>
        <v>#REF!</v>
      </c>
      <c r="R991" t="s">
        <v>17</v>
      </c>
      <c r="S991" t="s">
        <v>18</v>
      </c>
      <c r="W991" t="s">
        <v>25</v>
      </c>
      <c r="X991" t="s">
        <v>23</v>
      </c>
      <c r="Y991" t="e">
        <f>+_xlfn.XLOOKUP(tbl_encuesta[[#This Row],[Considero a Limtek como un buen lugar para trabajar]],#REF!,#REF!)</f>
        <v>#REF!</v>
      </c>
      <c r="Z991" t="s">
        <v>304</v>
      </c>
      <c r="AA991" t="s">
        <v>2499</v>
      </c>
      <c r="AB991" t="s">
        <v>38</v>
      </c>
      <c r="AC991" s="3" t="s">
        <v>3716</v>
      </c>
      <c r="AD991" s="3" t="s">
        <v>38</v>
      </c>
      <c r="AE991" t="s">
        <v>69</v>
      </c>
    </row>
    <row r="992" spans="1:31" x14ac:dyDescent="0.25">
      <c r="A992">
        <v>119026798504</v>
      </c>
      <c r="B992">
        <v>462598545</v>
      </c>
      <c r="C992" s="1">
        <v>46017.585543981484</v>
      </c>
      <c r="D992" s="1">
        <v>46017.58829861111</v>
      </c>
      <c r="E992" t="s">
        <v>2500</v>
      </c>
      <c r="F992" t="s">
        <v>97</v>
      </c>
      <c r="G992" t="e">
        <f>+_xlfn.XLOOKUP(tbl_encuesta[[#This Row],[Me siento a gusto con el ambiente de trabajo que se genera en mi equipo.]],#REF!,#REF!)</f>
        <v>#REF!</v>
      </c>
      <c r="H992" t="s">
        <v>23</v>
      </c>
      <c r="I992" t="e">
        <f>+_xlfn.XLOOKUP(tbl_encuesta[[#This Row],[Me siento motivado a dar lo mejor de mí y hacer un buen trabajo]],#REF!,#REF!)</f>
        <v>#REF!</v>
      </c>
      <c r="J992" t="s">
        <v>97</v>
      </c>
      <c r="K992" t="e">
        <f>+_xlfn.XLOOKUP(tbl_encuesta[[#This Row],[Mi supervisor o jefe directo me otorga el soporte que necesito para afrontar cualquier problema que afecte mi trabajo]],#REF!,#REF!)</f>
        <v>#REF!</v>
      </c>
      <c r="L992" t="s">
        <v>97</v>
      </c>
      <c r="M992" t="e">
        <f>+_xlfn.XLOOKUP(tbl_encuesta[[#This Row],[Mi supervisor o jefe directo fomenta que nos apoyemos entre todos en el equipo]],#REF!,#REF!)</f>
        <v>#REF!</v>
      </c>
      <c r="N992" t="s">
        <v>43</v>
      </c>
      <c r="O992" t="e">
        <f>+_xlfn.XLOOKUP(tbl_encuesta[[#This Row],[Siento que mi trabajo es reconocido por mi supervisor o jefe directo.]],#REF!,#REF!)</f>
        <v>#REF!</v>
      </c>
      <c r="P992" t="s">
        <v>24</v>
      </c>
      <c r="Q992" t="e">
        <f xml:space="preserve">
_xlfn.XLOOKUP(
tbl_encuesta[[#This Row],[Mi supervisor o jefe directo nos brinda charlas de 5 minutos y comunica las novedades relevantes a mi puesto de trabajo]],#REF!,#REF!
)</f>
        <v>#REF!</v>
      </c>
      <c r="R992" t="s">
        <v>17</v>
      </c>
      <c r="W992" t="s">
        <v>25</v>
      </c>
      <c r="X992" t="s">
        <v>23</v>
      </c>
      <c r="Y992" t="e">
        <f>+_xlfn.XLOOKUP(tbl_encuesta[[#This Row],[Considero a Limtek como un buen lugar para trabajar]],#REF!,#REF!)</f>
        <v>#REF!</v>
      </c>
      <c r="Z992" t="s">
        <v>2501</v>
      </c>
      <c r="AA992" t="s">
        <v>2502</v>
      </c>
      <c r="AB992" t="s">
        <v>28</v>
      </c>
      <c r="AC992" t="s">
        <v>3744</v>
      </c>
      <c r="AD992" t="s">
        <v>3744</v>
      </c>
      <c r="AE992" t="s">
        <v>34</v>
      </c>
    </row>
    <row r="993" spans="1:31" x14ac:dyDescent="0.25">
      <c r="A993">
        <v>119026798105</v>
      </c>
      <c r="B993">
        <v>462598545</v>
      </c>
      <c r="C993" s="1">
        <v>46017.584398148145</v>
      </c>
      <c r="D993" s="1">
        <v>46017.58734953704</v>
      </c>
      <c r="E993" t="s">
        <v>2503</v>
      </c>
      <c r="F993" t="s">
        <v>23</v>
      </c>
      <c r="G993" t="e">
        <f>+_xlfn.XLOOKUP(tbl_encuesta[[#This Row],[Me siento a gusto con el ambiente de trabajo que se genera en mi equipo.]],#REF!,#REF!)</f>
        <v>#REF!</v>
      </c>
      <c r="H993" t="s">
        <v>23</v>
      </c>
      <c r="I993" t="e">
        <f>+_xlfn.XLOOKUP(tbl_encuesta[[#This Row],[Me siento motivado a dar lo mejor de mí y hacer un buen trabajo]],#REF!,#REF!)</f>
        <v>#REF!</v>
      </c>
      <c r="J993" t="s">
        <v>23</v>
      </c>
      <c r="K993" t="e">
        <f>+_xlfn.XLOOKUP(tbl_encuesta[[#This Row],[Mi supervisor o jefe directo me otorga el soporte que necesito para afrontar cualquier problema que afecte mi trabajo]],#REF!,#REF!)</f>
        <v>#REF!</v>
      </c>
      <c r="L993" t="s">
        <v>23</v>
      </c>
      <c r="M993" t="e">
        <f>+_xlfn.XLOOKUP(tbl_encuesta[[#This Row],[Mi supervisor o jefe directo fomenta que nos apoyemos entre todos en el equipo]],#REF!,#REF!)</f>
        <v>#REF!</v>
      </c>
      <c r="N993" t="s">
        <v>23</v>
      </c>
      <c r="O993" t="e">
        <f>+_xlfn.XLOOKUP(tbl_encuesta[[#This Row],[Siento que mi trabajo es reconocido por mi supervisor o jefe directo.]],#REF!,#REF!)</f>
        <v>#REF!</v>
      </c>
      <c r="P993" t="s">
        <v>67</v>
      </c>
      <c r="Q993" t="e">
        <f xml:space="preserve">
_xlfn.XLOOKUP(
tbl_encuesta[[#This Row],[Mi supervisor o jefe directo nos brinda charlas de 5 minutos y comunica las novedades relevantes a mi puesto de trabajo]],#REF!,#REF!
)</f>
        <v>#REF!</v>
      </c>
      <c r="S993" t="s">
        <v>18</v>
      </c>
      <c r="T993" t="s">
        <v>19</v>
      </c>
      <c r="W993" t="s">
        <v>25</v>
      </c>
      <c r="X993" t="s">
        <v>23</v>
      </c>
      <c r="Y993" t="e">
        <f>+_xlfn.XLOOKUP(tbl_encuesta[[#This Row],[Considero a Limtek como un buen lugar para trabajar]],#REF!,#REF!)</f>
        <v>#REF!</v>
      </c>
      <c r="Z993" t="s">
        <v>2504</v>
      </c>
      <c r="AA993" t="s">
        <v>2505</v>
      </c>
      <c r="AB993" t="s">
        <v>28</v>
      </c>
      <c r="AC993" s="3" t="s">
        <v>3815</v>
      </c>
      <c r="AD993" s="3" t="s">
        <v>3853</v>
      </c>
      <c r="AE993" t="s">
        <v>69</v>
      </c>
    </row>
    <row r="994" spans="1:31" x14ac:dyDescent="0.25">
      <c r="A994">
        <v>119026797768</v>
      </c>
      <c r="B994">
        <v>462598545</v>
      </c>
      <c r="C994" s="1">
        <v>46017.580057870371</v>
      </c>
      <c r="D994" s="1">
        <v>46017.586643518516</v>
      </c>
      <c r="E994" t="s">
        <v>2506</v>
      </c>
      <c r="F994" t="s">
        <v>23</v>
      </c>
      <c r="G994" t="e">
        <f>+_xlfn.XLOOKUP(tbl_encuesta[[#This Row],[Me siento a gusto con el ambiente de trabajo que se genera en mi equipo.]],#REF!,#REF!)</f>
        <v>#REF!</v>
      </c>
      <c r="H994" t="s">
        <v>23</v>
      </c>
      <c r="I994" t="e">
        <f>+_xlfn.XLOOKUP(tbl_encuesta[[#This Row],[Me siento motivado a dar lo mejor de mí y hacer un buen trabajo]],#REF!,#REF!)</f>
        <v>#REF!</v>
      </c>
      <c r="J994" t="s">
        <v>23</v>
      </c>
      <c r="K994" t="e">
        <f>+_xlfn.XLOOKUP(tbl_encuesta[[#This Row],[Mi supervisor o jefe directo me otorga el soporte que necesito para afrontar cualquier problema que afecte mi trabajo]],#REF!,#REF!)</f>
        <v>#REF!</v>
      </c>
      <c r="L994" t="s">
        <v>23</v>
      </c>
      <c r="M994" t="e">
        <f>+_xlfn.XLOOKUP(tbl_encuesta[[#This Row],[Mi supervisor o jefe directo fomenta que nos apoyemos entre todos en el equipo]],#REF!,#REF!)</f>
        <v>#REF!</v>
      </c>
      <c r="N994" t="s">
        <v>23</v>
      </c>
      <c r="O994" t="e">
        <f>+_xlfn.XLOOKUP(tbl_encuesta[[#This Row],[Siento que mi trabajo es reconocido por mi supervisor o jefe directo.]],#REF!,#REF!)</f>
        <v>#REF!</v>
      </c>
      <c r="P994" t="s">
        <v>31</v>
      </c>
      <c r="Q994" t="e">
        <f xml:space="preserve">
_xlfn.XLOOKUP(
tbl_encuesta[[#This Row],[Mi supervisor o jefe directo nos brinda charlas de 5 minutos y comunica las novedades relevantes a mi puesto de trabajo]],#REF!,#REF!
)</f>
        <v>#REF!</v>
      </c>
      <c r="R994" t="s">
        <v>17</v>
      </c>
      <c r="W994" t="s">
        <v>25</v>
      </c>
      <c r="X994" t="s">
        <v>23</v>
      </c>
      <c r="Y994" t="e">
        <f>+_xlfn.XLOOKUP(tbl_encuesta[[#This Row],[Considero a Limtek como un buen lugar para trabajar]],#REF!,#REF!)</f>
        <v>#REF!</v>
      </c>
      <c r="Z994" t="s">
        <v>2507</v>
      </c>
      <c r="AA994" t="s">
        <v>1293</v>
      </c>
      <c r="AB994" t="s">
        <v>28</v>
      </c>
      <c r="AC994" s="3" t="s">
        <v>3705</v>
      </c>
      <c r="AD994" s="3" t="s">
        <v>3713</v>
      </c>
      <c r="AE994" t="s">
        <v>61</v>
      </c>
    </row>
    <row r="995" spans="1:31" x14ac:dyDescent="0.25">
      <c r="A995">
        <v>119026797743</v>
      </c>
      <c r="B995">
        <v>462598545</v>
      </c>
      <c r="C995" s="1">
        <v>46017.56013888889</v>
      </c>
      <c r="D995" s="1">
        <v>46017.586597222224</v>
      </c>
      <c r="E995" t="s">
        <v>2508</v>
      </c>
      <c r="F995" t="s">
        <v>22</v>
      </c>
      <c r="G995" t="e">
        <f>+_xlfn.XLOOKUP(tbl_encuesta[[#This Row],[Me siento a gusto con el ambiente de trabajo que se genera en mi equipo.]],#REF!,#REF!)</f>
        <v>#REF!</v>
      </c>
      <c r="H995" t="s">
        <v>22</v>
      </c>
      <c r="I995" t="e">
        <f>+_xlfn.XLOOKUP(tbl_encuesta[[#This Row],[Me siento motivado a dar lo mejor de mí y hacer un buen trabajo]],#REF!,#REF!)</f>
        <v>#REF!</v>
      </c>
      <c r="J995" t="s">
        <v>97</v>
      </c>
      <c r="K995" t="e">
        <f>+_xlfn.XLOOKUP(tbl_encuesta[[#This Row],[Mi supervisor o jefe directo me otorga el soporte que necesito para afrontar cualquier problema que afecte mi trabajo]],#REF!,#REF!)</f>
        <v>#REF!</v>
      </c>
      <c r="L995" t="s">
        <v>97</v>
      </c>
      <c r="M995" t="e">
        <f>+_xlfn.XLOOKUP(tbl_encuesta[[#This Row],[Mi supervisor o jefe directo fomenta que nos apoyemos entre todos en el equipo]],#REF!,#REF!)</f>
        <v>#REF!</v>
      </c>
      <c r="N995" t="s">
        <v>22</v>
      </c>
      <c r="O995" t="e">
        <f>+_xlfn.XLOOKUP(tbl_encuesta[[#This Row],[Siento que mi trabajo es reconocido por mi supervisor o jefe directo.]],#REF!,#REF!)</f>
        <v>#REF!</v>
      </c>
      <c r="P995" t="s">
        <v>67</v>
      </c>
      <c r="Q995" t="e">
        <f xml:space="preserve">
_xlfn.XLOOKUP(
tbl_encuesta[[#This Row],[Mi supervisor o jefe directo nos brinda charlas de 5 minutos y comunica las novedades relevantes a mi puesto de trabajo]],#REF!,#REF!
)</f>
        <v>#REF!</v>
      </c>
      <c r="R995" t="s">
        <v>17</v>
      </c>
      <c r="U995" t="s">
        <v>20</v>
      </c>
      <c r="W995" t="s">
        <v>25</v>
      </c>
      <c r="X995" t="s">
        <v>23</v>
      </c>
      <c r="Y995" t="e">
        <f>+_xlfn.XLOOKUP(tbl_encuesta[[#This Row],[Considero a Limtek como un buen lugar para trabajar]],#REF!,#REF!)</f>
        <v>#REF!</v>
      </c>
      <c r="Z995" t="s">
        <v>2509</v>
      </c>
      <c r="AA995" t="s">
        <v>2510</v>
      </c>
      <c r="AB995" t="s">
        <v>28</v>
      </c>
      <c r="AC995" s="3" t="s">
        <v>3736</v>
      </c>
      <c r="AD995" s="3" t="s">
        <v>3740</v>
      </c>
      <c r="AE995" t="s">
        <v>34</v>
      </c>
    </row>
    <row r="996" spans="1:31" x14ac:dyDescent="0.25">
      <c r="A996">
        <v>119026797366</v>
      </c>
      <c r="B996">
        <v>462598545</v>
      </c>
      <c r="C996" s="1">
        <v>46017.580682870372</v>
      </c>
      <c r="D996" s="1">
        <v>46017.585833333331</v>
      </c>
      <c r="E996" t="s">
        <v>2511</v>
      </c>
      <c r="F996" t="s">
        <v>23</v>
      </c>
      <c r="G996" t="e">
        <f>+_xlfn.XLOOKUP(tbl_encuesta[[#This Row],[Me siento a gusto con el ambiente de trabajo que se genera en mi equipo.]],#REF!,#REF!)</f>
        <v>#REF!</v>
      </c>
      <c r="H996" t="s">
        <v>23</v>
      </c>
      <c r="I996" t="e">
        <f>+_xlfn.XLOOKUP(tbl_encuesta[[#This Row],[Me siento motivado a dar lo mejor de mí y hacer un buen trabajo]],#REF!,#REF!)</f>
        <v>#REF!</v>
      </c>
      <c r="J996" t="s">
        <v>23</v>
      </c>
      <c r="K996" t="e">
        <f>+_xlfn.XLOOKUP(tbl_encuesta[[#This Row],[Mi supervisor o jefe directo me otorga el soporte que necesito para afrontar cualquier problema que afecte mi trabajo]],#REF!,#REF!)</f>
        <v>#REF!</v>
      </c>
      <c r="L996" t="s">
        <v>23</v>
      </c>
      <c r="M996" t="e">
        <f>+_xlfn.XLOOKUP(tbl_encuesta[[#This Row],[Mi supervisor o jefe directo fomenta que nos apoyemos entre todos en el equipo]],#REF!,#REF!)</f>
        <v>#REF!</v>
      </c>
      <c r="N996" t="s">
        <v>23</v>
      </c>
      <c r="O996" t="e">
        <f>+_xlfn.XLOOKUP(tbl_encuesta[[#This Row],[Siento que mi trabajo es reconocido por mi supervisor o jefe directo.]],#REF!,#REF!)</f>
        <v>#REF!</v>
      </c>
      <c r="P996" t="s">
        <v>31</v>
      </c>
      <c r="Q996" t="e">
        <f xml:space="preserve">
_xlfn.XLOOKUP(
tbl_encuesta[[#This Row],[Mi supervisor o jefe directo nos brinda charlas de 5 minutos y comunica las novedades relevantes a mi puesto de trabajo]],#REF!,#REF!
)</f>
        <v>#REF!</v>
      </c>
      <c r="R996" t="s">
        <v>17</v>
      </c>
      <c r="T996" t="s">
        <v>19</v>
      </c>
      <c r="W996" t="s">
        <v>25</v>
      </c>
      <c r="X996" t="s">
        <v>23</v>
      </c>
      <c r="Y996" t="e">
        <f>+_xlfn.XLOOKUP(tbl_encuesta[[#This Row],[Considero a Limtek como un buen lugar para trabajar]],#REF!,#REF!)</f>
        <v>#REF!</v>
      </c>
      <c r="Z996" t="s">
        <v>304</v>
      </c>
      <c r="AA996" t="s">
        <v>2512</v>
      </c>
      <c r="AB996" t="s">
        <v>28</v>
      </c>
      <c r="AC996" s="3" t="s">
        <v>3714</v>
      </c>
      <c r="AD996" s="3" t="s">
        <v>3715</v>
      </c>
      <c r="AE996" t="s">
        <v>34</v>
      </c>
    </row>
    <row r="997" spans="1:31" x14ac:dyDescent="0.25">
      <c r="A997">
        <v>119026797233</v>
      </c>
      <c r="B997">
        <v>462598545</v>
      </c>
      <c r="C997" s="1">
        <v>46017.578842592593</v>
      </c>
      <c r="D997" s="1">
        <v>46017.585509259261</v>
      </c>
      <c r="E997" t="s">
        <v>2513</v>
      </c>
      <c r="F997" t="s">
        <v>23</v>
      </c>
      <c r="G997" t="e">
        <f>+_xlfn.XLOOKUP(tbl_encuesta[[#This Row],[Me siento a gusto con el ambiente de trabajo que se genera en mi equipo.]],#REF!,#REF!)</f>
        <v>#REF!</v>
      </c>
      <c r="H997" t="s">
        <v>23</v>
      </c>
      <c r="I997" t="e">
        <f>+_xlfn.XLOOKUP(tbl_encuesta[[#This Row],[Me siento motivado a dar lo mejor de mí y hacer un buen trabajo]],#REF!,#REF!)</f>
        <v>#REF!</v>
      </c>
      <c r="J997" t="s">
        <v>23</v>
      </c>
      <c r="K997" t="e">
        <f>+_xlfn.XLOOKUP(tbl_encuesta[[#This Row],[Mi supervisor o jefe directo me otorga el soporte que necesito para afrontar cualquier problema que afecte mi trabajo]],#REF!,#REF!)</f>
        <v>#REF!</v>
      </c>
      <c r="L997" t="s">
        <v>23</v>
      </c>
      <c r="M997" t="e">
        <f>+_xlfn.XLOOKUP(tbl_encuesta[[#This Row],[Mi supervisor o jefe directo fomenta que nos apoyemos entre todos en el equipo]],#REF!,#REF!)</f>
        <v>#REF!</v>
      </c>
      <c r="N997" t="s">
        <v>23</v>
      </c>
      <c r="O997" t="e">
        <f>+_xlfn.XLOOKUP(tbl_encuesta[[#This Row],[Siento que mi trabajo es reconocido por mi supervisor o jefe directo.]],#REF!,#REF!)</f>
        <v>#REF!</v>
      </c>
      <c r="P997" t="s">
        <v>31</v>
      </c>
      <c r="Q997" t="e">
        <f xml:space="preserve">
_xlfn.XLOOKUP(
tbl_encuesta[[#This Row],[Mi supervisor o jefe directo nos brinda charlas de 5 minutos y comunica las novedades relevantes a mi puesto de trabajo]],#REF!,#REF!
)</f>
        <v>#REF!</v>
      </c>
      <c r="R997" t="s">
        <v>17</v>
      </c>
      <c r="S997" t="s">
        <v>18</v>
      </c>
      <c r="W997" t="s">
        <v>25</v>
      </c>
      <c r="X997" t="s">
        <v>23</v>
      </c>
      <c r="Y997" t="e">
        <f>+_xlfn.XLOOKUP(tbl_encuesta[[#This Row],[Considero a Limtek como un buen lugar para trabajar]],#REF!,#REF!)</f>
        <v>#REF!</v>
      </c>
      <c r="Z997" t="s">
        <v>2514</v>
      </c>
      <c r="AA997" t="s">
        <v>2515</v>
      </c>
      <c r="AB997" t="s">
        <v>720</v>
      </c>
      <c r="AC997" s="3" t="s">
        <v>3705</v>
      </c>
      <c r="AD997" s="3" t="s">
        <v>3705</v>
      </c>
      <c r="AE997" t="s">
        <v>55</v>
      </c>
    </row>
    <row r="998" spans="1:31" x14ac:dyDescent="0.25">
      <c r="A998">
        <v>119026797199</v>
      </c>
      <c r="B998">
        <v>462598545</v>
      </c>
      <c r="C998" s="1">
        <v>46017.581689814811</v>
      </c>
      <c r="D998" s="1">
        <v>46017.585428240738</v>
      </c>
      <c r="E998" t="s">
        <v>2516</v>
      </c>
      <c r="F998" t="s">
        <v>23</v>
      </c>
      <c r="G998" t="e">
        <f>+_xlfn.XLOOKUP(tbl_encuesta[[#This Row],[Me siento a gusto con el ambiente de trabajo que se genera en mi equipo.]],#REF!,#REF!)</f>
        <v>#REF!</v>
      </c>
      <c r="H998" t="s">
        <v>23</v>
      </c>
      <c r="I998" t="e">
        <f>+_xlfn.XLOOKUP(tbl_encuesta[[#This Row],[Me siento motivado a dar lo mejor de mí y hacer un buen trabajo]],#REF!,#REF!)</f>
        <v>#REF!</v>
      </c>
      <c r="J998" t="s">
        <v>23</v>
      </c>
      <c r="K998" t="e">
        <f>+_xlfn.XLOOKUP(tbl_encuesta[[#This Row],[Mi supervisor o jefe directo me otorga el soporte que necesito para afrontar cualquier problema que afecte mi trabajo]],#REF!,#REF!)</f>
        <v>#REF!</v>
      </c>
      <c r="L998" t="s">
        <v>23</v>
      </c>
      <c r="M998" t="e">
        <f>+_xlfn.XLOOKUP(tbl_encuesta[[#This Row],[Mi supervisor o jefe directo fomenta que nos apoyemos entre todos en el equipo]],#REF!,#REF!)</f>
        <v>#REF!</v>
      </c>
      <c r="N998" t="s">
        <v>23</v>
      </c>
      <c r="O998" t="e">
        <f>+_xlfn.XLOOKUP(tbl_encuesta[[#This Row],[Siento que mi trabajo es reconocido por mi supervisor o jefe directo.]],#REF!,#REF!)</f>
        <v>#REF!</v>
      </c>
      <c r="P998" t="s">
        <v>31</v>
      </c>
      <c r="Q998" t="e">
        <f xml:space="preserve">
_xlfn.XLOOKUP(
tbl_encuesta[[#This Row],[Mi supervisor o jefe directo nos brinda charlas de 5 minutos y comunica las novedades relevantes a mi puesto de trabajo]],#REF!,#REF!
)</f>
        <v>#REF!</v>
      </c>
      <c r="S998" t="s">
        <v>18</v>
      </c>
      <c r="T998" t="s">
        <v>19</v>
      </c>
      <c r="W998" t="s">
        <v>25</v>
      </c>
      <c r="X998" t="s">
        <v>23</v>
      </c>
      <c r="Y998" t="e">
        <f>+_xlfn.XLOOKUP(tbl_encuesta[[#This Row],[Considero a Limtek como un buen lugar para trabajar]],#REF!,#REF!)</f>
        <v>#REF!</v>
      </c>
      <c r="Z998" t="s">
        <v>641</v>
      </c>
      <c r="AA998" t="s">
        <v>2517</v>
      </c>
      <c r="AB998" t="s">
        <v>28</v>
      </c>
      <c r="AC998" t="s">
        <v>3744</v>
      </c>
      <c r="AD998" t="s">
        <v>3744</v>
      </c>
      <c r="AE998" t="s">
        <v>69</v>
      </c>
    </row>
    <row r="999" spans="1:31" x14ac:dyDescent="0.25">
      <c r="A999">
        <v>119026797163</v>
      </c>
      <c r="B999">
        <v>462598545</v>
      </c>
      <c r="C999" s="1">
        <v>46017.580196759256</v>
      </c>
      <c r="D999" s="1">
        <v>46017.585324074076</v>
      </c>
      <c r="E999" t="s">
        <v>2518</v>
      </c>
      <c r="F999" t="s">
        <v>23</v>
      </c>
      <c r="G999" t="e">
        <f>+_xlfn.XLOOKUP(tbl_encuesta[[#This Row],[Me siento a gusto con el ambiente de trabajo que se genera en mi equipo.]],#REF!,#REF!)</f>
        <v>#REF!</v>
      </c>
      <c r="H999" t="s">
        <v>23</v>
      </c>
      <c r="I999" t="e">
        <f>+_xlfn.XLOOKUP(tbl_encuesta[[#This Row],[Me siento motivado a dar lo mejor de mí y hacer un buen trabajo]],#REF!,#REF!)</f>
        <v>#REF!</v>
      </c>
      <c r="J999" t="s">
        <v>23</v>
      </c>
      <c r="K999" t="e">
        <f>+_xlfn.XLOOKUP(tbl_encuesta[[#This Row],[Mi supervisor o jefe directo me otorga el soporte que necesito para afrontar cualquier problema que afecte mi trabajo]],#REF!,#REF!)</f>
        <v>#REF!</v>
      </c>
      <c r="L999" t="s">
        <v>23</v>
      </c>
      <c r="M999" t="e">
        <f>+_xlfn.XLOOKUP(tbl_encuesta[[#This Row],[Mi supervisor o jefe directo fomenta que nos apoyemos entre todos en el equipo]],#REF!,#REF!)</f>
        <v>#REF!</v>
      </c>
      <c r="N999" t="s">
        <v>23</v>
      </c>
      <c r="O999" t="e">
        <f>+_xlfn.XLOOKUP(tbl_encuesta[[#This Row],[Siento que mi trabajo es reconocido por mi supervisor o jefe directo.]],#REF!,#REF!)</f>
        <v>#REF!</v>
      </c>
      <c r="P999" t="s">
        <v>31</v>
      </c>
      <c r="Q999" t="e">
        <f xml:space="preserve">
_xlfn.XLOOKUP(
tbl_encuesta[[#This Row],[Mi supervisor o jefe directo nos brinda charlas de 5 minutos y comunica las novedades relevantes a mi puesto de trabajo]],#REF!,#REF!
)</f>
        <v>#REF!</v>
      </c>
      <c r="R999" t="s">
        <v>17</v>
      </c>
      <c r="T999" t="s">
        <v>19</v>
      </c>
      <c r="W999" t="s">
        <v>25</v>
      </c>
      <c r="X999" t="s">
        <v>23</v>
      </c>
      <c r="Y999" t="e">
        <f>+_xlfn.XLOOKUP(tbl_encuesta[[#This Row],[Considero a Limtek como un buen lugar para trabajar]],#REF!,#REF!)</f>
        <v>#REF!</v>
      </c>
      <c r="Z999" t="s">
        <v>1490</v>
      </c>
      <c r="AA999" t="s">
        <v>2519</v>
      </c>
      <c r="AB999" t="s">
        <v>28</v>
      </c>
      <c r="AC999" s="3" t="s">
        <v>3735</v>
      </c>
      <c r="AD999" s="3" t="s">
        <v>3735</v>
      </c>
      <c r="AE999" t="s">
        <v>69</v>
      </c>
    </row>
    <row r="1000" spans="1:31" x14ac:dyDescent="0.25">
      <c r="A1000">
        <v>119026797008</v>
      </c>
      <c r="B1000">
        <v>462598545</v>
      </c>
      <c r="C1000" s="1">
        <v>46017.580127314817</v>
      </c>
      <c r="D1000" s="1">
        <v>46017.585011574076</v>
      </c>
      <c r="E1000" t="s">
        <v>2520</v>
      </c>
      <c r="F1000" t="s">
        <v>23</v>
      </c>
      <c r="G1000" t="e">
        <f>+_xlfn.XLOOKUP(tbl_encuesta[[#This Row],[Me siento a gusto con el ambiente de trabajo que se genera en mi equipo.]],#REF!,#REF!)</f>
        <v>#REF!</v>
      </c>
      <c r="H1000" t="s">
        <v>23</v>
      </c>
      <c r="I1000" t="e">
        <f>+_xlfn.XLOOKUP(tbl_encuesta[[#This Row],[Me siento motivado a dar lo mejor de mí y hacer un buen trabajo]],#REF!,#REF!)</f>
        <v>#REF!</v>
      </c>
      <c r="J1000" t="s">
        <v>23</v>
      </c>
      <c r="K1000" t="e">
        <f>+_xlfn.XLOOKUP(tbl_encuesta[[#This Row],[Mi supervisor o jefe directo me otorga el soporte que necesito para afrontar cualquier problema que afecte mi trabajo]],#REF!,#REF!)</f>
        <v>#REF!</v>
      </c>
      <c r="L1000" t="s">
        <v>23</v>
      </c>
      <c r="M1000" t="e">
        <f>+_xlfn.XLOOKUP(tbl_encuesta[[#This Row],[Mi supervisor o jefe directo fomenta que nos apoyemos entre todos en el equipo]],#REF!,#REF!)</f>
        <v>#REF!</v>
      </c>
      <c r="N1000" t="s">
        <v>23</v>
      </c>
      <c r="O1000" t="e">
        <f>+_xlfn.XLOOKUP(tbl_encuesta[[#This Row],[Siento que mi trabajo es reconocido por mi supervisor o jefe directo.]],#REF!,#REF!)</f>
        <v>#REF!</v>
      </c>
      <c r="P1000" t="s">
        <v>31</v>
      </c>
      <c r="Q1000" t="e">
        <f xml:space="preserve">
_xlfn.XLOOKUP(
tbl_encuesta[[#This Row],[Mi supervisor o jefe directo nos brinda charlas de 5 minutos y comunica las novedades relevantes a mi puesto de trabajo]],#REF!,#REF!
)</f>
        <v>#REF!</v>
      </c>
      <c r="R1000" t="s">
        <v>17</v>
      </c>
      <c r="T1000" t="s">
        <v>19</v>
      </c>
      <c r="W1000" t="s">
        <v>25</v>
      </c>
      <c r="X1000" t="s">
        <v>23</v>
      </c>
      <c r="Y1000" t="e">
        <f>+_xlfn.XLOOKUP(tbl_encuesta[[#This Row],[Considero a Limtek como un buen lugar para trabajar]],#REF!,#REF!)</f>
        <v>#REF!</v>
      </c>
      <c r="Z1000" t="s">
        <v>2521</v>
      </c>
      <c r="AA1000" t="s">
        <v>1293</v>
      </c>
      <c r="AB1000" t="s">
        <v>28</v>
      </c>
      <c r="AC1000" s="3" t="s">
        <v>3705</v>
      </c>
      <c r="AD1000" s="3" t="s">
        <v>3713</v>
      </c>
      <c r="AE1000" t="s">
        <v>55</v>
      </c>
    </row>
    <row r="1001" spans="1:31" x14ac:dyDescent="0.25">
      <c r="A1001">
        <v>119026797003</v>
      </c>
      <c r="B1001">
        <v>462598545</v>
      </c>
      <c r="C1001" s="1">
        <v>46017.582268518519</v>
      </c>
      <c r="D1001" s="1">
        <v>46017.584999999999</v>
      </c>
      <c r="E1001" t="s">
        <v>2448</v>
      </c>
      <c r="F1001" t="s">
        <v>23</v>
      </c>
      <c r="G1001" t="e">
        <f>+_xlfn.XLOOKUP(tbl_encuesta[[#This Row],[Me siento a gusto con el ambiente de trabajo que se genera en mi equipo.]],#REF!,#REF!)</f>
        <v>#REF!</v>
      </c>
      <c r="H1001" t="s">
        <v>23</v>
      </c>
      <c r="I1001" t="e">
        <f>+_xlfn.XLOOKUP(tbl_encuesta[[#This Row],[Me siento motivado a dar lo mejor de mí y hacer un buen trabajo]],#REF!,#REF!)</f>
        <v>#REF!</v>
      </c>
      <c r="J1001" t="s">
        <v>23</v>
      </c>
      <c r="K1001" t="e">
        <f>+_xlfn.XLOOKUP(tbl_encuesta[[#This Row],[Mi supervisor o jefe directo me otorga el soporte que necesito para afrontar cualquier problema que afecte mi trabajo]],#REF!,#REF!)</f>
        <v>#REF!</v>
      </c>
      <c r="L1001" t="s">
        <v>23</v>
      </c>
      <c r="M1001" t="e">
        <f>+_xlfn.XLOOKUP(tbl_encuesta[[#This Row],[Mi supervisor o jefe directo fomenta que nos apoyemos entre todos en el equipo]],#REF!,#REF!)</f>
        <v>#REF!</v>
      </c>
      <c r="N1001" t="s">
        <v>23</v>
      </c>
      <c r="O1001" t="e">
        <f>+_xlfn.XLOOKUP(tbl_encuesta[[#This Row],[Siento que mi trabajo es reconocido por mi supervisor o jefe directo.]],#REF!,#REF!)</f>
        <v>#REF!</v>
      </c>
      <c r="P1001" t="s">
        <v>31</v>
      </c>
      <c r="Q1001" t="e">
        <f xml:space="preserve">
_xlfn.XLOOKUP(
tbl_encuesta[[#This Row],[Mi supervisor o jefe directo nos brinda charlas de 5 minutos y comunica las novedades relevantes a mi puesto de trabajo]],#REF!,#REF!
)</f>
        <v>#REF!</v>
      </c>
      <c r="R1001" t="s">
        <v>17</v>
      </c>
      <c r="T1001" t="s">
        <v>19</v>
      </c>
      <c r="W1001" t="s">
        <v>25</v>
      </c>
      <c r="X1001" t="s">
        <v>23</v>
      </c>
      <c r="Y1001" t="e">
        <f>+_xlfn.XLOOKUP(tbl_encuesta[[#This Row],[Considero a Limtek como un buen lugar para trabajar]],#REF!,#REF!)</f>
        <v>#REF!</v>
      </c>
      <c r="Z1001" t="s">
        <v>2522</v>
      </c>
      <c r="AA1001" t="s">
        <v>2523</v>
      </c>
      <c r="AB1001" t="s">
        <v>28</v>
      </c>
      <c r="AC1001" s="3" t="s">
        <v>3705</v>
      </c>
      <c r="AD1001" s="3" t="s">
        <v>3713</v>
      </c>
      <c r="AE1001" t="s">
        <v>34</v>
      </c>
    </row>
    <row r="1002" spans="1:31" x14ac:dyDescent="0.25">
      <c r="A1002">
        <v>119026796219</v>
      </c>
      <c r="B1002">
        <v>462598545</v>
      </c>
      <c r="C1002" s="1">
        <v>46017.550625000003</v>
      </c>
      <c r="D1002" s="1">
        <v>46017.58320601852</v>
      </c>
      <c r="E1002" t="s">
        <v>2524</v>
      </c>
      <c r="F1002" t="s">
        <v>23</v>
      </c>
      <c r="G1002" t="e">
        <f>+_xlfn.XLOOKUP(tbl_encuesta[[#This Row],[Me siento a gusto con el ambiente de trabajo que se genera en mi equipo.]],#REF!,#REF!)</f>
        <v>#REF!</v>
      </c>
      <c r="H1002" t="s">
        <v>23</v>
      </c>
      <c r="I1002" t="e">
        <f>+_xlfn.XLOOKUP(tbl_encuesta[[#This Row],[Me siento motivado a dar lo mejor de mí y hacer un buen trabajo]],#REF!,#REF!)</f>
        <v>#REF!</v>
      </c>
      <c r="J1002" t="s">
        <v>23</v>
      </c>
      <c r="K1002" t="e">
        <f>+_xlfn.XLOOKUP(tbl_encuesta[[#This Row],[Mi supervisor o jefe directo me otorga el soporte que necesito para afrontar cualquier problema que afecte mi trabajo]],#REF!,#REF!)</f>
        <v>#REF!</v>
      </c>
      <c r="L1002" t="s">
        <v>23</v>
      </c>
      <c r="M1002" t="e">
        <f>+_xlfn.XLOOKUP(tbl_encuesta[[#This Row],[Mi supervisor o jefe directo fomenta que nos apoyemos entre todos en el equipo]],#REF!,#REF!)</f>
        <v>#REF!</v>
      </c>
      <c r="N1002" t="s">
        <v>23</v>
      </c>
      <c r="O1002" t="e">
        <f>+_xlfn.XLOOKUP(tbl_encuesta[[#This Row],[Siento que mi trabajo es reconocido por mi supervisor o jefe directo.]],#REF!,#REF!)</f>
        <v>#REF!</v>
      </c>
      <c r="P1002" t="s">
        <v>31</v>
      </c>
      <c r="Q1002" t="e">
        <f xml:space="preserve">
_xlfn.XLOOKUP(
tbl_encuesta[[#This Row],[Mi supervisor o jefe directo nos brinda charlas de 5 minutos y comunica las novedades relevantes a mi puesto de trabajo]],#REF!,#REF!
)</f>
        <v>#REF!</v>
      </c>
      <c r="R1002" t="s">
        <v>17</v>
      </c>
      <c r="W1002" t="s">
        <v>25</v>
      </c>
      <c r="X1002" t="s">
        <v>23</v>
      </c>
      <c r="Y1002" t="e">
        <f>+_xlfn.XLOOKUP(tbl_encuesta[[#This Row],[Considero a Limtek como un buen lugar para trabajar]],#REF!,#REF!)</f>
        <v>#REF!</v>
      </c>
      <c r="Z1002" t="s">
        <v>1483</v>
      </c>
      <c r="AA1002" t="s">
        <v>2525</v>
      </c>
      <c r="AB1002" t="s">
        <v>28</v>
      </c>
      <c r="AC1002" t="s">
        <v>3744</v>
      </c>
      <c r="AD1002" t="s">
        <v>3744</v>
      </c>
      <c r="AE1002" t="s">
        <v>34</v>
      </c>
    </row>
    <row r="1003" spans="1:31" x14ac:dyDescent="0.25">
      <c r="A1003">
        <v>119026796186</v>
      </c>
      <c r="B1003">
        <v>462598545</v>
      </c>
      <c r="C1003" s="1">
        <v>46017.572685185187</v>
      </c>
      <c r="D1003" s="1">
        <v>46017.583113425928</v>
      </c>
      <c r="E1003" t="s">
        <v>2526</v>
      </c>
      <c r="F1003" t="s">
        <v>97</v>
      </c>
      <c r="G1003" t="e">
        <f>+_xlfn.XLOOKUP(tbl_encuesta[[#This Row],[Me siento a gusto con el ambiente de trabajo que se genera en mi equipo.]],#REF!,#REF!)</f>
        <v>#REF!</v>
      </c>
      <c r="H1003" t="s">
        <v>23</v>
      </c>
      <c r="I1003" t="e">
        <f>+_xlfn.XLOOKUP(tbl_encuesta[[#This Row],[Me siento motivado a dar lo mejor de mí y hacer un buen trabajo]],#REF!,#REF!)</f>
        <v>#REF!</v>
      </c>
      <c r="J1003" t="s">
        <v>22</v>
      </c>
      <c r="K1003" t="e">
        <f>+_xlfn.XLOOKUP(tbl_encuesta[[#This Row],[Mi supervisor o jefe directo me otorga el soporte que necesito para afrontar cualquier problema que afecte mi trabajo]],#REF!,#REF!)</f>
        <v>#REF!</v>
      </c>
      <c r="L1003" t="s">
        <v>23</v>
      </c>
      <c r="M1003" t="e">
        <f>+_xlfn.XLOOKUP(tbl_encuesta[[#This Row],[Mi supervisor o jefe directo fomenta que nos apoyemos entre todos en el equipo]],#REF!,#REF!)</f>
        <v>#REF!</v>
      </c>
      <c r="N1003" t="s">
        <v>23</v>
      </c>
      <c r="O1003" t="e">
        <f>+_xlfn.XLOOKUP(tbl_encuesta[[#This Row],[Siento que mi trabajo es reconocido por mi supervisor o jefe directo.]],#REF!,#REF!)</f>
        <v>#REF!</v>
      </c>
      <c r="P1003" t="s">
        <v>175</v>
      </c>
      <c r="Q1003" t="e">
        <f xml:space="preserve">
_xlfn.XLOOKUP(
tbl_encuesta[[#This Row],[Mi supervisor o jefe directo nos brinda charlas de 5 minutos y comunica las novedades relevantes a mi puesto de trabajo]],#REF!,#REF!
)</f>
        <v>#REF!</v>
      </c>
      <c r="S1003" t="s">
        <v>18</v>
      </c>
      <c r="W1003" t="s">
        <v>25</v>
      </c>
      <c r="X1003" t="s">
        <v>23</v>
      </c>
      <c r="Y1003" t="e">
        <f>+_xlfn.XLOOKUP(tbl_encuesta[[#This Row],[Considero a Limtek como un buen lugar para trabajar]],#REF!,#REF!)</f>
        <v>#REF!</v>
      </c>
      <c r="Z1003" t="s">
        <v>2527</v>
      </c>
      <c r="AA1003" t="s">
        <v>2528</v>
      </c>
      <c r="AB1003" t="s">
        <v>28</v>
      </c>
      <c r="AC1003" s="3" t="s">
        <v>3844</v>
      </c>
      <c r="AD1003" s="3" t="s">
        <v>3844</v>
      </c>
      <c r="AE1003" t="s">
        <v>34</v>
      </c>
    </row>
    <row r="1004" spans="1:31" x14ac:dyDescent="0.25">
      <c r="A1004">
        <v>119026796180</v>
      </c>
      <c r="B1004">
        <v>462598545</v>
      </c>
      <c r="C1004" s="1">
        <v>46017.580648148149</v>
      </c>
      <c r="D1004" s="1">
        <v>46017.583101851851</v>
      </c>
      <c r="E1004" t="s">
        <v>2529</v>
      </c>
      <c r="F1004" t="s">
        <v>23</v>
      </c>
      <c r="G1004" t="e">
        <f>+_xlfn.XLOOKUP(tbl_encuesta[[#This Row],[Me siento a gusto con el ambiente de trabajo que se genera en mi equipo.]],#REF!,#REF!)</f>
        <v>#REF!</v>
      </c>
      <c r="H1004" t="s">
        <v>23</v>
      </c>
      <c r="I1004" t="e">
        <f>+_xlfn.XLOOKUP(tbl_encuesta[[#This Row],[Me siento motivado a dar lo mejor de mí y hacer un buen trabajo]],#REF!,#REF!)</f>
        <v>#REF!</v>
      </c>
      <c r="J1004" t="s">
        <v>23</v>
      </c>
      <c r="K1004" t="e">
        <f>+_xlfn.XLOOKUP(tbl_encuesta[[#This Row],[Mi supervisor o jefe directo me otorga el soporte que necesito para afrontar cualquier problema que afecte mi trabajo]],#REF!,#REF!)</f>
        <v>#REF!</v>
      </c>
      <c r="L1004" t="s">
        <v>23</v>
      </c>
      <c r="M1004" t="e">
        <f>+_xlfn.XLOOKUP(tbl_encuesta[[#This Row],[Mi supervisor o jefe directo fomenta que nos apoyemos entre todos en el equipo]],#REF!,#REF!)</f>
        <v>#REF!</v>
      </c>
      <c r="N1004" t="s">
        <v>23</v>
      </c>
      <c r="O1004" t="e">
        <f>+_xlfn.XLOOKUP(tbl_encuesta[[#This Row],[Siento que mi trabajo es reconocido por mi supervisor o jefe directo.]],#REF!,#REF!)</f>
        <v>#REF!</v>
      </c>
      <c r="P1004" t="s">
        <v>31</v>
      </c>
      <c r="Q1004" t="e">
        <f xml:space="preserve">
_xlfn.XLOOKUP(
tbl_encuesta[[#This Row],[Mi supervisor o jefe directo nos brinda charlas de 5 minutos y comunica las novedades relevantes a mi puesto de trabajo]],#REF!,#REF!
)</f>
        <v>#REF!</v>
      </c>
      <c r="R1004" t="s">
        <v>17</v>
      </c>
      <c r="S1004" t="s">
        <v>18</v>
      </c>
      <c r="W1004" t="s">
        <v>25</v>
      </c>
      <c r="X1004" t="s">
        <v>23</v>
      </c>
      <c r="Y1004" t="e">
        <f>+_xlfn.XLOOKUP(tbl_encuesta[[#This Row],[Considero a Limtek como un buen lugar para trabajar]],#REF!,#REF!)</f>
        <v>#REF!</v>
      </c>
      <c r="Z1004" t="s">
        <v>722</v>
      </c>
      <c r="AA1004" t="s">
        <v>2530</v>
      </c>
      <c r="AB1004" t="s">
        <v>28</v>
      </c>
      <c r="AC1004" s="3" t="s">
        <v>3705</v>
      </c>
      <c r="AD1004" s="3" t="s">
        <v>3713</v>
      </c>
      <c r="AE1004" t="s">
        <v>61</v>
      </c>
    </row>
    <row r="1005" spans="1:31" x14ac:dyDescent="0.25">
      <c r="A1005">
        <v>119026795438</v>
      </c>
      <c r="B1005">
        <v>462598545</v>
      </c>
      <c r="C1005" s="1">
        <v>46017.575902777775</v>
      </c>
      <c r="D1005" s="1">
        <v>46017.581562500003</v>
      </c>
      <c r="E1005" t="s">
        <v>2531</v>
      </c>
      <c r="F1005" t="s">
        <v>23</v>
      </c>
      <c r="G1005" t="e">
        <f>+_xlfn.XLOOKUP(tbl_encuesta[[#This Row],[Me siento a gusto con el ambiente de trabajo que se genera en mi equipo.]],#REF!,#REF!)</f>
        <v>#REF!</v>
      </c>
      <c r="H1005" t="s">
        <v>23</v>
      </c>
      <c r="I1005" t="e">
        <f>+_xlfn.XLOOKUP(tbl_encuesta[[#This Row],[Me siento motivado a dar lo mejor de mí y hacer un buen trabajo]],#REF!,#REF!)</f>
        <v>#REF!</v>
      </c>
      <c r="J1005" t="s">
        <v>23</v>
      </c>
      <c r="K1005" t="e">
        <f>+_xlfn.XLOOKUP(tbl_encuesta[[#This Row],[Mi supervisor o jefe directo me otorga el soporte que necesito para afrontar cualquier problema que afecte mi trabajo]],#REF!,#REF!)</f>
        <v>#REF!</v>
      </c>
      <c r="L1005" t="s">
        <v>23</v>
      </c>
      <c r="M1005" t="e">
        <f>+_xlfn.XLOOKUP(tbl_encuesta[[#This Row],[Mi supervisor o jefe directo fomenta que nos apoyemos entre todos en el equipo]],#REF!,#REF!)</f>
        <v>#REF!</v>
      </c>
      <c r="N1005" t="s">
        <v>23</v>
      </c>
      <c r="O1005" t="e">
        <f>+_xlfn.XLOOKUP(tbl_encuesta[[#This Row],[Siento que mi trabajo es reconocido por mi supervisor o jefe directo.]],#REF!,#REF!)</f>
        <v>#REF!</v>
      </c>
      <c r="P1005" t="s">
        <v>67</v>
      </c>
      <c r="Q1005" t="e">
        <f xml:space="preserve">
_xlfn.XLOOKUP(
tbl_encuesta[[#This Row],[Mi supervisor o jefe directo nos brinda charlas de 5 minutos y comunica las novedades relevantes a mi puesto de trabajo]],#REF!,#REF!
)</f>
        <v>#REF!</v>
      </c>
      <c r="S1005" t="s">
        <v>18</v>
      </c>
      <c r="W1005" t="s">
        <v>25</v>
      </c>
      <c r="X1005" t="s">
        <v>23</v>
      </c>
      <c r="Y1005" t="e">
        <f>+_xlfn.XLOOKUP(tbl_encuesta[[#This Row],[Considero a Limtek como un buen lugar para trabajar]],#REF!,#REF!)</f>
        <v>#REF!</v>
      </c>
      <c r="Z1005" t="s">
        <v>2532</v>
      </c>
      <c r="AA1005" t="s">
        <v>2533</v>
      </c>
      <c r="AB1005" t="s">
        <v>28</v>
      </c>
      <c r="AC1005" s="3" t="s">
        <v>3815</v>
      </c>
      <c r="AD1005" s="3" t="s">
        <v>3816</v>
      </c>
      <c r="AE1005" t="s">
        <v>29</v>
      </c>
    </row>
    <row r="1006" spans="1:31" x14ac:dyDescent="0.25">
      <c r="A1006">
        <v>119026795256</v>
      </c>
      <c r="B1006">
        <v>462598545</v>
      </c>
      <c r="C1006" s="1">
        <v>46017.577499999999</v>
      </c>
      <c r="D1006" s="1">
        <v>46017.58116898148</v>
      </c>
      <c r="E1006" t="s">
        <v>2534</v>
      </c>
      <c r="F1006" t="s">
        <v>22</v>
      </c>
      <c r="G1006" t="e">
        <f>+_xlfn.XLOOKUP(tbl_encuesta[[#This Row],[Me siento a gusto con el ambiente de trabajo que se genera en mi equipo.]],#REF!,#REF!)</f>
        <v>#REF!</v>
      </c>
      <c r="H1006" t="s">
        <v>23</v>
      </c>
      <c r="I1006" t="e">
        <f>+_xlfn.XLOOKUP(tbl_encuesta[[#This Row],[Me siento motivado a dar lo mejor de mí y hacer un buen trabajo]],#REF!,#REF!)</f>
        <v>#REF!</v>
      </c>
      <c r="J1006" t="s">
        <v>23</v>
      </c>
      <c r="K1006" t="e">
        <f>+_xlfn.XLOOKUP(tbl_encuesta[[#This Row],[Mi supervisor o jefe directo me otorga el soporte que necesito para afrontar cualquier problema que afecte mi trabajo]],#REF!,#REF!)</f>
        <v>#REF!</v>
      </c>
      <c r="L1006" t="s">
        <v>23</v>
      </c>
      <c r="M1006" t="e">
        <f>+_xlfn.XLOOKUP(tbl_encuesta[[#This Row],[Mi supervisor o jefe directo fomenta que nos apoyemos entre todos en el equipo]],#REF!,#REF!)</f>
        <v>#REF!</v>
      </c>
      <c r="N1006" t="s">
        <v>23</v>
      </c>
      <c r="O1006" t="e">
        <f>+_xlfn.XLOOKUP(tbl_encuesta[[#This Row],[Siento que mi trabajo es reconocido por mi supervisor o jefe directo.]],#REF!,#REF!)</f>
        <v>#REF!</v>
      </c>
      <c r="P1006" t="s">
        <v>31</v>
      </c>
      <c r="Q1006" t="e">
        <f xml:space="preserve">
_xlfn.XLOOKUP(
tbl_encuesta[[#This Row],[Mi supervisor o jefe directo nos brinda charlas de 5 minutos y comunica las novedades relevantes a mi puesto de trabajo]],#REF!,#REF!
)</f>
        <v>#REF!</v>
      </c>
      <c r="R1006" t="s">
        <v>17</v>
      </c>
      <c r="U1006" t="s">
        <v>20</v>
      </c>
      <c r="W1006" t="s">
        <v>25</v>
      </c>
      <c r="X1006" t="s">
        <v>23</v>
      </c>
      <c r="Y1006" t="e">
        <f>+_xlfn.XLOOKUP(tbl_encuesta[[#This Row],[Considero a Limtek como un buen lugar para trabajar]],#REF!,#REF!)</f>
        <v>#REF!</v>
      </c>
      <c r="Z1006" t="s">
        <v>2535</v>
      </c>
      <c r="AA1006" t="s">
        <v>2536</v>
      </c>
      <c r="AB1006" t="s">
        <v>28</v>
      </c>
      <c r="AC1006" s="3" t="s">
        <v>3705</v>
      </c>
      <c r="AD1006" s="3" t="s">
        <v>3713</v>
      </c>
      <c r="AE1006" t="s">
        <v>34</v>
      </c>
    </row>
    <row r="1007" spans="1:31" x14ac:dyDescent="0.25">
      <c r="A1007">
        <v>119026795099</v>
      </c>
      <c r="B1007">
        <v>462598545</v>
      </c>
      <c r="C1007" s="1">
        <v>46017.578958333332</v>
      </c>
      <c r="D1007" s="1">
        <v>46017.580752314818</v>
      </c>
      <c r="E1007" t="s">
        <v>2537</v>
      </c>
      <c r="F1007" t="s">
        <v>23</v>
      </c>
      <c r="G1007" t="e">
        <f>+_xlfn.XLOOKUP(tbl_encuesta[[#This Row],[Me siento a gusto con el ambiente de trabajo que se genera en mi equipo.]],#REF!,#REF!)</f>
        <v>#REF!</v>
      </c>
      <c r="H1007" t="s">
        <v>23</v>
      </c>
      <c r="I1007" t="e">
        <f>+_xlfn.XLOOKUP(tbl_encuesta[[#This Row],[Me siento motivado a dar lo mejor de mí y hacer un buen trabajo]],#REF!,#REF!)</f>
        <v>#REF!</v>
      </c>
      <c r="J1007" t="s">
        <v>23</v>
      </c>
      <c r="K1007" t="e">
        <f>+_xlfn.XLOOKUP(tbl_encuesta[[#This Row],[Mi supervisor o jefe directo me otorga el soporte que necesito para afrontar cualquier problema que afecte mi trabajo]],#REF!,#REF!)</f>
        <v>#REF!</v>
      </c>
      <c r="L1007" t="s">
        <v>23</v>
      </c>
      <c r="M1007" t="e">
        <f>+_xlfn.XLOOKUP(tbl_encuesta[[#This Row],[Mi supervisor o jefe directo fomenta que nos apoyemos entre todos en el equipo]],#REF!,#REF!)</f>
        <v>#REF!</v>
      </c>
      <c r="N1007" t="s">
        <v>23</v>
      </c>
      <c r="O1007" t="e">
        <f>+_xlfn.XLOOKUP(tbl_encuesta[[#This Row],[Siento que mi trabajo es reconocido por mi supervisor o jefe directo.]],#REF!,#REF!)</f>
        <v>#REF!</v>
      </c>
      <c r="P1007" t="s">
        <v>31</v>
      </c>
      <c r="Q1007" t="e">
        <f xml:space="preserve">
_xlfn.XLOOKUP(
tbl_encuesta[[#This Row],[Mi supervisor o jefe directo nos brinda charlas de 5 minutos y comunica las novedades relevantes a mi puesto de trabajo]],#REF!,#REF!
)</f>
        <v>#REF!</v>
      </c>
      <c r="R1007" t="s">
        <v>17</v>
      </c>
      <c r="W1007" t="s">
        <v>25</v>
      </c>
      <c r="X1007" t="s">
        <v>23</v>
      </c>
      <c r="Y1007" t="e">
        <f>+_xlfn.XLOOKUP(tbl_encuesta[[#This Row],[Considero a Limtek como un buen lugar para trabajar]],#REF!,#REF!)</f>
        <v>#REF!</v>
      </c>
      <c r="Z1007" t="s">
        <v>2538</v>
      </c>
      <c r="AA1007" t="s">
        <v>122</v>
      </c>
      <c r="AB1007" t="s">
        <v>28</v>
      </c>
      <c r="AC1007" t="s">
        <v>3592</v>
      </c>
      <c r="AD1007" t="s">
        <v>1701</v>
      </c>
      <c r="AE1007" t="s">
        <v>69</v>
      </c>
    </row>
    <row r="1008" spans="1:31" x14ac:dyDescent="0.25">
      <c r="A1008">
        <v>119026794844</v>
      </c>
      <c r="B1008">
        <v>462598545</v>
      </c>
      <c r="C1008" s="1">
        <v>46017.576805555553</v>
      </c>
      <c r="D1008" s="1">
        <v>46017.58016203704</v>
      </c>
      <c r="E1008" t="s">
        <v>2539</v>
      </c>
      <c r="F1008" t="s">
        <v>23</v>
      </c>
      <c r="G1008" t="e">
        <f>+_xlfn.XLOOKUP(tbl_encuesta[[#This Row],[Me siento a gusto con el ambiente de trabajo que se genera en mi equipo.]],#REF!,#REF!)</f>
        <v>#REF!</v>
      </c>
      <c r="H1008" t="s">
        <v>23</v>
      </c>
      <c r="I1008" t="e">
        <f>+_xlfn.XLOOKUP(tbl_encuesta[[#This Row],[Me siento motivado a dar lo mejor de mí y hacer un buen trabajo]],#REF!,#REF!)</f>
        <v>#REF!</v>
      </c>
      <c r="J1008" t="s">
        <v>23</v>
      </c>
      <c r="K1008" t="e">
        <f>+_xlfn.XLOOKUP(tbl_encuesta[[#This Row],[Mi supervisor o jefe directo me otorga el soporte que necesito para afrontar cualquier problema que afecte mi trabajo]],#REF!,#REF!)</f>
        <v>#REF!</v>
      </c>
      <c r="L1008" t="s">
        <v>23</v>
      </c>
      <c r="M1008" t="e">
        <f>+_xlfn.XLOOKUP(tbl_encuesta[[#This Row],[Mi supervisor o jefe directo fomenta que nos apoyemos entre todos en el equipo]],#REF!,#REF!)</f>
        <v>#REF!</v>
      </c>
      <c r="N1008" t="s">
        <v>23</v>
      </c>
      <c r="O1008" t="e">
        <f>+_xlfn.XLOOKUP(tbl_encuesta[[#This Row],[Siento que mi trabajo es reconocido por mi supervisor o jefe directo.]],#REF!,#REF!)</f>
        <v>#REF!</v>
      </c>
      <c r="P1008" t="s">
        <v>31</v>
      </c>
      <c r="Q1008" t="e">
        <f xml:space="preserve">
_xlfn.XLOOKUP(
tbl_encuesta[[#This Row],[Mi supervisor o jefe directo nos brinda charlas de 5 minutos y comunica las novedades relevantes a mi puesto de trabajo]],#REF!,#REF!
)</f>
        <v>#REF!</v>
      </c>
      <c r="R1008" t="s">
        <v>17</v>
      </c>
      <c r="S1008" t="s">
        <v>18</v>
      </c>
      <c r="W1008" t="s">
        <v>25</v>
      </c>
      <c r="X1008" t="s">
        <v>23</v>
      </c>
      <c r="Y1008" t="e">
        <f>+_xlfn.XLOOKUP(tbl_encuesta[[#This Row],[Considero a Limtek como un buen lugar para trabajar]],#REF!,#REF!)</f>
        <v>#REF!</v>
      </c>
      <c r="Z1008" t="s">
        <v>2540</v>
      </c>
      <c r="AA1008" t="s">
        <v>2541</v>
      </c>
      <c r="AB1008" t="s">
        <v>38</v>
      </c>
      <c r="AC1008" s="3" t="s">
        <v>3716</v>
      </c>
      <c r="AD1008" s="3" t="s">
        <v>38</v>
      </c>
      <c r="AE1008" t="s">
        <v>69</v>
      </c>
    </row>
    <row r="1009" spans="1:31" x14ac:dyDescent="0.25">
      <c r="A1009">
        <v>119026794779</v>
      </c>
      <c r="B1009">
        <v>462598545</v>
      </c>
      <c r="C1009" s="1">
        <v>46017.576956018522</v>
      </c>
      <c r="D1009" s="1">
        <v>46017.580057870371</v>
      </c>
      <c r="E1009" t="s">
        <v>2542</v>
      </c>
      <c r="F1009" t="s">
        <v>23</v>
      </c>
      <c r="G1009" t="e">
        <f>+_xlfn.XLOOKUP(tbl_encuesta[[#This Row],[Me siento a gusto con el ambiente de trabajo que se genera en mi equipo.]],#REF!,#REF!)</f>
        <v>#REF!</v>
      </c>
      <c r="H1009" t="s">
        <v>23</v>
      </c>
      <c r="I1009" t="e">
        <f>+_xlfn.XLOOKUP(tbl_encuesta[[#This Row],[Me siento motivado a dar lo mejor de mí y hacer un buen trabajo]],#REF!,#REF!)</f>
        <v>#REF!</v>
      </c>
      <c r="J1009" t="s">
        <v>23</v>
      </c>
      <c r="K1009" t="e">
        <f>+_xlfn.XLOOKUP(tbl_encuesta[[#This Row],[Mi supervisor o jefe directo me otorga el soporte que necesito para afrontar cualquier problema que afecte mi trabajo]],#REF!,#REF!)</f>
        <v>#REF!</v>
      </c>
      <c r="L1009" t="s">
        <v>23</v>
      </c>
      <c r="M1009" t="e">
        <f>+_xlfn.XLOOKUP(tbl_encuesta[[#This Row],[Mi supervisor o jefe directo fomenta que nos apoyemos entre todos en el equipo]],#REF!,#REF!)</f>
        <v>#REF!</v>
      </c>
      <c r="N1009" t="s">
        <v>23</v>
      </c>
      <c r="O1009" t="e">
        <f>+_xlfn.XLOOKUP(tbl_encuesta[[#This Row],[Siento que mi trabajo es reconocido por mi supervisor o jefe directo.]],#REF!,#REF!)</f>
        <v>#REF!</v>
      </c>
      <c r="P1009" t="s">
        <v>31</v>
      </c>
      <c r="Q1009" t="e">
        <f xml:space="preserve">
_xlfn.XLOOKUP(
tbl_encuesta[[#This Row],[Mi supervisor o jefe directo nos brinda charlas de 5 minutos y comunica las novedades relevantes a mi puesto de trabajo]],#REF!,#REF!
)</f>
        <v>#REF!</v>
      </c>
      <c r="R1009" t="s">
        <v>17</v>
      </c>
      <c r="U1009" t="s">
        <v>20</v>
      </c>
      <c r="W1009" t="s">
        <v>25</v>
      </c>
      <c r="X1009" t="s">
        <v>23</v>
      </c>
      <c r="Y1009" t="e">
        <f>+_xlfn.XLOOKUP(tbl_encuesta[[#This Row],[Considero a Limtek como un buen lugar para trabajar]],#REF!,#REF!)</f>
        <v>#REF!</v>
      </c>
      <c r="Z1009" t="s">
        <v>2543</v>
      </c>
      <c r="AA1009" t="s">
        <v>2544</v>
      </c>
      <c r="AB1009" t="s">
        <v>28</v>
      </c>
      <c r="AC1009" t="s">
        <v>3592</v>
      </c>
      <c r="AD1009" t="s">
        <v>2545</v>
      </c>
      <c r="AE1009" t="s">
        <v>69</v>
      </c>
    </row>
    <row r="1010" spans="1:31" x14ac:dyDescent="0.25">
      <c r="A1010">
        <v>119026794450</v>
      </c>
      <c r="B1010">
        <v>462598545</v>
      </c>
      <c r="C1010" s="1">
        <v>46017.57099537037</v>
      </c>
      <c r="D1010" s="1">
        <v>46017.579340277778</v>
      </c>
      <c r="E1010" t="s">
        <v>2546</v>
      </c>
      <c r="F1010" t="s">
        <v>23</v>
      </c>
      <c r="G1010" t="e">
        <f>+_xlfn.XLOOKUP(tbl_encuesta[[#This Row],[Me siento a gusto con el ambiente de trabajo que se genera en mi equipo.]],#REF!,#REF!)</f>
        <v>#REF!</v>
      </c>
      <c r="H1010" t="s">
        <v>23</v>
      </c>
      <c r="I1010" t="e">
        <f>+_xlfn.XLOOKUP(tbl_encuesta[[#This Row],[Me siento motivado a dar lo mejor de mí y hacer un buen trabajo]],#REF!,#REF!)</f>
        <v>#REF!</v>
      </c>
      <c r="J1010" t="s">
        <v>23</v>
      </c>
      <c r="K1010" t="e">
        <f>+_xlfn.XLOOKUP(tbl_encuesta[[#This Row],[Mi supervisor o jefe directo me otorga el soporte que necesito para afrontar cualquier problema que afecte mi trabajo]],#REF!,#REF!)</f>
        <v>#REF!</v>
      </c>
      <c r="L1010" t="s">
        <v>23</v>
      </c>
      <c r="M1010" t="e">
        <f>+_xlfn.XLOOKUP(tbl_encuesta[[#This Row],[Mi supervisor o jefe directo fomenta que nos apoyemos entre todos en el equipo]],#REF!,#REF!)</f>
        <v>#REF!</v>
      </c>
      <c r="N1010" t="s">
        <v>23</v>
      </c>
      <c r="O1010" t="e">
        <f>+_xlfn.XLOOKUP(tbl_encuesta[[#This Row],[Siento que mi trabajo es reconocido por mi supervisor o jefe directo.]],#REF!,#REF!)</f>
        <v>#REF!</v>
      </c>
      <c r="P1010" t="s">
        <v>31</v>
      </c>
      <c r="Q1010" t="e">
        <f xml:space="preserve">
_xlfn.XLOOKUP(
tbl_encuesta[[#This Row],[Mi supervisor o jefe directo nos brinda charlas de 5 minutos y comunica las novedades relevantes a mi puesto de trabajo]],#REF!,#REF!
)</f>
        <v>#REF!</v>
      </c>
      <c r="R1010" t="s">
        <v>17</v>
      </c>
      <c r="T1010" t="s">
        <v>19</v>
      </c>
      <c r="W1010" t="s">
        <v>25</v>
      </c>
      <c r="X1010" t="s">
        <v>23</v>
      </c>
      <c r="Y1010" t="e">
        <f>+_xlfn.XLOOKUP(tbl_encuesta[[#This Row],[Considero a Limtek como un buen lugar para trabajar]],#REF!,#REF!)</f>
        <v>#REF!</v>
      </c>
      <c r="Z1010" t="s">
        <v>576</v>
      </c>
      <c r="AA1010" t="s">
        <v>2547</v>
      </c>
      <c r="AB1010" t="s">
        <v>28</v>
      </c>
      <c r="AC1010" t="s">
        <v>3592</v>
      </c>
      <c r="AD1010" t="s">
        <v>2548</v>
      </c>
      <c r="AE1010" t="s">
        <v>69</v>
      </c>
    </row>
    <row r="1011" spans="1:31" x14ac:dyDescent="0.25">
      <c r="A1011">
        <v>119026794136</v>
      </c>
      <c r="B1011">
        <v>462598545</v>
      </c>
      <c r="C1011" s="1">
        <v>46017.575844907406</v>
      </c>
      <c r="D1011" s="1">
        <v>46017.578668981485</v>
      </c>
      <c r="E1011" t="s">
        <v>2537</v>
      </c>
      <c r="F1011" t="s">
        <v>23</v>
      </c>
      <c r="G1011" t="e">
        <f>+_xlfn.XLOOKUP(tbl_encuesta[[#This Row],[Me siento a gusto con el ambiente de trabajo que se genera en mi equipo.]],#REF!,#REF!)</f>
        <v>#REF!</v>
      </c>
      <c r="H1011" t="s">
        <v>23</v>
      </c>
      <c r="I1011" t="e">
        <f>+_xlfn.XLOOKUP(tbl_encuesta[[#This Row],[Me siento motivado a dar lo mejor de mí y hacer un buen trabajo]],#REF!,#REF!)</f>
        <v>#REF!</v>
      </c>
      <c r="J1011" t="s">
        <v>23</v>
      </c>
      <c r="K1011" t="e">
        <f>+_xlfn.XLOOKUP(tbl_encuesta[[#This Row],[Mi supervisor o jefe directo me otorga el soporte que necesito para afrontar cualquier problema que afecte mi trabajo]],#REF!,#REF!)</f>
        <v>#REF!</v>
      </c>
      <c r="L1011" t="s">
        <v>23</v>
      </c>
      <c r="M1011" t="e">
        <f>+_xlfn.XLOOKUP(tbl_encuesta[[#This Row],[Mi supervisor o jefe directo fomenta que nos apoyemos entre todos en el equipo]],#REF!,#REF!)</f>
        <v>#REF!</v>
      </c>
      <c r="N1011" t="s">
        <v>23</v>
      </c>
      <c r="O1011" t="e">
        <f>+_xlfn.XLOOKUP(tbl_encuesta[[#This Row],[Siento que mi trabajo es reconocido por mi supervisor o jefe directo.]],#REF!,#REF!)</f>
        <v>#REF!</v>
      </c>
      <c r="P1011" t="s">
        <v>31</v>
      </c>
      <c r="Q1011" t="e">
        <f xml:space="preserve">
_xlfn.XLOOKUP(
tbl_encuesta[[#This Row],[Mi supervisor o jefe directo nos brinda charlas de 5 minutos y comunica las novedades relevantes a mi puesto de trabajo]],#REF!,#REF!
)</f>
        <v>#REF!</v>
      </c>
      <c r="R1011" t="s">
        <v>17</v>
      </c>
      <c r="W1011" t="s">
        <v>25</v>
      </c>
      <c r="X1011" t="s">
        <v>23</v>
      </c>
      <c r="Y1011" t="e">
        <f>+_xlfn.XLOOKUP(tbl_encuesta[[#This Row],[Considero a Limtek como un buen lugar para trabajar]],#REF!,#REF!)</f>
        <v>#REF!</v>
      </c>
      <c r="Z1011" t="s">
        <v>2538</v>
      </c>
      <c r="AA1011" t="s">
        <v>122</v>
      </c>
      <c r="AB1011" t="s">
        <v>28</v>
      </c>
      <c r="AC1011" t="s">
        <v>3592</v>
      </c>
      <c r="AD1011" t="s">
        <v>1701</v>
      </c>
      <c r="AE1011" t="s">
        <v>69</v>
      </c>
    </row>
    <row r="1012" spans="1:31" x14ac:dyDescent="0.25">
      <c r="A1012">
        <v>119026793792</v>
      </c>
      <c r="B1012">
        <v>462598545</v>
      </c>
      <c r="C1012" s="1">
        <v>46017.575590277775</v>
      </c>
      <c r="D1012" s="1">
        <v>46017.577916666669</v>
      </c>
      <c r="E1012" t="s">
        <v>2491</v>
      </c>
      <c r="F1012" t="s">
        <v>22</v>
      </c>
      <c r="G1012" t="e">
        <f>+_xlfn.XLOOKUP(tbl_encuesta[[#This Row],[Me siento a gusto con el ambiente de trabajo que se genera en mi equipo.]],#REF!,#REF!)</f>
        <v>#REF!</v>
      </c>
      <c r="H1012" t="s">
        <v>23</v>
      </c>
      <c r="I1012" t="e">
        <f>+_xlfn.XLOOKUP(tbl_encuesta[[#This Row],[Me siento motivado a dar lo mejor de mí y hacer un buen trabajo]],#REF!,#REF!)</f>
        <v>#REF!</v>
      </c>
      <c r="J1012" t="s">
        <v>23</v>
      </c>
      <c r="K1012" t="e">
        <f>+_xlfn.XLOOKUP(tbl_encuesta[[#This Row],[Mi supervisor o jefe directo me otorga el soporte que necesito para afrontar cualquier problema que afecte mi trabajo]],#REF!,#REF!)</f>
        <v>#REF!</v>
      </c>
      <c r="L1012" t="s">
        <v>23</v>
      </c>
      <c r="M1012" t="e">
        <f>+_xlfn.XLOOKUP(tbl_encuesta[[#This Row],[Mi supervisor o jefe directo fomenta que nos apoyemos entre todos en el equipo]],#REF!,#REF!)</f>
        <v>#REF!</v>
      </c>
      <c r="N1012" t="s">
        <v>22</v>
      </c>
      <c r="O1012" t="e">
        <f>+_xlfn.XLOOKUP(tbl_encuesta[[#This Row],[Siento que mi trabajo es reconocido por mi supervisor o jefe directo.]],#REF!,#REF!)</f>
        <v>#REF!</v>
      </c>
      <c r="P1012" t="s">
        <v>31</v>
      </c>
      <c r="Q1012" t="e">
        <f xml:space="preserve">
_xlfn.XLOOKUP(
tbl_encuesta[[#This Row],[Mi supervisor o jefe directo nos brinda charlas de 5 minutos y comunica las novedades relevantes a mi puesto de trabajo]],#REF!,#REF!
)</f>
        <v>#REF!</v>
      </c>
      <c r="U1012" t="s">
        <v>20</v>
      </c>
      <c r="W1012" t="s">
        <v>25</v>
      </c>
      <c r="X1012" t="s">
        <v>22</v>
      </c>
      <c r="Y1012" t="e">
        <f>+_xlfn.XLOOKUP(tbl_encuesta[[#This Row],[Considero a Limtek como un buen lugar para trabajar]],#REF!,#REF!)</f>
        <v>#REF!</v>
      </c>
      <c r="Z1012" t="s">
        <v>193</v>
      </c>
      <c r="AA1012" t="s">
        <v>2492</v>
      </c>
      <c r="AB1012" t="s">
        <v>28</v>
      </c>
      <c r="AC1012" s="3" t="s">
        <v>3705</v>
      </c>
      <c r="AD1012" s="3" t="s">
        <v>3713</v>
      </c>
      <c r="AE1012" t="s">
        <v>29</v>
      </c>
    </row>
    <row r="1013" spans="1:31" x14ac:dyDescent="0.25">
      <c r="A1013">
        <v>119026792385</v>
      </c>
      <c r="B1013">
        <v>462598545</v>
      </c>
      <c r="C1013" s="1">
        <v>46017.569409722222</v>
      </c>
      <c r="D1013" s="1">
        <v>46017.574745370373</v>
      </c>
      <c r="E1013" t="s">
        <v>2549</v>
      </c>
      <c r="F1013" t="s">
        <v>22</v>
      </c>
      <c r="G1013" t="e">
        <f>+_xlfn.XLOOKUP(tbl_encuesta[[#This Row],[Me siento a gusto con el ambiente de trabajo que se genera en mi equipo.]],#REF!,#REF!)</f>
        <v>#REF!</v>
      </c>
      <c r="H1013" t="s">
        <v>22</v>
      </c>
      <c r="I1013" t="e">
        <f>+_xlfn.XLOOKUP(tbl_encuesta[[#This Row],[Me siento motivado a dar lo mejor de mí y hacer un buen trabajo]],#REF!,#REF!)</f>
        <v>#REF!</v>
      </c>
      <c r="J1013" t="s">
        <v>97</v>
      </c>
      <c r="K1013" t="e">
        <f>+_xlfn.XLOOKUP(tbl_encuesta[[#This Row],[Mi supervisor o jefe directo me otorga el soporte que necesito para afrontar cualquier problema que afecte mi trabajo]],#REF!,#REF!)</f>
        <v>#REF!</v>
      </c>
      <c r="L1013" t="s">
        <v>22</v>
      </c>
      <c r="M1013" t="e">
        <f>+_xlfn.XLOOKUP(tbl_encuesta[[#This Row],[Mi supervisor o jefe directo fomenta que nos apoyemos entre todos en el equipo]],#REF!,#REF!)</f>
        <v>#REF!</v>
      </c>
      <c r="N1013" t="s">
        <v>22</v>
      </c>
      <c r="O1013" t="e">
        <f>+_xlfn.XLOOKUP(tbl_encuesta[[#This Row],[Siento que mi trabajo es reconocido por mi supervisor o jefe directo.]],#REF!,#REF!)</f>
        <v>#REF!</v>
      </c>
      <c r="P1013" t="s">
        <v>175</v>
      </c>
      <c r="Q1013" t="e">
        <f xml:space="preserve">
_xlfn.XLOOKUP(
tbl_encuesta[[#This Row],[Mi supervisor o jefe directo nos brinda charlas de 5 minutos y comunica las novedades relevantes a mi puesto de trabajo]],#REF!,#REF!
)</f>
        <v>#REF!</v>
      </c>
      <c r="R1013" t="s">
        <v>17</v>
      </c>
      <c r="T1013" t="s">
        <v>19</v>
      </c>
      <c r="W1013" t="s">
        <v>25</v>
      </c>
      <c r="X1013" t="s">
        <v>22</v>
      </c>
      <c r="Y1013" t="e">
        <f>+_xlfn.XLOOKUP(tbl_encuesta[[#This Row],[Considero a Limtek como un buen lugar para trabajar]],#REF!,#REF!)</f>
        <v>#REF!</v>
      </c>
      <c r="Z1013" t="s">
        <v>2550</v>
      </c>
      <c r="AA1013" t="s">
        <v>2551</v>
      </c>
      <c r="AB1013" t="s">
        <v>28</v>
      </c>
      <c r="AC1013" t="s">
        <v>2552</v>
      </c>
      <c r="AD1013" t="s">
        <v>2553</v>
      </c>
      <c r="AE1013" t="s">
        <v>55</v>
      </c>
    </row>
    <row r="1014" spans="1:31" x14ac:dyDescent="0.25">
      <c r="A1014">
        <v>119026792355</v>
      </c>
      <c r="B1014">
        <v>462598545</v>
      </c>
      <c r="C1014" s="1">
        <v>46017.569930555554</v>
      </c>
      <c r="D1014" s="1">
        <v>46017.574687499997</v>
      </c>
      <c r="E1014" t="s">
        <v>2554</v>
      </c>
      <c r="F1014" t="s">
        <v>23</v>
      </c>
      <c r="G1014" t="e">
        <f>+_xlfn.XLOOKUP(tbl_encuesta[[#This Row],[Me siento a gusto con el ambiente de trabajo que se genera en mi equipo.]],#REF!,#REF!)</f>
        <v>#REF!</v>
      </c>
      <c r="H1014" t="s">
        <v>23</v>
      </c>
      <c r="I1014" t="e">
        <f>+_xlfn.XLOOKUP(tbl_encuesta[[#This Row],[Me siento motivado a dar lo mejor de mí y hacer un buen trabajo]],#REF!,#REF!)</f>
        <v>#REF!</v>
      </c>
      <c r="J1014" t="s">
        <v>22</v>
      </c>
      <c r="K1014" t="e">
        <f>+_xlfn.XLOOKUP(tbl_encuesta[[#This Row],[Mi supervisor o jefe directo me otorga el soporte que necesito para afrontar cualquier problema que afecte mi trabajo]],#REF!,#REF!)</f>
        <v>#REF!</v>
      </c>
      <c r="L1014" t="s">
        <v>22</v>
      </c>
      <c r="M1014" t="e">
        <f>+_xlfn.XLOOKUP(tbl_encuesta[[#This Row],[Mi supervisor o jefe directo fomenta que nos apoyemos entre todos en el equipo]],#REF!,#REF!)</f>
        <v>#REF!</v>
      </c>
      <c r="N1014" t="s">
        <v>22</v>
      </c>
      <c r="O1014" t="e">
        <f>+_xlfn.XLOOKUP(tbl_encuesta[[#This Row],[Siento que mi trabajo es reconocido por mi supervisor o jefe directo.]],#REF!,#REF!)</f>
        <v>#REF!</v>
      </c>
      <c r="P1014" t="s">
        <v>31</v>
      </c>
      <c r="Q1014" t="e">
        <f xml:space="preserve">
_xlfn.XLOOKUP(
tbl_encuesta[[#This Row],[Mi supervisor o jefe directo nos brinda charlas de 5 minutos y comunica las novedades relevantes a mi puesto de trabajo]],#REF!,#REF!
)</f>
        <v>#REF!</v>
      </c>
      <c r="T1014" t="s">
        <v>19</v>
      </c>
      <c r="W1014" t="s">
        <v>25</v>
      </c>
      <c r="X1014" t="s">
        <v>23</v>
      </c>
      <c r="Y1014" t="e">
        <f>+_xlfn.XLOOKUP(tbl_encuesta[[#This Row],[Considero a Limtek como un buen lugar para trabajar]],#REF!,#REF!)</f>
        <v>#REF!</v>
      </c>
      <c r="Z1014" t="s">
        <v>2555</v>
      </c>
      <c r="AA1014" t="s">
        <v>2556</v>
      </c>
      <c r="AB1014" t="s">
        <v>28</v>
      </c>
      <c r="AC1014" t="s">
        <v>3592</v>
      </c>
      <c r="AD1014" t="s">
        <v>2557</v>
      </c>
      <c r="AE1014" t="s">
        <v>29</v>
      </c>
    </row>
    <row r="1015" spans="1:31" x14ac:dyDescent="0.25">
      <c r="A1015">
        <v>119026790912</v>
      </c>
      <c r="B1015">
        <v>462598545</v>
      </c>
      <c r="C1015" s="1">
        <v>46017.566921296297</v>
      </c>
      <c r="D1015" s="1">
        <v>46017.571423611109</v>
      </c>
      <c r="E1015" t="s">
        <v>2558</v>
      </c>
      <c r="F1015" t="s">
        <v>23</v>
      </c>
      <c r="G1015" t="e">
        <f>+_xlfn.XLOOKUP(tbl_encuesta[[#This Row],[Me siento a gusto con el ambiente de trabajo que se genera en mi equipo.]],#REF!,#REF!)</f>
        <v>#REF!</v>
      </c>
      <c r="H1015" t="s">
        <v>23</v>
      </c>
      <c r="I1015" t="e">
        <f>+_xlfn.XLOOKUP(tbl_encuesta[[#This Row],[Me siento motivado a dar lo mejor de mí y hacer un buen trabajo]],#REF!,#REF!)</f>
        <v>#REF!</v>
      </c>
      <c r="J1015" t="s">
        <v>23</v>
      </c>
      <c r="K1015" t="e">
        <f>+_xlfn.XLOOKUP(tbl_encuesta[[#This Row],[Mi supervisor o jefe directo me otorga el soporte que necesito para afrontar cualquier problema que afecte mi trabajo]],#REF!,#REF!)</f>
        <v>#REF!</v>
      </c>
      <c r="L1015" t="s">
        <v>23</v>
      </c>
      <c r="M1015" t="e">
        <f>+_xlfn.XLOOKUP(tbl_encuesta[[#This Row],[Mi supervisor o jefe directo fomenta que nos apoyemos entre todos en el equipo]],#REF!,#REF!)</f>
        <v>#REF!</v>
      </c>
      <c r="N1015" t="s">
        <v>23</v>
      </c>
      <c r="O1015" t="e">
        <f>+_xlfn.XLOOKUP(tbl_encuesta[[#This Row],[Siento que mi trabajo es reconocido por mi supervisor o jefe directo.]],#REF!,#REF!)</f>
        <v>#REF!</v>
      </c>
      <c r="P1015" t="s">
        <v>31</v>
      </c>
      <c r="Q1015" t="e">
        <f xml:space="preserve">
_xlfn.XLOOKUP(
tbl_encuesta[[#This Row],[Mi supervisor o jefe directo nos brinda charlas de 5 minutos y comunica las novedades relevantes a mi puesto de trabajo]],#REF!,#REF!
)</f>
        <v>#REF!</v>
      </c>
      <c r="R1015" t="s">
        <v>17</v>
      </c>
      <c r="U1015" t="s">
        <v>20</v>
      </c>
      <c r="W1015" t="s">
        <v>25</v>
      </c>
      <c r="X1015" t="s">
        <v>23</v>
      </c>
      <c r="Y1015" t="e">
        <f>+_xlfn.XLOOKUP(tbl_encuesta[[#This Row],[Considero a Limtek como un buen lugar para trabajar]],#REF!,#REF!)</f>
        <v>#REF!</v>
      </c>
      <c r="Z1015" t="s">
        <v>2559</v>
      </c>
      <c r="AA1015" t="s">
        <v>2560</v>
      </c>
      <c r="AB1015" t="s">
        <v>28</v>
      </c>
      <c r="AC1015" t="s">
        <v>3592</v>
      </c>
      <c r="AD1015" t="s">
        <v>2561</v>
      </c>
      <c r="AE1015" t="s">
        <v>69</v>
      </c>
    </row>
    <row r="1016" spans="1:31" x14ac:dyDescent="0.25">
      <c r="A1016">
        <v>119026789764</v>
      </c>
      <c r="B1016">
        <v>462598545</v>
      </c>
      <c r="C1016" s="1">
        <v>46017.566874999997</v>
      </c>
      <c r="D1016" s="1">
        <v>46017.569039351853</v>
      </c>
      <c r="E1016" t="s">
        <v>2562</v>
      </c>
      <c r="F1016" t="s">
        <v>22</v>
      </c>
      <c r="G1016" t="e">
        <f>+_xlfn.XLOOKUP(tbl_encuesta[[#This Row],[Me siento a gusto con el ambiente de trabajo que se genera en mi equipo.]],#REF!,#REF!)</f>
        <v>#REF!</v>
      </c>
      <c r="H1016" t="s">
        <v>23</v>
      </c>
      <c r="I1016" t="e">
        <f>+_xlfn.XLOOKUP(tbl_encuesta[[#This Row],[Me siento motivado a dar lo mejor de mí y hacer un buen trabajo]],#REF!,#REF!)</f>
        <v>#REF!</v>
      </c>
      <c r="J1016" t="s">
        <v>97</v>
      </c>
      <c r="K1016" t="e">
        <f>+_xlfn.XLOOKUP(tbl_encuesta[[#This Row],[Mi supervisor o jefe directo me otorga el soporte que necesito para afrontar cualquier problema que afecte mi trabajo]],#REF!,#REF!)</f>
        <v>#REF!</v>
      </c>
      <c r="L1016" t="s">
        <v>22</v>
      </c>
      <c r="M1016" t="e">
        <f>+_xlfn.XLOOKUP(tbl_encuesta[[#This Row],[Mi supervisor o jefe directo fomenta que nos apoyemos entre todos en el equipo]],#REF!,#REF!)</f>
        <v>#REF!</v>
      </c>
      <c r="N1016" t="s">
        <v>22</v>
      </c>
      <c r="O1016" t="e">
        <f>+_xlfn.XLOOKUP(tbl_encuesta[[#This Row],[Siento que mi trabajo es reconocido por mi supervisor o jefe directo.]],#REF!,#REF!)</f>
        <v>#REF!</v>
      </c>
      <c r="P1016" t="s">
        <v>67</v>
      </c>
      <c r="Q1016" t="e">
        <f xml:space="preserve">
_xlfn.XLOOKUP(
tbl_encuesta[[#This Row],[Mi supervisor o jefe directo nos brinda charlas de 5 minutos y comunica las novedades relevantes a mi puesto de trabajo]],#REF!,#REF!
)</f>
        <v>#REF!</v>
      </c>
      <c r="R1016" t="s">
        <v>17</v>
      </c>
      <c r="W1016" t="s">
        <v>25</v>
      </c>
      <c r="X1016" t="s">
        <v>23</v>
      </c>
      <c r="Y1016" t="e">
        <f>+_xlfn.XLOOKUP(tbl_encuesta[[#This Row],[Considero a Limtek como un buen lugar para trabajar]],#REF!,#REF!)</f>
        <v>#REF!</v>
      </c>
      <c r="Z1016" t="s">
        <v>2563</v>
      </c>
      <c r="AA1016" t="s">
        <v>2564</v>
      </c>
      <c r="AB1016" t="s">
        <v>28</v>
      </c>
      <c r="AC1016" t="s">
        <v>3744</v>
      </c>
      <c r="AD1016" t="s">
        <v>3744</v>
      </c>
      <c r="AE1016" t="s">
        <v>61</v>
      </c>
    </row>
    <row r="1017" spans="1:31" x14ac:dyDescent="0.25">
      <c r="A1017">
        <v>119026789591</v>
      </c>
      <c r="B1017">
        <v>462598545</v>
      </c>
      <c r="C1017" s="1">
        <v>46017.56690972222</v>
      </c>
      <c r="D1017" s="1">
        <v>46017.568645833337</v>
      </c>
      <c r="E1017" t="s">
        <v>2565</v>
      </c>
      <c r="F1017" t="s">
        <v>23</v>
      </c>
      <c r="G1017" t="e">
        <f>+_xlfn.XLOOKUP(tbl_encuesta[[#This Row],[Me siento a gusto con el ambiente de trabajo que se genera en mi equipo.]],#REF!,#REF!)</f>
        <v>#REF!</v>
      </c>
      <c r="H1017" t="s">
        <v>23</v>
      </c>
      <c r="I1017" t="e">
        <f>+_xlfn.XLOOKUP(tbl_encuesta[[#This Row],[Me siento motivado a dar lo mejor de mí y hacer un buen trabajo]],#REF!,#REF!)</f>
        <v>#REF!</v>
      </c>
      <c r="J1017" t="s">
        <v>23</v>
      </c>
      <c r="K1017" t="e">
        <f>+_xlfn.XLOOKUP(tbl_encuesta[[#This Row],[Mi supervisor o jefe directo me otorga el soporte que necesito para afrontar cualquier problema que afecte mi trabajo]],#REF!,#REF!)</f>
        <v>#REF!</v>
      </c>
      <c r="L1017" t="s">
        <v>23</v>
      </c>
      <c r="M1017" t="e">
        <f>+_xlfn.XLOOKUP(tbl_encuesta[[#This Row],[Mi supervisor o jefe directo fomenta que nos apoyemos entre todos en el equipo]],#REF!,#REF!)</f>
        <v>#REF!</v>
      </c>
      <c r="N1017" t="s">
        <v>23</v>
      </c>
      <c r="O1017" t="e">
        <f>+_xlfn.XLOOKUP(tbl_encuesta[[#This Row],[Siento que mi trabajo es reconocido por mi supervisor o jefe directo.]],#REF!,#REF!)</f>
        <v>#REF!</v>
      </c>
      <c r="P1017" t="s">
        <v>31</v>
      </c>
      <c r="Q1017" t="e">
        <f xml:space="preserve">
_xlfn.XLOOKUP(
tbl_encuesta[[#This Row],[Mi supervisor o jefe directo nos brinda charlas de 5 minutos y comunica las novedades relevantes a mi puesto de trabajo]],#REF!,#REF!
)</f>
        <v>#REF!</v>
      </c>
      <c r="R1017" t="s">
        <v>17</v>
      </c>
      <c r="S1017" t="s">
        <v>18</v>
      </c>
      <c r="W1017" t="s">
        <v>25</v>
      </c>
      <c r="X1017" t="s">
        <v>23</v>
      </c>
      <c r="Y1017" t="e">
        <f>+_xlfn.XLOOKUP(tbl_encuesta[[#This Row],[Considero a Limtek como un buen lugar para trabajar]],#REF!,#REF!)</f>
        <v>#REF!</v>
      </c>
      <c r="Z1017" t="s">
        <v>727</v>
      </c>
      <c r="AA1017" t="s">
        <v>1238</v>
      </c>
      <c r="AB1017" t="s">
        <v>28</v>
      </c>
      <c r="AC1017" s="3" t="s">
        <v>3759</v>
      </c>
      <c r="AD1017" s="3" t="s">
        <v>3760</v>
      </c>
      <c r="AE1017" t="s">
        <v>69</v>
      </c>
    </row>
    <row r="1018" spans="1:31" x14ac:dyDescent="0.25">
      <c r="A1018">
        <v>119026788995</v>
      </c>
      <c r="B1018">
        <v>462598545</v>
      </c>
      <c r="C1018" s="1">
        <v>46017.564953703702</v>
      </c>
      <c r="D1018" s="1">
        <v>46017.567280092589</v>
      </c>
      <c r="E1018" t="s">
        <v>2566</v>
      </c>
      <c r="F1018" t="s">
        <v>23</v>
      </c>
      <c r="G1018" t="e">
        <f>+_xlfn.XLOOKUP(tbl_encuesta[[#This Row],[Me siento a gusto con el ambiente de trabajo que se genera en mi equipo.]],#REF!,#REF!)</f>
        <v>#REF!</v>
      </c>
      <c r="H1018" t="s">
        <v>23</v>
      </c>
      <c r="I1018" t="e">
        <f>+_xlfn.XLOOKUP(tbl_encuesta[[#This Row],[Me siento motivado a dar lo mejor de mí y hacer un buen trabajo]],#REF!,#REF!)</f>
        <v>#REF!</v>
      </c>
      <c r="J1018" t="s">
        <v>23</v>
      </c>
      <c r="K1018" t="e">
        <f>+_xlfn.XLOOKUP(tbl_encuesta[[#This Row],[Mi supervisor o jefe directo me otorga el soporte que necesito para afrontar cualquier problema que afecte mi trabajo]],#REF!,#REF!)</f>
        <v>#REF!</v>
      </c>
      <c r="L1018" t="s">
        <v>23</v>
      </c>
      <c r="M1018" t="e">
        <f>+_xlfn.XLOOKUP(tbl_encuesta[[#This Row],[Mi supervisor o jefe directo fomenta que nos apoyemos entre todos en el equipo]],#REF!,#REF!)</f>
        <v>#REF!</v>
      </c>
      <c r="N1018" t="s">
        <v>23</v>
      </c>
      <c r="O1018" t="e">
        <f>+_xlfn.XLOOKUP(tbl_encuesta[[#This Row],[Siento que mi trabajo es reconocido por mi supervisor o jefe directo.]],#REF!,#REF!)</f>
        <v>#REF!</v>
      </c>
      <c r="P1018" t="s">
        <v>67</v>
      </c>
      <c r="Q1018" t="e">
        <f xml:space="preserve">
_xlfn.XLOOKUP(
tbl_encuesta[[#This Row],[Mi supervisor o jefe directo nos brinda charlas de 5 minutos y comunica las novedades relevantes a mi puesto de trabajo]],#REF!,#REF!
)</f>
        <v>#REF!</v>
      </c>
      <c r="R1018" t="s">
        <v>17</v>
      </c>
      <c r="S1018" t="s">
        <v>18</v>
      </c>
      <c r="W1018" t="s">
        <v>25</v>
      </c>
      <c r="X1018" t="s">
        <v>22</v>
      </c>
      <c r="Y1018" t="e">
        <f>+_xlfn.XLOOKUP(tbl_encuesta[[#This Row],[Considero a Limtek como un buen lugar para trabajar]],#REF!,#REF!)</f>
        <v>#REF!</v>
      </c>
      <c r="Z1018" t="s">
        <v>2567</v>
      </c>
      <c r="AA1018" t="s">
        <v>2568</v>
      </c>
      <c r="AB1018" t="s">
        <v>28</v>
      </c>
      <c r="AC1018" t="s">
        <v>3592</v>
      </c>
      <c r="AD1018" t="s">
        <v>2569</v>
      </c>
      <c r="AE1018" t="s">
        <v>69</v>
      </c>
    </row>
    <row r="1019" spans="1:31" x14ac:dyDescent="0.25">
      <c r="A1019">
        <v>119026788948</v>
      </c>
      <c r="B1019">
        <v>462598545</v>
      </c>
      <c r="C1019" s="1">
        <v>46017.563414351855</v>
      </c>
      <c r="D1019" s="1">
        <v>46017.567164351851</v>
      </c>
      <c r="E1019" t="s">
        <v>2570</v>
      </c>
      <c r="F1019" t="s">
        <v>23</v>
      </c>
      <c r="G1019" t="e">
        <f>+_xlfn.XLOOKUP(tbl_encuesta[[#This Row],[Me siento a gusto con el ambiente de trabajo que se genera en mi equipo.]],#REF!,#REF!)</f>
        <v>#REF!</v>
      </c>
      <c r="H1019" t="s">
        <v>23</v>
      </c>
      <c r="I1019" t="e">
        <f>+_xlfn.XLOOKUP(tbl_encuesta[[#This Row],[Me siento motivado a dar lo mejor de mí y hacer un buen trabajo]],#REF!,#REF!)</f>
        <v>#REF!</v>
      </c>
      <c r="J1019" t="s">
        <v>23</v>
      </c>
      <c r="K1019" t="e">
        <f>+_xlfn.XLOOKUP(tbl_encuesta[[#This Row],[Mi supervisor o jefe directo me otorga el soporte que necesito para afrontar cualquier problema que afecte mi trabajo]],#REF!,#REF!)</f>
        <v>#REF!</v>
      </c>
      <c r="L1019" t="s">
        <v>23</v>
      </c>
      <c r="M1019" t="e">
        <f>+_xlfn.XLOOKUP(tbl_encuesta[[#This Row],[Mi supervisor o jefe directo fomenta que nos apoyemos entre todos en el equipo]],#REF!,#REF!)</f>
        <v>#REF!</v>
      </c>
      <c r="N1019" t="s">
        <v>23</v>
      </c>
      <c r="O1019" t="e">
        <f>+_xlfn.XLOOKUP(tbl_encuesta[[#This Row],[Siento que mi trabajo es reconocido por mi supervisor o jefe directo.]],#REF!,#REF!)</f>
        <v>#REF!</v>
      </c>
      <c r="P1019" t="s">
        <v>31</v>
      </c>
      <c r="Q1019" t="e">
        <f xml:space="preserve">
_xlfn.XLOOKUP(
tbl_encuesta[[#This Row],[Mi supervisor o jefe directo nos brinda charlas de 5 minutos y comunica las novedades relevantes a mi puesto de trabajo]],#REF!,#REF!
)</f>
        <v>#REF!</v>
      </c>
      <c r="R1019" t="s">
        <v>17</v>
      </c>
      <c r="S1019" t="s">
        <v>18</v>
      </c>
      <c r="W1019" t="s">
        <v>25</v>
      </c>
      <c r="X1019" t="s">
        <v>23</v>
      </c>
      <c r="Y1019" t="e">
        <f>+_xlfn.XLOOKUP(tbl_encuesta[[#This Row],[Considero a Limtek como un buen lugar para trabajar]],#REF!,#REF!)</f>
        <v>#REF!</v>
      </c>
      <c r="Z1019" t="s">
        <v>2571</v>
      </c>
      <c r="AA1019" t="s">
        <v>2572</v>
      </c>
      <c r="AB1019" t="s">
        <v>28</v>
      </c>
      <c r="AC1019" s="3" t="s">
        <v>3729</v>
      </c>
      <c r="AD1019" s="3" t="s">
        <v>3730</v>
      </c>
      <c r="AE1019" t="s">
        <v>61</v>
      </c>
    </row>
    <row r="1020" spans="1:31" x14ac:dyDescent="0.25">
      <c r="A1020">
        <v>119026788614</v>
      </c>
      <c r="B1020">
        <v>462598545</v>
      </c>
      <c r="C1020" s="1">
        <v>46017.560972222222</v>
      </c>
      <c r="D1020" s="1">
        <v>46017.566412037035</v>
      </c>
      <c r="E1020" t="s">
        <v>2343</v>
      </c>
      <c r="F1020" t="s">
        <v>23</v>
      </c>
      <c r="G1020" t="e">
        <f>+_xlfn.XLOOKUP(tbl_encuesta[[#This Row],[Me siento a gusto con el ambiente de trabajo que se genera en mi equipo.]],#REF!,#REF!)</f>
        <v>#REF!</v>
      </c>
      <c r="H1020" t="s">
        <v>23</v>
      </c>
      <c r="I1020" t="e">
        <f>+_xlfn.XLOOKUP(tbl_encuesta[[#This Row],[Me siento motivado a dar lo mejor de mí y hacer un buen trabajo]],#REF!,#REF!)</f>
        <v>#REF!</v>
      </c>
      <c r="J1020" t="s">
        <v>23</v>
      </c>
      <c r="K1020" t="e">
        <f>+_xlfn.XLOOKUP(tbl_encuesta[[#This Row],[Mi supervisor o jefe directo me otorga el soporte que necesito para afrontar cualquier problema que afecte mi trabajo]],#REF!,#REF!)</f>
        <v>#REF!</v>
      </c>
      <c r="L1020" t="s">
        <v>23</v>
      </c>
      <c r="M1020" t="e">
        <f>+_xlfn.XLOOKUP(tbl_encuesta[[#This Row],[Mi supervisor o jefe directo fomenta que nos apoyemos entre todos en el equipo]],#REF!,#REF!)</f>
        <v>#REF!</v>
      </c>
      <c r="N1020" t="s">
        <v>23</v>
      </c>
      <c r="O1020" t="e">
        <f>+_xlfn.XLOOKUP(tbl_encuesta[[#This Row],[Siento que mi trabajo es reconocido por mi supervisor o jefe directo.]],#REF!,#REF!)</f>
        <v>#REF!</v>
      </c>
      <c r="P1020" t="s">
        <v>67</v>
      </c>
      <c r="Q1020" t="e">
        <f xml:space="preserve">
_xlfn.XLOOKUP(
tbl_encuesta[[#This Row],[Mi supervisor o jefe directo nos brinda charlas de 5 minutos y comunica las novedades relevantes a mi puesto de trabajo]],#REF!,#REF!
)</f>
        <v>#REF!</v>
      </c>
      <c r="R1020" t="s">
        <v>17</v>
      </c>
      <c r="T1020" t="s">
        <v>19</v>
      </c>
      <c r="W1020" t="s">
        <v>25</v>
      </c>
      <c r="X1020" t="s">
        <v>23</v>
      </c>
      <c r="Y1020" t="e">
        <f>+_xlfn.XLOOKUP(tbl_encuesta[[#This Row],[Considero a Limtek como un buen lugar para trabajar]],#REF!,#REF!)</f>
        <v>#REF!</v>
      </c>
      <c r="Z1020" t="s">
        <v>2573</v>
      </c>
      <c r="AA1020" t="s">
        <v>2574</v>
      </c>
      <c r="AB1020" t="s">
        <v>28</v>
      </c>
      <c r="AC1020" t="s">
        <v>3592</v>
      </c>
      <c r="AD1020" t="s">
        <v>2575</v>
      </c>
      <c r="AE1020" t="s">
        <v>69</v>
      </c>
    </row>
    <row r="1021" spans="1:31" x14ac:dyDescent="0.25">
      <c r="A1021">
        <v>119026787185</v>
      </c>
      <c r="B1021">
        <v>462598545</v>
      </c>
      <c r="C1021" s="1">
        <v>46017.560185185182</v>
      </c>
      <c r="D1021" s="1">
        <v>46017.563368055555</v>
      </c>
      <c r="E1021" t="s">
        <v>2576</v>
      </c>
      <c r="F1021" t="s">
        <v>23</v>
      </c>
      <c r="G1021" t="e">
        <f>+_xlfn.XLOOKUP(tbl_encuesta[[#This Row],[Me siento a gusto con el ambiente de trabajo que se genera en mi equipo.]],#REF!,#REF!)</f>
        <v>#REF!</v>
      </c>
      <c r="H1021" t="s">
        <v>23</v>
      </c>
      <c r="I1021" t="e">
        <f>+_xlfn.XLOOKUP(tbl_encuesta[[#This Row],[Me siento motivado a dar lo mejor de mí y hacer un buen trabajo]],#REF!,#REF!)</f>
        <v>#REF!</v>
      </c>
      <c r="J1021" t="s">
        <v>23</v>
      </c>
      <c r="K1021" t="e">
        <f>+_xlfn.XLOOKUP(tbl_encuesta[[#This Row],[Mi supervisor o jefe directo me otorga el soporte que necesito para afrontar cualquier problema que afecte mi trabajo]],#REF!,#REF!)</f>
        <v>#REF!</v>
      </c>
      <c r="L1021" t="s">
        <v>23</v>
      </c>
      <c r="M1021" t="e">
        <f>+_xlfn.XLOOKUP(tbl_encuesta[[#This Row],[Mi supervisor o jefe directo fomenta que nos apoyemos entre todos en el equipo]],#REF!,#REF!)</f>
        <v>#REF!</v>
      </c>
      <c r="N1021" t="s">
        <v>23</v>
      </c>
      <c r="O1021" t="e">
        <f>+_xlfn.XLOOKUP(tbl_encuesta[[#This Row],[Siento que mi trabajo es reconocido por mi supervisor o jefe directo.]],#REF!,#REF!)</f>
        <v>#REF!</v>
      </c>
      <c r="P1021" t="s">
        <v>31</v>
      </c>
      <c r="Q1021" t="e">
        <f xml:space="preserve">
_xlfn.XLOOKUP(
tbl_encuesta[[#This Row],[Mi supervisor o jefe directo nos brinda charlas de 5 minutos y comunica las novedades relevantes a mi puesto de trabajo]],#REF!,#REF!
)</f>
        <v>#REF!</v>
      </c>
      <c r="S1021" t="s">
        <v>18</v>
      </c>
      <c r="W1021" t="s">
        <v>25</v>
      </c>
      <c r="X1021" t="s">
        <v>23</v>
      </c>
      <c r="Y1021" t="e">
        <f>+_xlfn.XLOOKUP(tbl_encuesta[[#This Row],[Considero a Limtek como un buen lugar para trabajar]],#REF!,#REF!)</f>
        <v>#REF!</v>
      </c>
      <c r="Z1021" t="s">
        <v>2577</v>
      </c>
      <c r="AA1021" t="s">
        <v>2578</v>
      </c>
      <c r="AB1021" t="s">
        <v>28</v>
      </c>
      <c r="AC1021" t="s">
        <v>3592</v>
      </c>
      <c r="AD1021" t="s">
        <v>1883</v>
      </c>
      <c r="AE1021" t="s">
        <v>69</v>
      </c>
    </row>
    <row r="1022" spans="1:31" x14ac:dyDescent="0.25">
      <c r="A1022">
        <v>119026786539</v>
      </c>
      <c r="B1022">
        <v>462598545</v>
      </c>
      <c r="C1022" s="1">
        <v>46017.560578703706</v>
      </c>
      <c r="D1022" s="1">
        <v>46017.562002314815</v>
      </c>
      <c r="E1022" t="s">
        <v>2579</v>
      </c>
      <c r="F1022" t="s">
        <v>23</v>
      </c>
      <c r="G1022" t="e">
        <f>+_xlfn.XLOOKUP(tbl_encuesta[[#This Row],[Me siento a gusto con el ambiente de trabajo que se genera en mi equipo.]],#REF!,#REF!)</f>
        <v>#REF!</v>
      </c>
      <c r="H1022" t="s">
        <v>23</v>
      </c>
      <c r="I1022" t="e">
        <f>+_xlfn.XLOOKUP(tbl_encuesta[[#This Row],[Me siento motivado a dar lo mejor de mí y hacer un buen trabajo]],#REF!,#REF!)</f>
        <v>#REF!</v>
      </c>
      <c r="J1022" t="s">
        <v>23</v>
      </c>
      <c r="K1022" t="e">
        <f>+_xlfn.XLOOKUP(tbl_encuesta[[#This Row],[Mi supervisor o jefe directo me otorga el soporte que necesito para afrontar cualquier problema que afecte mi trabajo]],#REF!,#REF!)</f>
        <v>#REF!</v>
      </c>
      <c r="L1022" t="s">
        <v>23</v>
      </c>
      <c r="M1022" t="e">
        <f>+_xlfn.XLOOKUP(tbl_encuesta[[#This Row],[Mi supervisor o jefe directo fomenta que nos apoyemos entre todos en el equipo]],#REF!,#REF!)</f>
        <v>#REF!</v>
      </c>
      <c r="N1022" t="s">
        <v>23</v>
      </c>
      <c r="O1022" t="e">
        <f>+_xlfn.XLOOKUP(tbl_encuesta[[#This Row],[Siento que mi trabajo es reconocido por mi supervisor o jefe directo.]],#REF!,#REF!)</f>
        <v>#REF!</v>
      </c>
      <c r="P1022" t="s">
        <v>31</v>
      </c>
      <c r="Q1022" t="e">
        <f xml:space="preserve">
_xlfn.XLOOKUP(
tbl_encuesta[[#This Row],[Mi supervisor o jefe directo nos brinda charlas de 5 minutos y comunica las novedades relevantes a mi puesto de trabajo]],#REF!,#REF!
)</f>
        <v>#REF!</v>
      </c>
      <c r="R1022" t="s">
        <v>17</v>
      </c>
      <c r="S1022" t="s">
        <v>18</v>
      </c>
      <c r="W1022" t="s">
        <v>25</v>
      </c>
      <c r="X1022" t="s">
        <v>23</v>
      </c>
      <c r="Y1022" t="e">
        <f>+_xlfn.XLOOKUP(tbl_encuesta[[#This Row],[Considero a Limtek como un buen lugar para trabajar]],#REF!,#REF!)</f>
        <v>#REF!</v>
      </c>
      <c r="Z1022" t="s">
        <v>2538</v>
      </c>
      <c r="AA1022" t="s">
        <v>2580</v>
      </c>
      <c r="AB1022" t="s">
        <v>28</v>
      </c>
      <c r="AC1022" t="s">
        <v>3592</v>
      </c>
      <c r="AD1022" t="s">
        <v>2454</v>
      </c>
      <c r="AE1022" t="s">
        <v>69</v>
      </c>
    </row>
    <row r="1023" spans="1:31" x14ac:dyDescent="0.25">
      <c r="A1023">
        <v>119026786460</v>
      </c>
      <c r="B1023">
        <v>462598545</v>
      </c>
      <c r="C1023" s="1">
        <v>46017.556770833333</v>
      </c>
      <c r="D1023" s="1">
        <v>46017.561851851853</v>
      </c>
      <c r="E1023" t="s">
        <v>2581</v>
      </c>
      <c r="F1023" t="s">
        <v>23</v>
      </c>
      <c r="G1023" t="e">
        <f>+_xlfn.XLOOKUP(tbl_encuesta[[#This Row],[Me siento a gusto con el ambiente de trabajo que se genera en mi equipo.]],#REF!,#REF!)</f>
        <v>#REF!</v>
      </c>
      <c r="H1023" t="s">
        <v>23</v>
      </c>
      <c r="I1023" t="e">
        <f>+_xlfn.XLOOKUP(tbl_encuesta[[#This Row],[Me siento motivado a dar lo mejor de mí y hacer un buen trabajo]],#REF!,#REF!)</f>
        <v>#REF!</v>
      </c>
      <c r="J1023" t="s">
        <v>23</v>
      </c>
      <c r="K1023" t="e">
        <f>+_xlfn.XLOOKUP(tbl_encuesta[[#This Row],[Mi supervisor o jefe directo me otorga el soporte que necesito para afrontar cualquier problema que afecte mi trabajo]],#REF!,#REF!)</f>
        <v>#REF!</v>
      </c>
      <c r="L1023" t="s">
        <v>23</v>
      </c>
      <c r="M1023" t="e">
        <f>+_xlfn.XLOOKUP(tbl_encuesta[[#This Row],[Mi supervisor o jefe directo fomenta que nos apoyemos entre todos en el equipo]],#REF!,#REF!)</f>
        <v>#REF!</v>
      </c>
      <c r="N1023" t="s">
        <v>23</v>
      </c>
      <c r="O1023" t="e">
        <f>+_xlfn.XLOOKUP(tbl_encuesta[[#This Row],[Siento que mi trabajo es reconocido por mi supervisor o jefe directo.]],#REF!,#REF!)</f>
        <v>#REF!</v>
      </c>
      <c r="P1023" t="s">
        <v>31</v>
      </c>
      <c r="Q1023" t="e">
        <f xml:space="preserve">
_xlfn.XLOOKUP(
tbl_encuesta[[#This Row],[Mi supervisor o jefe directo nos brinda charlas de 5 minutos y comunica las novedades relevantes a mi puesto de trabajo]],#REF!,#REF!
)</f>
        <v>#REF!</v>
      </c>
      <c r="R1023" t="s">
        <v>17</v>
      </c>
      <c r="T1023" t="s">
        <v>19</v>
      </c>
      <c r="W1023" t="s">
        <v>25</v>
      </c>
      <c r="X1023" t="s">
        <v>23</v>
      </c>
      <c r="Y1023" t="e">
        <f>+_xlfn.XLOOKUP(tbl_encuesta[[#This Row],[Considero a Limtek como un buen lugar para trabajar]],#REF!,#REF!)</f>
        <v>#REF!</v>
      </c>
      <c r="Z1023" t="s">
        <v>576</v>
      </c>
      <c r="AA1023" t="s">
        <v>2582</v>
      </c>
      <c r="AB1023" t="s">
        <v>28</v>
      </c>
      <c r="AC1023" t="s">
        <v>3744</v>
      </c>
      <c r="AD1023" t="s">
        <v>3744</v>
      </c>
      <c r="AE1023" t="s">
        <v>34</v>
      </c>
    </row>
    <row r="1024" spans="1:31" x14ac:dyDescent="0.25">
      <c r="A1024">
        <v>119026786020</v>
      </c>
      <c r="B1024">
        <v>462598545</v>
      </c>
      <c r="C1024" s="1">
        <v>46017.552071759259</v>
      </c>
      <c r="D1024" s="1">
        <v>46017.560937499999</v>
      </c>
      <c r="E1024" t="s">
        <v>2583</v>
      </c>
      <c r="F1024" t="s">
        <v>23</v>
      </c>
      <c r="G1024" t="e">
        <f>+_xlfn.XLOOKUP(tbl_encuesta[[#This Row],[Me siento a gusto con el ambiente de trabajo que se genera en mi equipo.]],#REF!,#REF!)</f>
        <v>#REF!</v>
      </c>
      <c r="H1024" t="s">
        <v>23</v>
      </c>
      <c r="I1024" t="e">
        <f>+_xlfn.XLOOKUP(tbl_encuesta[[#This Row],[Me siento motivado a dar lo mejor de mí y hacer un buen trabajo]],#REF!,#REF!)</f>
        <v>#REF!</v>
      </c>
      <c r="J1024" t="s">
        <v>23</v>
      </c>
      <c r="K1024" t="e">
        <f>+_xlfn.XLOOKUP(tbl_encuesta[[#This Row],[Mi supervisor o jefe directo me otorga el soporte que necesito para afrontar cualquier problema que afecte mi trabajo]],#REF!,#REF!)</f>
        <v>#REF!</v>
      </c>
      <c r="L1024" t="s">
        <v>23</v>
      </c>
      <c r="M1024" t="e">
        <f>+_xlfn.XLOOKUP(tbl_encuesta[[#This Row],[Mi supervisor o jefe directo fomenta que nos apoyemos entre todos en el equipo]],#REF!,#REF!)</f>
        <v>#REF!</v>
      </c>
      <c r="N1024" t="s">
        <v>23</v>
      </c>
      <c r="O1024" t="e">
        <f>+_xlfn.XLOOKUP(tbl_encuesta[[#This Row],[Siento que mi trabajo es reconocido por mi supervisor o jefe directo.]],#REF!,#REF!)</f>
        <v>#REF!</v>
      </c>
      <c r="P1024" t="s">
        <v>31</v>
      </c>
      <c r="Q1024" t="e">
        <f xml:space="preserve">
_xlfn.XLOOKUP(
tbl_encuesta[[#This Row],[Mi supervisor o jefe directo nos brinda charlas de 5 minutos y comunica las novedades relevantes a mi puesto de trabajo]],#REF!,#REF!
)</f>
        <v>#REF!</v>
      </c>
      <c r="R1024" t="s">
        <v>17</v>
      </c>
      <c r="W1024" t="s">
        <v>25</v>
      </c>
      <c r="X1024" t="s">
        <v>23</v>
      </c>
      <c r="Y1024" t="e">
        <f>+_xlfn.XLOOKUP(tbl_encuesta[[#This Row],[Considero a Limtek como un buen lugar para trabajar]],#REF!,#REF!)</f>
        <v>#REF!</v>
      </c>
      <c r="Z1024" t="s">
        <v>2584</v>
      </c>
      <c r="AA1024" t="s">
        <v>2585</v>
      </c>
      <c r="AB1024" t="s">
        <v>28</v>
      </c>
      <c r="AC1024" t="s">
        <v>3592</v>
      </c>
      <c r="AD1024" t="s">
        <v>2586</v>
      </c>
      <c r="AE1024" t="s">
        <v>69</v>
      </c>
    </row>
    <row r="1025" spans="1:31" x14ac:dyDescent="0.25">
      <c r="A1025">
        <v>119026785378</v>
      </c>
      <c r="B1025">
        <v>462598545</v>
      </c>
      <c r="C1025" s="1">
        <v>46017.554375</v>
      </c>
      <c r="D1025" s="1">
        <v>46017.559548611112</v>
      </c>
      <c r="E1025" t="s">
        <v>2587</v>
      </c>
      <c r="F1025" t="s">
        <v>23</v>
      </c>
      <c r="G1025" t="e">
        <f>+_xlfn.XLOOKUP(tbl_encuesta[[#This Row],[Me siento a gusto con el ambiente de trabajo que se genera en mi equipo.]],#REF!,#REF!)</f>
        <v>#REF!</v>
      </c>
      <c r="H1025" t="s">
        <v>23</v>
      </c>
      <c r="I1025" t="e">
        <f>+_xlfn.XLOOKUP(tbl_encuesta[[#This Row],[Me siento motivado a dar lo mejor de mí y hacer un buen trabajo]],#REF!,#REF!)</f>
        <v>#REF!</v>
      </c>
      <c r="J1025" t="s">
        <v>22</v>
      </c>
      <c r="K1025" t="e">
        <f>+_xlfn.XLOOKUP(tbl_encuesta[[#This Row],[Mi supervisor o jefe directo me otorga el soporte que necesito para afrontar cualquier problema que afecte mi trabajo]],#REF!,#REF!)</f>
        <v>#REF!</v>
      </c>
      <c r="L1025" t="s">
        <v>23</v>
      </c>
      <c r="M1025" t="e">
        <f>+_xlfn.XLOOKUP(tbl_encuesta[[#This Row],[Mi supervisor o jefe directo fomenta que nos apoyemos entre todos en el equipo]],#REF!,#REF!)</f>
        <v>#REF!</v>
      </c>
      <c r="N1025" t="s">
        <v>22</v>
      </c>
      <c r="O1025" t="e">
        <f>+_xlfn.XLOOKUP(tbl_encuesta[[#This Row],[Siento que mi trabajo es reconocido por mi supervisor o jefe directo.]],#REF!,#REF!)</f>
        <v>#REF!</v>
      </c>
      <c r="P1025" t="s">
        <v>31</v>
      </c>
      <c r="Q1025" t="e">
        <f xml:space="preserve">
_xlfn.XLOOKUP(
tbl_encuesta[[#This Row],[Mi supervisor o jefe directo nos brinda charlas de 5 minutos y comunica las novedades relevantes a mi puesto de trabajo]],#REF!,#REF!
)</f>
        <v>#REF!</v>
      </c>
      <c r="R1025" t="s">
        <v>17</v>
      </c>
      <c r="W1025" t="s">
        <v>25</v>
      </c>
      <c r="X1025" t="s">
        <v>23</v>
      </c>
      <c r="Y1025" t="e">
        <f>+_xlfn.XLOOKUP(tbl_encuesta[[#This Row],[Considero a Limtek como un buen lugar para trabajar]],#REF!,#REF!)</f>
        <v>#REF!</v>
      </c>
      <c r="Z1025" t="s">
        <v>2588</v>
      </c>
      <c r="AA1025" t="s">
        <v>2589</v>
      </c>
      <c r="AB1025" t="s">
        <v>28</v>
      </c>
      <c r="AC1025" s="3" t="s">
        <v>3766</v>
      </c>
      <c r="AD1025" s="3" t="s">
        <v>3766</v>
      </c>
      <c r="AE1025" t="s">
        <v>34</v>
      </c>
    </row>
    <row r="1026" spans="1:31" x14ac:dyDescent="0.25">
      <c r="A1026">
        <v>119026785359</v>
      </c>
      <c r="B1026">
        <v>462598545</v>
      </c>
      <c r="C1026" s="1">
        <v>46017.556631944448</v>
      </c>
      <c r="D1026" s="1">
        <v>46017.559502314813</v>
      </c>
      <c r="E1026" t="s">
        <v>2590</v>
      </c>
      <c r="F1026" t="s">
        <v>23</v>
      </c>
      <c r="G1026" t="e">
        <f>+_xlfn.XLOOKUP(tbl_encuesta[[#This Row],[Me siento a gusto con el ambiente de trabajo que se genera en mi equipo.]],#REF!,#REF!)</f>
        <v>#REF!</v>
      </c>
      <c r="H1026" t="s">
        <v>23</v>
      </c>
      <c r="I1026" t="e">
        <f>+_xlfn.XLOOKUP(tbl_encuesta[[#This Row],[Me siento motivado a dar lo mejor de mí y hacer un buen trabajo]],#REF!,#REF!)</f>
        <v>#REF!</v>
      </c>
      <c r="J1026" t="s">
        <v>23</v>
      </c>
      <c r="K1026" t="e">
        <f>+_xlfn.XLOOKUP(tbl_encuesta[[#This Row],[Mi supervisor o jefe directo me otorga el soporte que necesito para afrontar cualquier problema que afecte mi trabajo]],#REF!,#REF!)</f>
        <v>#REF!</v>
      </c>
      <c r="L1026" t="s">
        <v>23</v>
      </c>
      <c r="M1026" t="e">
        <f>+_xlfn.XLOOKUP(tbl_encuesta[[#This Row],[Mi supervisor o jefe directo fomenta que nos apoyemos entre todos en el equipo]],#REF!,#REF!)</f>
        <v>#REF!</v>
      </c>
      <c r="N1026" t="s">
        <v>22</v>
      </c>
      <c r="O1026" t="e">
        <f>+_xlfn.XLOOKUP(tbl_encuesta[[#This Row],[Siento que mi trabajo es reconocido por mi supervisor o jefe directo.]],#REF!,#REF!)</f>
        <v>#REF!</v>
      </c>
      <c r="P1026" t="s">
        <v>67</v>
      </c>
      <c r="Q1026" t="e">
        <f xml:space="preserve">
_xlfn.XLOOKUP(
tbl_encuesta[[#This Row],[Mi supervisor o jefe directo nos brinda charlas de 5 minutos y comunica las novedades relevantes a mi puesto de trabajo]],#REF!,#REF!
)</f>
        <v>#REF!</v>
      </c>
      <c r="R1026" t="s">
        <v>17</v>
      </c>
      <c r="W1026" t="s">
        <v>25</v>
      </c>
      <c r="X1026" t="s">
        <v>23</v>
      </c>
      <c r="Y1026" t="e">
        <f>+_xlfn.XLOOKUP(tbl_encuesta[[#This Row],[Considero a Limtek como un buen lugar para trabajar]],#REF!,#REF!)</f>
        <v>#REF!</v>
      </c>
      <c r="Z1026" t="s">
        <v>2591</v>
      </c>
      <c r="AA1026" t="s">
        <v>2592</v>
      </c>
      <c r="AB1026" t="s">
        <v>28</v>
      </c>
      <c r="AC1026" t="s">
        <v>3592</v>
      </c>
      <c r="AD1026" t="s">
        <v>2593</v>
      </c>
      <c r="AE1026" t="s">
        <v>69</v>
      </c>
    </row>
    <row r="1027" spans="1:31" x14ac:dyDescent="0.25">
      <c r="A1027">
        <v>119026785037</v>
      </c>
      <c r="B1027">
        <v>462598545</v>
      </c>
      <c r="C1027" s="1">
        <v>46017.556041666663</v>
      </c>
      <c r="D1027" s="1">
        <v>46017.558854166666</v>
      </c>
      <c r="E1027" t="s">
        <v>2594</v>
      </c>
      <c r="F1027" t="s">
        <v>22</v>
      </c>
      <c r="G1027" t="e">
        <f>+_xlfn.XLOOKUP(tbl_encuesta[[#This Row],[Me siento a gusto con el ambiente de trabajo que se genera en mi equipo.]],#REF!,#REF!)</f>
        <v>#REF!</v>
      </c>
      <c r="H1027" t="s">
        <v>23</v>
      </c>
      <c r="I1027" t="e">
        <f>+_xlfn.XLOOKUP(tbl_encuesta[[#This Row],[Me siento motivado a dar lo mejor de mí y hacer un buen trabajo]],#REF!,#REF!)</f>
        <v>#REF!</v>
      </c>
      <c r="J1027" t="s">
        <v>97</v>
      </c>
      <c r="K1027" t="e">
        <f>+_xlfn.XLOOKUP(tbl_encuesta[[#This Row],[Mi supervisor o jefe directo me otorga el soporte que necesito para afrontar cualquier problema que afecte mi trabajo]],#REF!,#REF!)</f>
        <v>#REF!</v>
      </c>
      <c r="L1027" t="s">
        <v>23</v>
      </c>
      <c r="M1027" t="e">
        <f>+_xlfn.XLOOKUP(tbl_encuesta[[#This Row],[Mi supervisor o jefe directo fomenta que nos apoyemos entre todos en el equipo]],#REF!,#REF!)</f>
        <v>#REF!</v>
      </c>
      <c r="N1027" t="s">
        <v>22</v>
      </c>
      <c r="O1027" t="e">
        <f>+_xlfn.XLOOKUP(tbl_encuesta[[#This Row],[Siento que mi trabajo es reconocido por mi supervisor o jefe directo.]],#REF!,#REF!)</f>
        <v>#REF!</v>
      </c>
      <c r="P1027" t="s">
        <v>67</v>
      </c>
      <c r="Q1027" t="e">
        <f xml:space="preserve">
_xlfn.XLOOKUP(
tbl_encuesta[[#This Row],[Mi supervisor o jefe directo nos brinda charlas de 5 minutos y comunica las novedades relevantes a mi puesto de trabajo]],#REF!,#REF!
)</f>
        <v>#REF!</v>
      </c>
      <c r="R1027" t="s">
        <v>17</v>
      </c>
      <c r="W1027" t="s">
        <v>25</v>
      </c>
      <c r="X1027" t="s">
        <v>23</v>
      </c>
      <c r="Y1027" t="e">
        <f>+_xlfn.XLOOKUP(tbl_encuesta[[#This Row],[Considero a Limtek como un buen lugar para trabajar]],#REF!,#REF!)</f>
        <v>#REF!</v>
      </c>
      <c r="Z1027" t="s">
        <v>2595</v>
      </c>
      <c r="AA1027" t="s">
        <v>1352</v>
      </c>
      <c r="AB1027" t="s">
        <v>28</v>
      </c>
      <c r="AC1027" t="s">
        <v>3744</v>
      </c>
      <c r="AD1027" t="s">
        <v>3744</v>
      </c>
      <c r="AE1027" t="s">
        <v>69</v>
      </c>
    </row>
    <row r="1028" spans="1:31" x14ac:dyDescent="0.25">
      <c r="A1028">
        <v>119026784818</v>
      </c>
      <c r="B1028">
        <v>462598545</v>
      </c>
      <c r="C1028" s="1">
        <v>46017.556504629632</v>
      </c>
      <c r="D1028" s="1">
        <v>46017.558425925927</v>
      </c>
      <c r="E1028" t="s">
        <v>2596</v>
      </c>
      <c r="F1028" t="s">
        <v>23</v>
      </c>
      <c r="G1028" t="e">
        <f>+_xlfn.XLOOKUP(tbl_encuesta[[#This Row],[Me siento a gusto con el ambiente de trabajo que se genera en mi equipo.]],#REF!,#REF!)</f>
        <v>#REF!</v>
      </c>
      <c r="H1028" t="s">
        <v>22</v>
      </c>
      <c r="I1028" t="e">
        <f>+_xlfn.XLOOKUP(tbl_encuesta[[#This Row],[Me siento motivado a dar lo mejor de mí y hacer un buen trabajo]],#REF!,#REF!)</f>
        <v>#REF!</v>
      </c>
      <c r="J1028" t="s">
        <v>22</v>
      </c>
      <c r="K1028" t="e">
        <f>+_xlfn.XLOOKUP(tbl_encuesta[[#This Row],[Mi supervisor o jefe directo me otorga el soporte que necesito para afrontar cualquier problema que afecte mi trabajo]],#REF!,#REF!)</f>
        <v>#REF!</v>
      </c>
      <c r="L1028" t="s">
        <v>22</v>
      </c>
      <c r="M1028" t="e">
        <f>+_xlfn.XLOOKUP(tbl_encuesta[[#This Row],[Mi supervisor o jefe directo fomenta que nos apoyemos entre todos en el equipo]],#REF!,#REF!)</f>
        <v>#REF!</v>
      </c>
      <c r="N1028" t="s">
        <v>22</v>
      </c>
      <c r="O1028" t="e">
        <f>+_xlfn.XLOOKUP(tbl_encuesta[[#This Row],[Siento que mi trabajo es reconocido por mi supervisor o jefe directo.]],#REF!,#REF!)</f>
        <v>#REF!</v>
      </c>
      <c r="P1028" t="s">
        <v>67</v>
      </c>
      <c r="Q1028" t="e">
        <f xml:space="preserve">
_xlfn.XLOOKUP(
tbl_encuesta[[#This Row],[Mi supervisor o jefe directo nos brinda charlas de 5 minutos y comunica las novedades relevantes a mi puesto de trabajo]],#REF!,#REF!
)</f>
        <v>#REF!</v>
      </c>
      <c r="U1028" t="s">
        <v>20</v>
      </c>
      <c r="W1028" t="s">
        <v>25</v>
      </c>
      <c r="X1028" t="s">
        <v>22</v>
      </c>
      <c r="Y1028" t="e">
        <f>+_xlfn.XLOOKUP(tbl_encuesta[[#This Row],[Considero a Limtek como un buen lugar para trabajar]],#REF!,#REF!)</f>
        <v>#REF!</v>
      </c>
      <c r="Z1028" t="s">
        <v>2597</v>
      </c>
      <c r="AA1028" t="s">
        <v>2598</v>
      </c>
      <c r="AB1028" t="s">
        <v>28</v>
      </c>
      <c r="AC1028" t="s">
        <v>3592</v>
      </c>
      <c r="AD1028" t="s">
        <v>2342</v>
      </c>
      <c r="AE1028" t="s">
        <v>69</v>
      </c>
    </row>
    <row r="1029" spans="1:31" x14ac:dyDescent="0.25">
      <c r="A1029">
        <v>119026784366</v>
      </c>
      <c r="B1029">
        <v>462598545</v>
      </c>
      <c r="C1029" s="1">
        <v>46017.553043981483</v>
      </c>
      <c r="D1029" s="1">
        <v>46017.55746527778</v>
      </c>
      <c r="E1029" t="s">
        <v>2599</v>
      </c>
      <c r="F1029" t="s">
        <v>22</v>
      </c>
      <c r="G1029" t="e">
        <f>+_xlfn.XLOOKUP(tbl_encuesta[[#This Row],[Me siento a gusto con el ambiente de trabajo que se genera en mi equipo.]],#REF!,#REF!)</f>
        <v>#REF!</v>
      </c>
      <c r="H1029" t="s">
        <v>23</v>
      </c>
      <c r="I1029" t="e">
        <f>+_xlfn.XLOOKUP(tbl_encuesta[[#This Row],[Me siento motivado a dar lo mejor de mí y hacer un buen trabajo]],#REF!,#REF!)</f>
        <v>#REF!</v>
      </c>
      <c r="J1029" t="s">
        <v>22</v>
      </c>
      <c r="K1029" t="e">
        <f>+_xlfn.XLOOKUP(tbl_encuesta[[#This Row],[Mi supervisor o jefe directo me otorga el soporte que necesito para afrontar cualquier problema que afecte mi trabajo]],#REF!,#REF!)</f>
        <v>#REF!</v>
      </c>
      <c r="L1029" t="s">
        <v>97</v>
      </c>
      <c r="M1029" t="e">
        <f>+_xlfn.XLOOKUP(tbl_encuesta[[#This Row],[Mi supervisor o jefe directo fomenta que nos apoyemos entre todos en el equipo]],#REF!,#REF!)</f>
        <v>#REF!</v>
      </c>
      <c r="N1029" t="s">
        <v>22</v>
      </c>
      <c r="O1029" t="e">
        <f>+_xlfn.XLOOKUP(tbl_encuesta[[#This Row],[Siento que mi trabajo es reconocido por mi supervisor o jefe directo.]],#REF!,#REF!)</f>
        <v>#REF!</v>
      </c>
      <c r="P1029" t="s">
        <v>67</v>
      </c>
      <c r="Q1029" t="e">
        <f xml:space="preserve">
_xlfn.XLOOKUP(
tbl_encuesta[[#This Row],[Mi supervisor o jefe directo nos brinda charlas de 5 minutos y comunica las novedades relevantes a mi puesto de trabajo]],#REF!,#REF!
)</f>
        <v>#REF!</v>
      </c>
      <c r="R1029" t="s">
        <v>17</v>
      </c>
      <c r="S1029" t="s">
        <v>18</v>
      </c>
      <c r="W1029" t="s">
        <v>25</v>
      </c>
      <c r="X1029" t="s">
        <v>22</v>
      </c>
      <c r="Y1029" t="e">
        <f>+_xlfn.XLOOKUP(tbl_encuesta[[#This Row],[Considero a Limtek como un buen lugar para trabajar]],#REF!,#REF!)</f>
        <v>#REF!</v>
      </c>
      <c r="Z1029" t="s">
        <v>576</v>
      </c>
      <c r="AA1029" t="s">
        <v>50</v>
      </c>
      <c r="AB1029" t="s">
        <v>28</v>
      </c>
      <c r="AC1029" s="3" t="s">
        <v>3766</v>
      </c>
      <c r="AD1029" s="3" t="s">
        <v>3709</v>
      </c>
      <c r="AE1029" t="s">
        <v>29</v>
      </c>
    </row>
    <row r="1030" spans="1:31" x14ac:dyDescent="0.25">
      <c r="A1030">
        <v>119026784224</v>
      </c>
      <c r="B1030">
        <v>462598545</v>
      </c>
      <c r="C1030" s="1">
        <v>46017.549016203702</v>
      </c>
      <c r="D1030" s="1">
        <v>46017.557175925926</v>
      </c>
      <c r="E1030" t="s">
        <v>2400</v>
      </c>
      <c r="F1030" t="s">
        <v>23</v>
      </c>
      <c r="G1030" t="e">
        <f>+_xlfn.XLOOKUP(tbl_encuesta[[#This Row],[Me siento a gusto con el ambiente de trabajo que se genera en mi equipo.]],#REF!,#REF!)</f>
        <v>#REF!</v>
      </c>
      <c r="H1030" t="s">
        <v>23</v>
      </c>
      <c r="I1030" t="e">
        <f>+_xlfn.XLOOKUP(tbl_encuesta[[#This Row],[Me siento motivado a dar lo mejor de mí y hacer un buen trabajo]],#REF!,#REF!)</f>
        <v>#REF!</v>
      </c>
      <c r="J1030" t="s">
        <v>97</v>
      </c>
      <c r="K1030" t="e">
        <f>+_xlfn.XLOOKUP(tbl_encuesta[[#This Row],[Mi supervisor o jefe directo me otorga el soporte que necesito para afrontar cualquier problema que afecte mi trabajo]],#REF!,#REF!)</f>
        <v>#REF!</v>
      </c>
      <c r="L1030" t="s">
        <v>22</v>
      </c>
      <c r="M1030" t="e">
        <f>+_xlfn.XLOOKUP(tbl_encuesta[[#This Row],[Mi supervisor o jefe directo fomenta que nos apoyemos entre todos en el equipo]],#REF!,#REF!)</f>
        <v>#REF!</v>
      </c>
      <c r="N1030" t="s">
        <v>97</v>
      </c>
      <c r="O1030" t="e">
        <f>+_xlfn.XLOOKUP(tbl_encuesta[[#This Row],[Siento que mi trabajo es reconocido por mi supervisor o jefe directo.]],#REF!,#REF!)</f>
        <v>#REF!</v>
      </c>
      <c r="P1030" t="s">
        <v>67</v>
      </c>
      <c r="Q1030" t="e">
        <f xml:space="preserve">
_xlfn.XLOOKUP(
tbl_encuesta[[#This Row],[Mi supervisor o jefe directo nos brinda charlas de 5 minutos y comunica las novedades relevantes a mi puesto de trabajo]],#REF!,#REF!
)</f>
        <v>#REF!</v>
      </c>
      <c r="R1030" t="s">
        <v>17</v>
      </c>
      <c r="S1030" t="s">
        <v>18</v>
      </c>
      <c r="W1030" t="s">
        <v>25</v>
      </c>
      <c r="X1030" t="s">
        <v>23</v>
      </c>
      <c r="Y1030" t="e">
        <f>+_xlfn.XLOOKUP(tbl_encuesta[[#This Row],[Considero a Limtek como un buen lugar para trabajar]],#REF!,#REF!)</f>
        <v>#REF!</v>
      </c>
      <c r="Z1030" t="s">
        <v>2600</v>
      </c>
      <c r="AA1030" t="s">
        <v>2601</v>
      </c>
      <c r="AB1030" t="s">
        <v>28</v>
      </c>
      <c r="AC1030" t="s">
        <v>3744</v>
      </c>
      <c r="AD1030" t="s">
        <v>3744</v>
      </c>
      <c r="AE1030" t="s">
        <v>61</v>
      </c>
    </row>
    <row r="1031" spans="1:31" x14ac:dyDescent="0.25">
      <c r="A1031">
        <v>119026783750</v>
      </c>
      <c r="B1031">
        <v>462598545</v>
      </c>
      <c r="C1031" s="1">
        <v>46017.553240740737</v>
      </c>
      <c r="D1031" s="1">
        <v>46017.556250000001</v>
      </c>
      <c r="E1031" t="s">
        <v>2602</v>
      </c>
      <c r="F1031" t="s">
        <v>23</v>
      </c>
      <c r="G1031" t="e">
        <f>+_xlfn.XLOOKUP(tbl_encuesta[[#This Row],[Me siento a gusto con el ambiente de trabajo que se genera en mi equipo.]],#REF!,#REF!)</f>
        <v>#REF!</v>
      </c>
      <c r="H1031" t="s">
        <v>23</v>
      </c>
      <c r="I1031" t="e">
        <f>+_xlfn.XLOOKUP(tbl_encuesta[[#This Row],[Me siento motivado a dar lo mejor de mí y hacer un buen trabajo]],#REF!,#REF!)</f>
        <v>#REF!</v>
      </c>
      <c r="J1031" t="s">
        <v>23</v>
      </c>
      <c r="K1031" t="e">
        <f>+_xlfn.XLOOKUP(tbl_encuesta[[#This Row],[Mi supervisor o jefe directo me otorga el soporte que necesito para afrontar cualquier problema que afecte mi trabajo]],#REF!,#REF!)</f>
        <v>#REF!</v>
      </c>
      <c r="L1031" t="s">
        <v>23</v>
      </c>
      <c r="M1031" t="e">
        <f>+_xlfn.XLOOKUP(tbl_encuesta[[#This Row],[Mi supervisor o jefe directo fomenta que nos apoyemos entre todos en el equipo]],#REF!,#REF!)</f>
        <v>#REF!</v>
      </c>
      <c r="N1031" t="s">
        <v>23</v>
      </c>
      <c r="O1031" t="e">
        <f>+_xlfn.XLOOKUP(tbl_encuesta[[#This Row],[Siento que mi trabajo es reconocido por mi supervisor o jefe directo.]],#REF!,#REF!)</f>
        <v>#REF!</v>
      </c>
      <c r="P1031" t="s">
        <v>31</v>
      </c>
      <c r="Q1031" t="e">
        <f xml:space="preserve">
_xlfn.XLOOKUP(
tbl_encuesta[[#This Row],[Mi supervisor o jefe directo nos brinda charlas de 5 minutos y comunica las novedades relevantes a mi puesto de trabajo]],#REF!,#REF!
)</f>
        <v>#REF!</v>
      </c>
      <c r="S1031" t="s">
        <v>18</v>
      </c>
      <c r="T1031" t="s">
        <v>19</v>
      </c>
      <c r="W1031" t="s">
        <v>25</v>
      </c>
      <c r="X1031" t="s">
        <v>23</v>
      </c>
      <c r="Y1031" t="e">
        <f>+_xlfn.XLOOKUP(tbl_encuesta[[#This Row],[Considero a Limtek como un buen lugar para trabajar]],#REF!,#REF!)</f>
        <v>#REF!</v>
      </c>
      <c r="Z1031" t="s">
        <v>135</v>
      </c>
      <c r="AA1031" t="s">
        <v>1582</v>
      </c>
      <c r="AB1031" t="s">
        <v>28</v>
      </c>
      <c r="AC1031" t="s">
        <v>3744</v>
      </c>
      <c r="AD1031" t="s">
        <v>3744</v>
      </c>
      <c r="AE1031" t="s">
        <v>69</v>
      </c>
    </row>
    <row r="1032" spans="1:31" x14ac:dyDescent="0.25">
      <c r="A1032">
        <v>119026783627</v>
      </c>
      <c r="B1032">
        <v>462598545</v>
      </c>
      <c r="C1032" s="1">
        <v>46017.554988425924</v>
      </c>
      <c r="D1032" s="1">
        <v>46017.555972222224</v>
      </c>
      <c r="E1032" t="s">
        <v>2603</v>
      </c>
      <c r="F1032" t="s">
        <v>23</v>
      </c>
      <c r="G1032" t="e">
        <f>+_xlfn.XLOOKUP(tbl_encuesta[[#This Row],[Me siento a gusto con el ambiente de trabajo que se genera en mi equipo.]],#REF!,#REF!)</f>
        <v>#REF!</v>
      </c>
      <c r="H1032" t="s">
        <v>23</v>
      </c>
      <c r="I1032" t="e">
        <f>+_xlfn.XLOOKUP(tbl_encuesta[[#This Row],[Me siento motivado a dar lo mejor de mí y hacer un buen trabajo]],#REF!,#REF!)</f>
        <v>#REF!</v>
      </c>
      <c r="J1032" t="s">
        <v>23</v>
      </c>
      <c r="K1032" t="e">
        <f>+_xlfn.XLOOKUP(tbl_encuesta[[#This Row],[Mi supervisor o jefe directo me otorga el soporte que necesito para afrontar cualquier problema que afecte mi trabajo]],#REF!,#REF!)</f>
        <v>#REF!</v>
      </c>
      <c r="L1032" t="s">
        <v>23</v>
      </c>
      <c r="M1032" t="e">
        <f>+_xlfn.XLOOKUP(tbl_encuesta[[#This Row],[Mi supervisor o jefe directo fomenta que nos apoyemos entre todos en el equipo]],#REF!,#REF!)</f>
        <v>#REF!</v>
      </c>
      <c r="N1032" t="s">
        <v>23</v>
      </c>
      <c r="O1032" t="e">
        <f>+_xlfn.XLOOKUP(tbl_encuesta[[#This Row],[Siento que mi trabajo es reconocido por mi supervisor o jefe directo.]],#REF!,#REF!)</f>
        <v>#REF!</v>
      </c>
      <c r="P1032" t="s">
        <v>31</v>
      </c>
      <c r="Q1032" t="e">
        <f xml:space="preserve">
_xlfn.XLOOKUP(
tbl_encuesta[[#This Row],[Mi supervisor o jefe directo nos brinda charlas de 5 minutos y comunica las novedades relevantes a mi puesto de trabajo]],#REF!,#REF!
)</f>
        <v>#REF!</v>
      </c>
      <c r="S1032" t="s">
        <v>18</v>
      </c>
      <c r="W1032" t="s">
        <v>25</v>
      </c>
      <c r="X1032" t="s">
        <v>23</v>
      </c>
      <c r="Y1032" t="e">
        <f>+_xlfn.XLOOKUP(tbl_encuesta[[#This Row],[Considero a Limtek como un buen lugar para trabajar]],#REF!,#REF!)</f>
        <v>#REF!</v>
      </c>
      <c r="Z1032" t="s">
        <v>2604</v>
      </c>
      <c r="AA1032" t="s">
        <v>2605</v>
      </c>
      <c r="AB1032" t="s">
        <v>28</v>
      </c>
      <c r="AC1032" t="s">
        <v>3592</v>
      </c>
      <c r="AD1032" t="s">
        <v>2606</v>
      </c>
      <c r="AE1032" t="s">
        <v>69</v>
      </c>
    </row>
    <row r="1033" spans="1:31" x14ac:dyDescent="0.25">
      <c r="A1033">
        <v>119026783201</v>
      </c>
      <c r="B1033">
        <v>462598545</v>
      </c>
      <c r="C1033" s="1">
        <v>46017.552685185183</v>
      </c>
      <c r="D1033" s="1">
        <v>46017.555</v>
      </c>
      <c r="E1033" t="s">
        <v>2607</v>
      </c>
      <c r="F1033" t="s">
        <v>43</v>
      </c>
      <c r="G1033" t="e">
        <f>+_xlfn.XLOOKUP(tbl_encuesta[[#This Row],[Me siento a gusto con el ambiente de trabajo que se genera en mi equipo.]],#REF!,#REF!)</f>
        <v>#REF!</v>
      </c>
      <c r="H1033" t="s">
        <v>43</v>
      </c>
      <c r="I1033" t="e">
        <f>+_xlfn.XLOOKUP(tbl_encuesta[[#This Row],[Me siento motivado a dar lo mejor de mí y hacer un buen trabajo]],#REF!,#REF!)</f>
        <v>#REF!</v>
      </c>
      <c r="J1033" t="s">
        <v>43</v>
      </c>
      <c r="K1033" t="e">
        <f>+_xlfn.XLOOKUP(tbl_encuesta[[#This Row],[Mi supervisor o jefe directo me otorga el soporte que necesito para afrontar cualquier problema que afecte mi trabajo]],#REF!,#REF!)</f>
        <v>#REF!</v>
      </c>
      <c r="L1033" t="s">
        <v>23</v>
      </c>
      <c r="M1033" t="e">
        <f>+_xlfn.XLOOKUP(tbl_encuesta[[#This Row],[Mi supervisor o jefe directo fomenta que nos apoyemos entre todos en el equipo]],#REF!,#REF!)</f>
        <v>#REF!</v>
      </c>
      <c r="N1033" t="s">
        <v>43</v>
      </c>
      <c r="O1033" t="e">
        <f>+_xlfn.XLOOKUP(tbl_encuesta[[#This Row],[Siento que mi trabajo es reconocido por mi supervisor o jefe directo.]],#REF!,#REF!)</f>
        <v>#REF!</v>
      </c>
      <c r="P1033" t="s">
        <v>175</v>
      </c>
      <c r="Q1033" t="e">
        <f xml:space="preserve">
_xlfn.XLOOKUP(
tbl_encuesta[[#This Row],[Mi supervisor o jefe directo nos brinda charlas de 5 minutos y comunica las novedades relevantes a mi puesto de trabajo]],#REF!,#REF!
)</f>
        <v>#REF!</v>
      </c>
      <c r="V1033" t="s">
        <v>2608</v>
      </c>
      <c r="W1033" t="s">
        <v>25</v>
      </c>
      <c r="X1033" t="s">
        <v>97</v>
      </c>
      <c r="Y1033" t="e">
        <f>+_xlfn.XLOOKUP(tbl_encuesta[[#This Row],[Considero a Limtek como un buen lugar para trabajar]],#REF!,#REF!)</f>
        <v>#REF!</v>
      </c>
      <c r="Z1033" t="s">
        <v>576</v>
      </c>
      <c r="AA1033" t="s">
        <v>44</v>
      </c>
      <c r="AB1033" t="s">
        <v>28</v>
      </c>
      <c r="AC1033" t="s">
        <v>3744</v>
      </c>
      <c r="AD1033" t="s">
        <v>3744</v>
      </c>
      <c r="AE1033" t="s">
        <v>69</v>
      </c>
    </row>
    <row r="1034" spans="1:31" x14ac:dyDescent="0.25">
      <c r="A1034">
        <v>119026783007</v>
      </c>
      <c r="B1034">
        <v>462598545</v>
      </c>
      <c r="C1034" s="1">
        <v>46017.550532407404</v>
      </c>
      <c r="D1034" s="1">
        <v>46017.554594907408</v>
      </c>
      <c r="E1034" t="s">
        <v>2603</v>
      </c>
      <c r="F1034" t="s">
        <v>23</v>
      </c>
      <c r="G1034" t="e">
        <f>+_xlfn.XLOOKUP(tbl_encuesta[[#This Row],[Me siento a gusto con el ambiente de trabajo que se genera en mi equipo.]],#REF!,#REF!)</f>
        <v>#REF!</v>
      </c>
      <c r="H1034" t="s">
        <v>23</v>
      </c>
      <c r="I1034" t="e">
        <f>+_xlfn.XLOOKUP(tbl_encuesta[[#This Row],[Me siento motivado a dar lo mejor de mí y hacer un buen trabajo]],#REF!,#REF!)</f>
        <v>#REF!</v>
      </c>
      <c r="J1034" t="s">
        <v>23</v>
      </c>
      <c r="K1034" t="e">
        <f>+_xlfn.XLOOKUP(tbl_encuesta[[#This Row],[Mi supervisor o jefe directo me otorga el soporte que necesito para afrontar cualquier problema que afecte mi trabajo]],#REF!,#REF!)</f>
        <v>#REF!</v>
      </c>
      <c r="L1034" t="s">
        <v>23</v>
      </c>
      <c r="M1034" t="e">
        <f>+_xlfn.XLOOKUP(tbl_encuesta[[#This Row],[Mi supervisor o jefe directo fomenta que nos apoyemos entre todos en el equipo]],#REF!,#REF!)</f>
        <v>#REF!</v>
      </c>
      <c r="N1034" t="s">
        <v>23</v>
      </c>
      <c r="O1034" t="e">
        <f>+_xlfn.XLOOKUP(tbl_encuesta[[#This Row],[Siento que mi trabajo es reconocido por mi supervisor o jefe directo.]],#REF!,#REF!)</f>
        <v>#REF!</v>
      </c>
      <c r="P1034" t="s">
        <v>67</v>
      </c>
      <c r="Q1034" t="e">
        <f xml:space="preserve">
_xlfn.XLOOKUP(
tbl_encuesta[[#This Row],[Mi supervisor o jefe directo nos brinda charlas de 5 minutos y comunica las novedades relevantes a mi puesto de trabajo]],#REF!,#REF!
)</f>
        <v>#REF!</v>
      </c>
      <c r="S1034" t="s">
        <v>18</v>
      </c>
      <c r="W1034" t="s">
        <v>25</v>
      </c>
      <c r="X1034" t="s">
        <v>23</v>
      </c>
      <c r="Y1034" t="e">
        <f>+_xlfn.XLOOKUP(tbl_encuesta[[#This Row],[Considero a Limtek como un buen lugar para trabajar]],#REF!,#REF!)</f>
        <v>#REF!</v>
      </c>
      <c r="Z1034" t="s">
        <v>2604</v>
      </c>
      <c r="AA1034" t="s">
        <v>2605</v>
      </c>
      <c r="AB1034" t="s">
        <v>28</v>
      </c>
      <c r="AC1034" t="s">
        <v>3592</v>
      </c>
      <c r="AD1034" t="s">
        <v>60</v>
      </c>
      <c r="AE1034" t="s">
        <v>69</v>
      </c>
    </row>
    <row r="1035" spans="1:31" x14ac:dyDescent="0.25">
      <c r="A1035">
        <v>119026782833</v>
      </c>
      <c r="B1035">
        <v>462598545</v>
      </c>
      <c r="C1035" s="1">
        <v>46017.550509259258</v>
      </c>
      <c r="D1035" s="1">
        <v>46017.554282407407</v>
      </c>
      <c r="E1035" t="s">
        <v>2609</v>
      </c>
      <c r="F1035" t="s">
        <v>23</v>
      </c>
      <c r="G1035" t="e">
        <f>+_xlfn.XLOOKUP(tbl_encuesta[[#This Row],[Me siento a gusto con el ambiente de trabajo que se genera en mi equipo.]],#REF!,#REF!)</f>
        <v>#REF!</v>
      </c>
      <c r="H1035" t="s">
        <v>23</v>
      </c>
      <c r="I1035" t="e">
        <f>+_xlfn.XLOOKUP(tbl_encuesta[[#This Row],[Me siento motivado a dar lo mejor de mí y hacer un buen trabajo]],#REF!,#REF!)</f>
        <v>#REF!</v>
      </c>
      <c r="J1035" t="s">
        <v>23</v>
      </c>
      <c r="K1035" t="e">
        <f>+_xlfn.XLOOKUP(tbl_encuesta[[#This Row],[Mi supervisor o jefe directo me otorga el soporte que necesito para afrontar cualquier problema que afecte mi trabajo]],#REF!,#REF!)</f>
        <v>#REF!</v>
      </c>
      <c r="L1035" t="s">
        <v>23</v>
      </c>
      <c r="M1035" t="e">
        <f>+_xlfn.XLOOKUP(tbl_encuesta[[#This Row],[Mi supervisor o jefe directo fomenta que nos apoyemos entre todos en el equipo]],#REF!,#REF!)</f>
        <v>#REF!</v>
      </c>
      <c r="N1035" t="s">
        <v>23</v>
      </c>
      <c r="O1035" t="e">
        <f>+_xlfn.XLOOKUP(tbl_encuesta[[#This Row],[Siento que mi trabajo es reconocido por mi supervisor o jefe directo.]],#REF!,#REF!)</f>
        <v>#REF!</v>
      </c>
      <c r="P1035" t="s">
        <v>31</v>
      </c>
      <c r="Q1035" t="e">
        <f xml:space="preserve">
_xlfn.XLOOKUP(
tbl_encuesta[[#This Row],[Mi supervisor o jefe directo nos brinda charlas de 5 minutos y comunica las novedades relevantes a mi puesto de trabajo]],#REF!,#REF!
)</f>
        <v>#REF!</v>
      </c>
      <c r="R1035" t="s">
        <v>17</v>
      </c>
      <c r="W1035" t="s">
        <v>25</v>
      </c>
      <c r="X1035" t="s">
        <v>23</v>
      </c>
      <c r="Y1035" t="e">
        <f>+_xlfn.XLOOKUP(tbl_encuesta[[#This Row],[Considero a Limtek como un buen lugar para trabajar]],#REF!,#REF!)</f>
        <v>#REF!</v>
      </c>
      <c r="Z1035" t="s">
        <v>2610</v>
      </c>
      <c r="AA1035" t="s">
        <v>2611</v>
      </c>
      <c r="AB1035" t="s">
        <v>28</v>
      </c>
      <c r="AC1035" t="s">
        <v>3592</v>
      </c>
      <c r="AD1035" t="s">
        <v>359</v>
      </c>
      <c r="AE1035" t="s">
        <v>69</v>
      </c>
    </row>
    <row r="1036" spans="1:31" x14ac:dyDescent="0.25">
      <c r="A1036">
        <v>119026782165</v>
      </c>
      <c r="B1036">
        <v>462598545</v>
      </c>
      <c r="C1036" s="1">
        <v>46017.552094907405</v>
      </c>
      <c r="D1036" s="1">
        <v>46017.552835648145</v>
      </c>
      <c r="E1036" t="s">
        <v>2612</v>
      </c>
      <c r="F1036" t="s">
        <v>23</v>
      </c>
      <c r="G1036" t="e">
        <f>+_xlfn.XLOOKUP(tbl_encuesta[[#This Row],[Me siento a gusto con el ambiente de trabajo que se genera en mi equipo.]],#REF!,#REF!)</f>
        <v>#REF!</v>
      </c>
      <c r="H1036" t="s">
        <v>23</v>
      </c>
      <c r="I1036" t="e">
        <f>+_xlfn.XLOOKUP(tbl_encuesta[[#This Row],[Me siento motivado a dar lo mejor de mí y hacer un buen trabajo]],#REF!,#REF!)</f>
        <v>#REF!</v>
      </c>
      <c r="J1036" t="s">
        <v>23</v>
      </c>
      <c r="K1036" t="e">
        <f>+_xlfn.XLOOKUP(tbl_encuesta[[#This Row],[Mi supervisor o jefe directo me otorga el soporte que necesito para afrontar cualquier problema que afecte mi trabajo]],#REF!,#REF!)</f>
        <v>#REF!</v>
      </c>
      <c r="L1036" t="s">
        <v>23</v>
      </c>
      <c r="M1036" t="e">
        <f>+_xlfn.XLOOKUP(tbl_encuesta[[#This Row],[Mi supervisor o jefe directo fomenta que nos apoyemos entre todos en el equipo]],#REF!,#REF!)</f>
        <v>#REF!</v>
      </c>
      <c r="N1036" t="s">
        <v>23</v>
      </c>
      <c r="O1036" t="e">
        <f>+_xlfn.XLOOKUP(tbl_encuesta[[#This Row],[Siento que mi trabajo es reconocido por mi supervisor o jefe directo.]],#REF!,#REF!)</f>
        <v>#REF!</v>
      </c>
      <c r="P1036" t="s">
        <v>31</v>
      </c>
      <c r="Q1036" t="e">
        <f xml:space="preserve">
_xlfn.XLOOKUP(
tbl_encuesta[[#This Row],[Mi supervisor o jefe directo nos brinda charlas de 5 minutos y comunica las novedades relevantes a mi puesto de trabajo]],#REF!,#REF!
)</f>
        <v>#REF!</v>
      </c>
      <c r="S1036" t="s">
        <v>18</v>
      </c>
      <c r="W1036" t="s">
        <v>25</v>
      </c>
      <c r="X1036" t="s">
        <v>23</v>
      </c>
      <c r="Y1036" t="e">
        <f>+_xlfn.XLOOKUP(tbl_encuesta[[#This Row],[Considero a Limtek como un buen lugar para trabajar]],#REF!,#REF!)</f>
        <v>#REF!</v>
      </c>
      <c r="Z1036" t="s">
        <v>2613</v>
      </c>
      <c r="AA1036" t="s">
        <v>2614</v>
      </c>
      <c r="AB1036" t="s">
        <v>28</v>
      </c>
      <c r="AC1036" s="3" t="s">
        <v>3736</v>
      </c>
      <c r="AD1036" s="3" t="s">
        <v>3736</v>
      </c>
      <c r="AE1036" t="s">
        <v>69</v>
      </c>
    </row>
    <row r="1037" spans="1:31" x14ac:dyDescent="0.25">
      <c r="A1037">
        <v>119026782030</v>
      </c>
      <c r="B1037">
        <v>462598545</v>
      </c>
      <c r="C1037" s="1">
        <v>46017.539236111108</v>
      </c>
      <c r="D1037" s="1">
        <v>46017.552511574075</v>
      </c>
      <c r="E1037" t="s">
        <v>2615</v>
      </c>
      <c r="F1037" t="s">
        <v>23</v>
      </c>
      <c r="G1037" t="e">
        <f>+_xlfn.XLOOKUP(tbl_encuesta[[#This Row],[Me siento a gusto con el ambiente de trabajo que se genera en mi equipo.]],#REF!,#REF!)</f>
        <v>#REF!</v>
      </c>
      <c r="H1037" t="s">
        <v>23</v>
      </c>
      <c r="I1037" t="e">
        <f>+_xlfn.XLOOKUP(tbl_encuesta[[#This Row],[Me siento motivado a dar lo mejor de mí y hacer un buen trabajo]],#REF!,#REF!)</f>
        <v>#REF!</v>
      </c>
      <c r="J1037" t="s">
        <v>23</v>
      </c>
      <c r="K1037" t="e">
        <f>+_xlfn.XLOOKUP(tbl_encuesta[[#This Row],[Mi supervisor o jefe directo me otorga el soporte que necesito para afrontar cualquier problema que afecte mi trabajo]],#REF!,#REF!)</f>
        <v>#REF!</v>
      </c>
      <c r="L1037" t="s">
        <v>23</v>
      </c>
      <c r="M1037" t="e">
        <f>+_xlfn.XLOOKUP(tbl_encuesta[[#This Row],[Mi supervisor o jefe directo fomenta que nos apoyemos entre todos en el equipo]],#REF!,#REF!)</f>
        <v>#REF!</v>
      </c>
      <c r="N1037" t="s">
        <v>23</v>
      </c>
      <c r="O1037" t="e">
        <f>+_xlfn.XLOOKUP(tbl_encuesta[[#This Row],[Siento que mi trabajo es reconocido por mi supervisor o jefe directo.]],#REF!,#REF!)</f>
        <v>#REF!</v>
      </c>
      <c r="P1037" t="s">
        <v>31</v>
      </c>
      <c r="Q1037" t="e">
        <f xml:space="preserve">
_xlfn.XLOOKUP(
tbl_encuesta[[#This Row],[Mi supervisor o jefe directo nos brinda charlas de 5 minutos y comunica las novedades relevantes a mi puesto de trabajo]],#REF!,#REF!
)</f>
        <v>#REF!</v>
      </c>
      <c r="U1037" t="s">
        <v>20</v>
      </c>
      <c r="W1037" t="s">
        <v>25</v>
      </c>
      <c r="X1037" t="s">
        <v>23</v>
      </c>
      <c r="Y1037" t="e">
        <f>+_xlfn.XLOOKUP(tbl_encuesta[[#This Row],[Considero a Limtek como un buen lugar para trabajar]],#REF!,#REF!)</f>
        <v>#REF!</v>
      </c>
      <c r="Z1037" t="s">
        <v>2616</v>
      </c>
      <c r="AA1037" t="s">
        <v>2617</v>
      </c>
      <c r="AB1037" t="s">
        <v>72</v>
      </c>
      <c r="AC1037" s="3" t="s">
        <v>3845</v>
      </c>
      <c r="AD1037" s="3" t="s">
        <v>3846</v>
      </c>
      <c r="AE1037" t="s">
        <v>29</v>
      </c>
    </row>
    <row r="1038" spans="1:31" x14ac:dyDescent="0.25">
      <c r="A1038">
        <v>119026781416</v>
      </c>
      <c r="B1038">
        <v>462598545</v>
      </c>
      <c r="C1038" s="1">
        <v>46017.547789351855</v>
      </c>
      <c r="D1038" s="1">
        <v>46017.551226851851</v>
      </c>
      <c r="E1038" t="s">
        <v>2618</v>
      </c>
      <c r="F1038" t="s">
        <v>23</v>
      </c>
      <c r="G1038" t="e">
        <f>+_xlfn.XLOOKUP(tbl_encuesta[[#This Row],[Me siento a gusto con el ambiente de trabajo que se genera en mi equipo.]],#REF!,#REF!)</f>
        <v>#REF!</v>
      </c>
      <c r="H1038" t="s">
        <v>23</v>
      </c>
      <c r="I1038" t="e">
        <f>+_xlfn.XLOOKUP(tbl_encuesta[[#This Row],[Me siento motivado a dar lo mejor de mí y hacer un buen trabajo]],#REF!,#REF!)</f>
        <v>#REF!</v>
      </c>
      <c r="J1038" t="s">
        <v>23</v>
      </c>
      <c r="K1038" t="e">
        <f>+_xlfn.XLOOKUP(tbl_encuesta[[#This Row],[Mi supervisor o jefe directo me otorga el soporte que necesito para afrontar cualquier problema que afecte mi trabajo]],#REF!,#REF!)</f>
        <v>#REF!</v>
      </c>
      <c r="L1038" t="s">
        <v>23</v>
      </c>
      <c r="M1038" t="e">
        <f>+_xlfn.XLOOKUP(tbl_encuesta[[#This Row],[Mi supervisor o jefe directo fomenta que nos apoyemos entre todos en el equipo]],#REF!,#REF!)</f>
        <v>#REF!</v>
      </c>
      <c r="N1038" t="s">
        <v>23</v>
      </c>
      <c r="O1038" t="e">
        <f>+_xlfn.XLOOKUP(tbl_encuesta[[#This Row],[Siento que mi trabajo es reconocido por mi supervisor o jefe directo.]],#REF!,#REF!)</f>
        <v>#REF!</v>
      </c>
      <c r="P1038" t="s">
        <v>31</v>
      </c>
      <c r="Q1038" t="e">
        <f xml:space="preserve">
_xlfn.XLOOKUP(
tbl_encuesta[[#This Row],[Mi supervisor o jefe directo nos brinda charlas de 5 minutos y comunica las novedades relevantes a mi puesto de trabajo]],#REF!,#REF!
)</f>
        <v>#REF!</v>
      </c>
      <c r="R1038" t="s">
        <v>17</v>
      </c>
      <c r="S1038" t="s">
        <v>18</v>
      </c>
      <c r="W1038" t="s">
        <v>25</v>
      </c>
      <c r="X1038" t="s">
        <v>23</v>
      </c>
      <c r="Y1038" t="e">
        <f>+_xlfn.XLOOKUP(tbl_encuesta[[#This Row],[Considero a Limtek como un buen lugar para trabajar]],#REF!,#REF!)</f>
        <v>#REF!</v>
      </c>
      <c r="Z1038" t="s">
        <v>193</v>
      </c>
      <c r="AA1038" t="s">
        <v>2619</v>
      </c>
      <c r="AB1038" t="s">
        <v>28</v>
      </c>
      <c r="AC1038" s="3" t="s">
        <v>3766</v>
      </c>
      <c r="AD1038" s="3" t="s">
        <v>3836</v>
      </c>
      <c r="AE1038" t="s">
        <v>69</v>
      </c>
    </row>
    <row r="1039" spans="1:31" x14ac:dyDescent="0.25">
      <c r="A1039">
        <v>119026781403</v>
      </c>
      <c r="B1039">
        <v>462598545</v>
      </c>
      <c r="C1039" s="1">
        <v>46017.548020833332</v>
      </c>
      <c r="D1039" s="1">
        <v>46017.551203703704</v>
      </c>
      <c r="E1039" t="s">
        <v>2620</v>
      </c>
      <c r="F1039" t="s">
        <v>23</v>
      </c>
      <c r="G1039" t="e">
        <f>+_xlfn.XLOOKUP(tbl_encuesta[[#This Row],[Me siento a gusto con el ambiente de trabajo que se genera en mi equipo.]],#REF!,#REF!)</f>
        <v>#REF!</v>
      </c>
      <c r="H1039" t="s">
        <v>23</v>
      </c>
      <c r="I1039" t="e">
        <f>+_xlfn.XLOOKUP(tbl_encuesta[[#This Row],[Me siento motivado a dar lo mejor de mí y hacer un buen trabajo]],#REF!,#REF!)</f>
        <v>#REF!</v>
      </c>
      <c r="J1039" t="s">
        <v>23</v>
      </c>
      <c r="K1039" t="e">
        <f>+_xlfn.XLOOKUP(tbl_encuesta[[#This Row],[Mi supervisor o jefe directo me otorga el soporte que necesito para afrontar cualquier problema que afecte mi trabajo]],#REF!,#REF!)</f>
        <v>#REF!</v>
      </c>
      <c r="L1039" t="s">
        <v>23</v>
      </c>
      <c r="M1039" t="e">
        <f>+_xlfn.XLOOKUP(tbl_encuesta[[#This Row],[Mi supervisor o jefe directo fomenta que nos apoyemos entre todos en el equipo]],#REF!,#REF!)</f>
        <v>#REF!</v>
      </c>
      <c r="N1039" t="s">
        <v>23</v>
      </c>
      <c r="O1039" t="e">
        <f>+_xlfn.XLOOKUP(tbl_encuesta[[#This Row],[Siento que mi trabajo es reconocido por mi supervisor o jefe directo.]],#REF!,#REF!)</f>
        <v>#REF!</v>
      </c>
      <c r="P1039" t="s">
        <v>31</v>
      </c>
      <c r="Q1039" t="e">
        <f xml:space="preserve">
_xlfn.XLOOKUP(
tbl_encuesta[[#This Row],[Mi supervisor o jefe directo nos brinda charlas de 5 minutos y comunica las novedades relevantes a mi puesto de trabajo]],#REF!,#REF!
)</f>
        <v>#REF!</v>
      </c>
      <c r="R1039" t="s">
        <v>17</v>
      </c>
      <c r="S1039" t="s">
        <v>18</v>
      </c>
      <c r="W1039" t="s">
        <v>25</v>
      </c>
      <c r="X1039" t="s">
        <v>23</v>
      </c>
      <c r="Y1039" t="e">
        <f>+_xlfn.XLOOKUP(tbl_encuesta[[#This Row],[Considero a Limtek como un buen lugar para trabajar]],#REF!,#REF!)</f>
        <v>#REF!</v>
      </c>
      <c r="Z1039" t="s">
        <v>1977</v>
      </c>
      <c r="AA1039" t="s">
        <v>2621</v>
      </c>
      <c r="AB1039" t="s">
        <v>28</v>
      </c>
      <c r="AC1039" s="3" t="s">
        <v>3766</v>
      </c>
      <c r="AD1039" s="3" t="s">
        <v>3836</v>
      </c>
      <c r="AE1039" t="s">
        <v>55</v>
      </c>
    </row>
    <row r="1040" spans="1:31" x14ac:dyDescent="0.25">
      <c r="A1040">
        <v>119026781317</v>
      </c>
      <c r="B1040">
        <v>462598545</v>
      </c>
      <c r="C1040" s="1">
        <v>46017.550023148149</v>
      </c>
      <c r="D1040" s="1">
        <v>46017.551006944443</v>
      </c>
      <c r="E1040" t="s">
        <v>2622</v>
      </c>
      <c r="F1040" t="s">
        <v>23</v>
      </c>
      <c r="G1040" t="e">
        <f>+_xlfn.XLOOKUP(tbl_encuesta[[#This Row],[Me siento a gusto con el ambiente de trabajo que se genera en mi equipo.]],#REF!,#REF!)</f>
        <v>#REF!</v>
      </c>
      <c r="H1040" t="s">
        <v>23</v>
      </c>
      <c r="I1040" t="e">
        <f>+_xlfn.XLOOKUP(tbl_encuesta[[#This Row],[Me siento motivado a dar lo mejor de mí y hacer un buen trabajo]],#REF!,#REF!)</f>
        <v>#REF!</v>
      </c>
      <c r="J1040" t="s">
        <v>23</v>
      </c>
      <c r="K1040" t="e">
        <f>+_xlfn.XLOOKUP(tbl_encuesta[[#This Row],[Mi supervisor o jefe directo me otorga el soporte que necesito para afrontar cualquier problema que afecte mi trabajo]],#REF!,#REF!)</f>
        <v>#REF!</v>
      </c>
      <c r="L1040" t="s">
        <v>23</v>
      </c>
      <c r="M1040" t="e">
        <f>+_xlfn.XLOOKUP(tbl_encuesta[[#This Row],[Mi supervisor o jefe directo fomenta que nos apoyemos entre todos en el equipo]],#REF!,#REF!)</f>
        <v>#REF!</v>
      </c>
      <c r="N1040" t="s">
        <v>23</v>
      </c>
      <c r="O1040" t="e">
        <f>+_xlfn.XLOOKUP(tbl_encuesta[[#This Row],[Siento que mi trabajo es reconocido por mi supervisor o jefe directo.]],#REF!,#REF!)</f>
        <v>#REF!</v>
      </c>
      <c r="P1040" t="s">
        <v>31</v>
      </c>
      <c r="Q1040" t="e">
        <f xml:space="preserve">
_xlfn.XLOOKUP(
tbl_encuesta[[#This Row],[Mi supervisor o jefe directo nos brinda charlas de 5 minutos y comunica las novedades relevantes a mi puesto de trabajo]],#REF!,#REF!
)</f>
        <v>#REF!</v>
      </c>
      <c r="R1040" t="s">
        <v>17</v>
      </c>
      <c r="T1040" t="s">
        <v>19</v>
      </c>
      <c r="W1040" t="s">
        <v>25</v>
      </c>
      <c r="X1040" t="s">
        <v>23</v>
      </c>
      <c r="Y1040" t="e">
        <f>+_xlfn.XLOOKUP(tbl_encuesta[[#This Row],[Considero a Limtek como un buen lugar para trabajar]],#REF!,#REF!)</f>
        <v>#REF!</v>
      </c>
      <c r="Z1040" t="s">
        <v>193</v>
      </c>
      <c r="AA1040" t="s">
        <v>2623</v>
      </c>
      <c r="AB1040" t="s">
        <v>28</v>
      </c>
      <c r="AC1040" s="3" t="s">
        <v>3766</v>
      </c>
      <c r="AD1040" s="3" t="s">
        <v>3836</v>
      </c>
      <c r="AE1040" t="s">
        <v>34</v>
      </c>
    </row>
    <row r="1041" spans="1:31" x14ac:dyDescent="0.25">
      <c r="A1041">
        <v>119026781262</v>
      </c>
      <c r="B1041">
        <v>462598545</v>
      </c>
      <c r="C1041" s="1">
        <v>46017.549791666665</v>
      </c>
      <c r="D1041" s="1">
        <v>46017.550879629627</v>
      </c>
      <c r="E1041" t="s">
        <v>2596</v>
      </c>
      <c r="F1041" t="s">
        <v>22</v>
      </c>
      <c r="G1041" t="e">
        <f>+_xlfn.XLOOKUP(tbl_encuesta[[#This Row],[Me siento a gusto con el ambiente de trabajo que se genera en mi equipo.]],#REF!,#REF!)</f>
        <v>#REF!</v>
      </c>
      <c r="H1041" t="s">
        <v>22</v>
      </c>
      <c r="I1041" t="e">
        <f>+_xlfn.XLOOKUP(tbl_encuesta[[#This Row],[Me siento motivado a dar lo mejor de mí y hacer un buen trabajo]],#REF!,#REF!)</f>
        <v>#REF!</v>
      </c>
      <c r="J1041" t="s">
        <v>22</v>
      </c>
      <c r="K1041" t="e">
        <f>+_xlfn.XLOOKUP(tbl_encuesta[[#This Row],[Mi supervisor o jefe directo me otorga el soporte que necesito para afrontar cualquier problema que afecte mi trabajo]],#REF!,#REF!)</f>
        <v>#REF!</v>
      </c>
      <c r="L1041" t="s">
        <v>22</v>
      </c>
      <c r="M1041" t="e">
        <f>+_xlfn.XLOOKUP(tbl_encuesta[[#This Row],[Mi supervisor o jefe directo fomenta que nos apoyemos entre todos en el equipo]],#REF!,#REF!)</f>
        <v>#REF!</v>
      </c>
      <c r="N1041" t="s">
        <v>22</v>
      </c>
      <c r="O1041" t="e">
        <f>+_xlfn.XLOOKUP(tbl_encuesta[[#This Row],[Siento que mi trabajo es reconocido por mi supervisor o jefe directo.]],#REF!,#REF!)</f>
        <v>#REF!</v>
      </c>
      <c r="P1041" t="s">
        <v>67</v>
      </c>
      <c r="Q1041" t="e">
        <f xml:space="preserve">
_xlfn.XLOOKUP(
tbl_encuesta[[#This Row],[Mi supervisor o jefe directo nos brinda charlas de 5 minutos y comunica las novedades relevantes a mi puesto de trabajo]],#REF!,#REF!
)</f>
        <v>#REF!</v>
      </c>
      <c r="R1041" t="s">
        <v>17</v>
      </c>
      <c r="U1041" t="s">
        <v>20</v>
      </c>
      <c r="W1041" t="s">
        <v>25</v>
      </c>
      <c r="X1041" t="s">
        <v>22</v>
      </c>
      <c r="Y1041" t="e">
        <f>+_xlfn.XLOOKUP(tbl_encuesta[[#This Row],[Considero a Limtek como un buen lugar para trabajar]],#REF!,#REF!)</f>
        <v>#REF!</v>
      </c>
      <c r="Z1041" t="s">
        <v>2624</v>
      </c>
      <c r="AA1041" t="s">
        <v>2006</v>
      </c>
      <c r="AB1041" t="s">
        <v>28</v>
      </c>
      <c r="AC1041" t="s">
        <v>3744</v>
      </c>
      <c r="AD1041" t="s">
        <v>3744</v>
      </c>
      <c r="AE1041" t="s">
        <v>69</v>
      </c>
    </row>
    <row r="1042" spans="1:31" x14ac:dyDescent="0.25">
      <c r="A1042">
        <v>119026780889</v>
      </c>
      <c r="B1042">
        <v>462598545</v>
      </c>
      <c r="C1042" s="1">
        <v>46017.540937500002</v>
      </c>
      <c r="D1042" s="1">
        <v>46017.550150462965</v>
      </c>
      <c r="E1042" t="s">
        <v>2625</v>
      </c>
      <c r="F1042" t="s">
        <v>22</v>
      </c>
      <c r="G1042" t="e">
        <f>+_xlfn.XLOOKUP(tbl_encuesta[[#This Row],[Me siento a gusto con el ambiente de trabajo que se genera en mi equipo.]],#REF!,#REF!)</f>
        <v>#REF!</v>
      </c>
      <c r="H1042" t="s">
        <v>23</v>
      </c>
      <c r="I1042" t="e">
        <f>+_xlfn.XLOOKUP(tbl_encuesta[[#This Row],[Me siento motivado a dar lo mejor de mí y hacer un buen trabajo]],#REF!,#REF!)</f>
        <v>#REF!</v>
      </c>
      <c r="J1042" t="s">
        <v>22</v>
      </c>
      <c r="K1042" t="e">
        <f>+_xlfn.XLOOKUP(tbl_encuesta[[#This Row],[Mi supervisor o jefe directo me otorga el soporte que necesito para afrontar cualquier problema que afecte mi trabajo]],#REF!,#REF!)</f>
        <v>#REF!</v>
      </c>
      <c r="L1042" t="s">
        <v>23</v>
      </c>
      <c r="M1042" t="e">
        <f>+_xlfn.XLOOKUP(tbl_encuesta[[#This Row],[Mi supervisor o jefe directo fomenta que nos apoyemos entre todos en el equipo]],#REF!,#REF!)</f>
        <v>#REF!</v>
      </c>
      <c r="N1042" t="s">
        <v>22</v>
      </c>
      <c r="O1042" t="e">
        <f>+_xlfn.XLOOKUP(tbl_encuesta[[#This Row],[Siento que mi trabajo es reconocido por mi supervisor o jefe directo.]],#REF!,#REF!)</f>
        <v>#REF!</v>
      </c>
      <c r="P1042" t="s">
        <v>31</v>
      </c>
      <c r="Q1042" t="e">
        <f xml:space="preserve">
_xlfn.XLOOKUP(
tbl_encuesta[[#This Row],[Mi supervisor o jefe directo nos brinda charlas de 5 minutos y comunica las novedades relevantes a mi puesto de trabajo]],#REF!,#REF!
)</f>
        <v>#REF!</v>
      </c>
      <c r="R1042" t="s">
        <v>17</v>
      </c>
      <c r="U1042" t="s">
        <v>20</v>
      </c>
      <c r="W1042" t="s">
        <v>25</v>
      </c>
      <c r="X1042" t="s">
        <v>22</v>
      </c>
      <c r="Y1042" t="e">
        <f>+_xlfn.XLOOKUP(tbl_encuesta[[#This Row],[Considero a Limtek como un buen lugar para trabajar]],#REF!,#REF!)</f>
        <v>#REF!</v>
      </c>
      <c r="Z1042" t="s">
        <v>2626</v>
      </c>
      <c r="AA1042" t="s">
        <v>2627</v>
      </c>
      <c r="AB1042" t="s">
        <v>28</v>
      </c>
      <c r="AC1042" s="3" t="s">
        <v>3766</v>
      </c>
      <c r="AD1042" s="3" t="s">
        <v>3766</v>
      </c>
      <c r="AE1042" t="s">
        <v>34</v>
      </c>
    </row>
    <row r="1043" spans="1:31" x14ac:dyDescent="0.25">
      <c r="A1043">
        <v>119026780596</v>
      </c>
      <c r="B1043">
        <v>462598545</v>
      </c>
      <c r="C1043" s="1">
        <v>46017.547534722224</v>
      </c>
      <c r="D1043" s="1">
        <v>46017.549502314818</v>
      </c>
      <c r="E1043" t="s">
        <v>2622</v>
      </c>
      <c r="F1043" t="s">
        <v>23</v>
      </c>
      <c r="G1043" t="e">
        <f>+_xlfn.XLOOKUP(tbl_encuesta[[#This Row],[Me siento a gusto con el ambiente de trabajo que se genera en mi equipo.]],#REF!,#REF!)</f>
        <v>#REF!</v>
      </c>
      <c r="H1043" t="s">
        <v>23</v>
      </c>
      <c r="I1043" t="e">
        <f>+_xlfn.XLOOKUP(tbl_encuesta[[#This Row],[Me siento motivado a dar lo mejor de mí y hacer un buen trabajo]],#REF!,#REF!)</f>
        <v>#REF!</v>
      </c>
      <c r="J1043" t="s">
        <v>23</v>
      </c>
      <c r="K1043" t="e">
        <f>+_xlfn.XLOOKUP(tbl_encuesta[[#This Row],[Mi supervisor o jefe directo me otorga el soporte que necesito para afrontar cualquier problema que afecte mi trabajo]],#REF!,#REF!)</f>
        <v>#REF!</v>
      </c>
      <c r="L1043" t="s">
        <v>23</v>
      </c>
      <c r="M1043" t="e">
        <f>+_xlfn.XLOOKUP(tbl_encuesta[[#This Row],[Mi supervisor o jefe directo fomenta que nos apoyemos entre todos en el equipo]],#REF!,#REF!)</f>
        <v>#REF!</v>
      </c>
      <c r="N1043" t="s">
        <v>23</v>
      </c>
      <c r="O1043" t="e">
        <f>+_xlfn.XLOOKUP(tbl_encuesta[[#This Row],[Siento que mi trabajo es reconocido por mi supervisor o jefe directo.]],#REF!,#REF!)</f>
        <v>#REF!</v>
      </c>
      <c r="P1043" t="s">
        <v>31</v>
      </c>
      <c r="Q1043" t="e">
        <f xml:space="preserve">
_xlfn.XLOOKUP(
tbl_encuesta[[#This Row],[Mi supervisor o jefe directo nos brinda charlas de 5 minutos y comunica las novedades relevantes a mi puesto de trabajo]],#REF!,#REF!
)</f>
        <v>#REF!</v>
      </c>
      <c r="R1043" t="s">
        <v>17</v>
      </c>
      <c r="T1043" t="s">
        <v>19</v>
      </c>
      <c r="W1043" t="s">
        <v>25</v>
      </c>
      <c r="X1043" t="s">
        <v>23</v>
      </c>
      <c r="Y1043" t="e">
        <f>+_xlfn.XLOOKUP(tbl_encuesta[[#This Row],[Considero a Limtek como un buen lugar para trabajar]],#REF!,#REF!)</f>
        <v>#REF!</v>
      </c>
      <c r="Z1043" t="s">
        <v>193</v>
      </c>
      <c r="AA1043" t="s">
        <v>2623</v>
      </c>
      <c r="AB1043" t="s">
        <v>28</v>
      </c>
      <c r="AC1043" s="3" t="s">
        <v>3766</v>
      </c>
      <c r="AD1043" s="3" t="s">
        <v>3836</v>
      </c>
      <c r="AE1043" t="s">
        <v>34</v>
      </c>
    </row>
    <row r="1044" spans="1:31" x14ac:dyDescent="0.25">
      <c r="A1044">
        <v>119026780521</v>
      </c>
      <c r="B1044">
        <v>462598545</v>
      </c>
      <c r="C1044" s="1">
        <v>46017.546550925923</v>
      </c>
      <c r="D1044" s="1">
        <v>46017.549293981479</v>
      </c>
      <c r="E1044" t="s">
        <v>1976</v>
      </c>
      <c r="F1044" t="s">
        <v>97</v>
      </c>
      <c r="G1044" t="e">
        <f>+_xlfn.XLOOKUP(tbl_encuesta[[#This Row],[Me siento a gusto con el ambiente de trabajo que se genera en mi equipo.]],#REF!,#REF!)</f>
        <v>#REF!</v>
      </c>
      <c r="H1044" t="s">
        <v>23</v>
      </c>
      <c r="I1044" t="e">
        <f>+_xlfn.XLOOKUP(tbl_encuesta[[#This Row],[Me siento motivado a dar lo mejor de mí y hacer un buen trabajo]],#REF!,#REF!)</f>
        <v>#REF!</v>
      </c>
      <c r="J1044" t="s">
        <v>23</v>
      </c>
      <c r="K1044" t="e">
        <f>+_xlfn.XLOOKUP(tbl_encuesta[[#This Row],[Mi supervisor o jefe directo me otorga el soporte que necesito para afrontar cualquier problema que afecte mi trabajo]],#REF!,#REF!)</f>
        <v>#REF!</v>
      </c>
      <c r="L1044" t="s">
        <v>22</v>
      </c>
      <c r="M1044" t="e">
        <f>+_xlfn.XLOOKUP(tbl_encuesta[[#This Row],[Mi supervisor o jefe directo fomenta que nos apoyemos entre todos en el equipo]],#REF!,#REF!)</f>
        <v>#REF!</v>
      </c>
      <c r="N1044" t="s">
        <v>22</v>
      </c>
      <c r="O1044" t="e">
        <f>+_xlfn.XLOOKUP(tbl_encuesta[[#This Row],[Siento que mi trabajo es reconocido por mi supervisor o jefe directo.]],#REF!,#REF!)</f>
        <v>#REF!</v>
      </c>
      <c r="P1044" t="s">
        <v>175</v>
      </c>
      <c r="Q1044" t="e">
        <f xml:space="preserve">
_xlfn.XLOOKUP(
tbl_encuesta[[#This Row],[Mi supervisor o jefe directo nos brinda charlas de 5 minutos y comunica las novedades relevantes a mi puesto de trabajo]],#REF!,#REF!
)</f>
        <v>#REF!</v>
      </c>
      <c r="R1044" t="s">
        <v>17</v>
      </c>
      <c r="S1044" t="s">
        <v>18</v>
      </c>
      <c r="W1044" t="s">
        <v>25</v>
      </c>
      <c r="X1044" t="s">
        <v>23</v>
      </c>
      <c r="Y1044" t="e">
        <f>+_xlfn.XLOOKUP(tbl_encuesta[[#This Row],[Considero a Limtek como un buen lugar para trabajar]],#REF!,#REF!)</f>
        <v>#REF!</v>
      </c>
      <c r="Z1044" t="s">
        <v>2628</v>
      </c>
      <c r="AA1044" t="s">
        <v>2629</v>
      </c>
      <c r="AB1044" t="s">
        <v>28</v>
      </c>
      <c r="AC1044" t="s">
        <v>3744</v>
      </c>
      <c r="AD1044" t="s">
        <v>3744</v>
      </c>
      <c r="AE1044" t="s">
        <v>34</v>
      </c>
    </row>
    <row r="1045" spans="1:31" x14ac:dyDescent="0.25">
      <c r="A1045">
        <v>119026779311</v>
      </c>
      <c r="B1045">
        <v>462598545</v>
      </c>
      <c r="C1045" s="1">
        <v>46017.541655092595</v>
      </c>
      <c r="D1045" s="1">
        <v>46017.546643518515</v>
      </c>
      <c r="E1045" t="s">
        <v>2630</v>
      </c>
      <c r="F1045" t="s">
        <v>23</v>
      </c>
      <c r="G1045" t="e">
        <f>+_xlfn.XLOOKUP(tbl_encuesta[[#This Row],[Me siento a gusto con el ambiente de trabajo que se genera en mi equipo.]],#REF!,#REF!)</f>
        <v>#REF!</v>
      </c>
      <c r="H1045" t="s">
        <v>23</v>
      </c>
      <c r="I1045" t="e">
        <f>+_xlfn.XLOOKUP(tbl_encuesta[[#This Row],[Me siento motivado a dar lo mejor de mí y hacer un buen trabajo]],#REF!,#REF!)</f>
        <v>#REF!</v>
      </c>
      <c r="J1045" t="s">
        <v>23</v>
      </c>
      <c r="K1045" t="e">
        <f>+_xlfn.XLOOKUP(tbl_encuesta[[#This Row],[Mi supervisor o jefe directo me otorga el soporte que necesito para afrontar cualquier problema que afecte mi trabajo]],#REF!,#REF!)</f>
        <v>#REF!</v>
      </c>
      <c r="L1045" t="s">
        <v>23</v>
      </c>
      <c r="M1045" t="e">
        <f>+_xlfn.XLOOKUP(tbl_encuesta[[#This Row],[Mi supervisor o jefe directo fomenta que nos apoyemos entre todos en el equipo]],#REF!,#REF!)</f>
        <v>#REF!</v>
      </c>
      <c r="N1045" t="s">
        <v>23</v>
      </c>
      <c r="O1045" t="e">
        <f>+_xlfn.XLOOKUP(tbl_encuesta[[#This Row],[Siento que mi trabajo es reconocido por mi supervisor o jefe directo.]],#REF!,#REF!)</f>
        <v>#REF!</v>
      </c>
      <c r="P1045" t="s">
        <v>31</v>
      </c>
      <c r="Q1045" t="e">
        <f xml:space="preserve">
_xlfn.XLOOKUP(
tbl_encuesta[[#This Row],[Mi supervisor o jefe directo nos brinda charlas de 5 minutos y comunica las novedades relevantes a mi puesto de trabajo]],#REF!,#REF!
)</f>
        <v>#REF!</v>
      </c>
      <c r="R1045" t="s">
        <v>17</v>
      </c>
      <c r="W1045" t="s">
        <v>25</v>
      </c>
      <c r="X1045" t="s">
        <v>23</v>
      </c>
      <c r="Y1045" t="e">
        <f>+_xlfn.XLOOKUP(tbl_encuesta[[#This Row],[Considero a Limtek como un buen lugar para trabajar]],#REF!,#REF!)</f>
        <v>#REF!</v>
      </c>
      <c r="Z1045" t="s">
        <v>2631</v>
      </c>
      <c r="AA1045" t="s">
        <v>1652</v>
      </c>
      <c r="AB1045" t="s">
        <v>28</v>
      </c>
      <c r="AC1045" s="3" t="s">
        <v>3766</v>
      </c>
      <c r="AD1045" s="3" t="s">
        <v>3766</v>
      </c>
      <c r="AE1045" t="s">
        <v>29</v>
      </c>
    </row>
    <row r="1046" spans="1:31" x14ac:dyDescent="0.25">
      <c r="A1046">
        <v>119026778937</v>
      </c>
      <c r="B1046">
        <v>462598545</v>
      </c>
      <c r="C1046" s="1">
        <v>46017.539513888885</v>
      </c>
      <c r="D1046" s="1">
        <v>46017.545844907407</v>
      </c>
      <c r="E1046" t="s">
        <v>2632</v>
      </c>
      <c r="F1046" t="s">
        <v>23</v>
      </c>
      <c r="G1046" t="e">
        <f>+_xlfn.XLOOKUP(tbl_encuesta[[#This Row],[Me siento a gusto con el ambiente de trabajo que se genera en mi equipo.]],#REF!,#REF!)</f>
        <v>#REF!</v>
      </c>
      <c r="H1046" t="s">
        <v>23</v>
      </c>
      <c r="I1046" t="e">
        <f>+_xlfn.XLOOKUP(tbl_encuesta[[#This Row],[Me siento motivado a dar lo mejor de mí y hacer un buen trabajo]],#REF!,#REF!)</f>
        <v>#REF!</v>
      </c>
      <c r="J1046" t="s">
        <v>23</v>
      </c>
      <c r="K1046" t="e">
        <f>+_xlfn.XLOOKUP(tbl_encuesta[[#This Row],[Mi supervisor o jefe directo me otorga el soporte que necesito para afrontar cualquier problema que afecte mi trabajo]],#REF!,#REF!)</f>
        <v>#REF!</v>
      </c>
      <c r="L1046" t="s">
        <v>23</v>
      </c>
      <c r="M1046" t="e">
        <f>+_xlfn.XLOOKUP(tbl_encuesta[[#This Row],[Mi supervisor o jefe directo fomenta que nos apoyemos entre todos en el equipo]],#REF!,#REF!)</f>
        <v>#REF!</v>
      </c>
      <c r="N1046" t="s">
        <v>23</v>
      </c>
      <c r="O1046" t="e">
        <f>+_xlfn.XLOOKUP(tbl_encuesta[[#This Row],[Siento que mi trabajo es reconocido por mi supervisor o jefe directo.]],#REF!,#REF!)</f>
        <v>#REF!</v>
      </c>
      <c r="P1046" t="s">
        <v>31</v>
      </c>
      <c r="Q1046" t="e">
        <f xml:space="preserve">
_xlfn.XLOOKUP(
tbl_encuesta[[#This Row],[Mi supervisor o jefe directo nos brinda charlas de 5 minutos y comunica las novedades relevantes a mi puesto de trabajo]],#REF!,#REF!
)</f>
        <v>#REF!</v>
      </c>
      <c r="R1046" t="s">
        <v>17</v>
      </c>
      <c r="S1046" t="s">
        <v>18</v>
      </c>
      <c r="W1046" t="s">
        <v>25</v>
      </c>
      <c r="X1046" t="s">
        <v>23</v>
      </c>
      <c r="Y1046" t="e">
        <f>+_xlfn.XLOOKUP(tbl_encuesta[[#This Row],[Considero a Limtek como un buen lugar para trabajar]],#REF!,#REF!)</f>
        <v>#REF!</v>
      </c>
      <c r="Z1046" t="s">
        <v>2633</v>
      </c>
      <c r="AA1046" t="s">
        <v>2634</v>
      </c>
      <c r="AB1046" t="s">
        <v>28</v>
      </c>
      <c r="AC1046" s="3" t="s">
        <v>3780</v>
      </c>
      <c r="AD1046" s="3" t="s">
        <v>3781</v>
      </c>
      <c r="AE1046" t="s">
        <v>34</v>
      </c>
    </row>
    <row r="1047" spans="1:31" x14ac:dyDescent="0.25">
      <c r="A1047">
        <v>119026778698</v>
      </c>
      <c r="B1047">
        <v>462598545</v>
      </c>
      <c r="C1047" s="1">
        <v>46017.542210648149</v>
      </c>
      <c r="D1047" s="1">
        <v>46017.545370370368</v>
      </c>
      <c r="E1047" t="s">
        <v>2635</v>
      </c>
      <c r="F1047" t="s">
        <v>22</v>
      </c>
      <c r="G1047" t="e">
        <f>+_xlfn.XLOOKUP(tbl_encuesta[[#This Row],[Me siento a gusto con el ambiente de trabajo que se genera en mi equipo.]],#REF!,#REF!)</f>
        <v>#REF!</v>
      </c>
      <c r="H1047" t="s">
        <v>23</v>
      </c>
      <c r="I1047" t="e">
        <f>+_xlfn.XLOOKUP(tbl_encuesta[[#This Row],[Me siento motivado a dar lo mejor de mí y hacer un buen trabajo]],#REF!,#REF!)</f>
        <v>#REF!</v>
      </c>
      <c r="J1047" t="s">
        <v>23</v>
      </c>
      <c r="K1047" t="e">
        <f>+_xlfn.XLOOKUP(tbl_encuesta[[#This Row],[Mi supervisor o jefe directo me otorga el soporte que necesito para afrontar cualquier problema que afecte mi trabajo]],#REF!,#REF!)</f>
        <v>#REF!</v>
      </c>
      <c r="L1047" t="s">
        <v>23</v>
      </c>
      <c r="M1047" t="e">
        <f>+_xlfn.XLOOKUP(tbl_encuesta[[#This Row],[Mi supervisor o jefe directo fomenta que nos apoyemos entre todos en el equipo]],#REF!,#REF!)</f>
        <v>#REF!</v>
      </c>
      <c r="N1047" t="s">
        <v>22</v>
      </c>
      <c r="O1047" t="e">
        <f>+_xlfn.XLOOKUP(tbl_encuesta[[#This Row],[Siento que mi trabajo es reconocido por mi supervisor o jefe directo.]],#REF!,#REF!)</f>
        <v>#REF!</v>
      </c>
      <c r="P1047" t="s">
        <v>31</v>
      </c>
      <c r="Q1047" t="e">
        <f xml:space="preserve">
_xlfn.XLOOKUP(
tbl_encuesta[[#This Row],[Mi supervisor o jefe directo nos brinda charlas de 5 minutos y comunica las novedades relevantes a mi puesto de trabajo]],#REF!,#REF!
)</f>
        <v>#REF!</v>
      </c>
      <c r="R1047" t="s">
        <v>17</v>
      </c>
      <c r="S1047" t="s">
        <v>18</v>
      </c>
      <c r="W1047" t="s">
        <v>25</v>
      </c>
      <c r="X1047" t="s">
        <v>23</v>
      </c>
      <c r="Y1047" t="e">
        <f>+_xlfn.XLOOKUP(tbl_encuesta[[#This Row],[Considero a Limtek como un buen lugar para trabajar]],#REF!,#REF!)</f>
        <v>#REF!</v>
      </c>
      <c r="Z1047" t="s">
        <v>2636</v>
      </c>
      <c r="AA1047" t="s">
        <v>2637</v>
      </c>
      <c r="AB1047" t="s">
        <v>28</v>
      </c>
      <c r="AC1047" t="s">
        <v>3744</v>
      </c>
      <c r="AD1047" t="s">
        <v>3744</v>
      </c>
      <c r="AE1047" t="s">
        <v>69</v>
      </c>
    </row>
    <row r="1048" spans="1:31" x14ac:dyDescent="0.25">
      <c r="A1048">
        <v>119026778392</v>
      </c>
      <c r="B1048">
        <v>462598545</v>
      </c>
      <c r="C1048" s="1">
        <v>46017.539907407408</v>
      </c>
      <c r="D1048" s="1">
        <v>46017.544722222221</v>
      </c>
      <c r="E1048" t="s">
        <v>2638</v>
      </c>
      <c r="F1048" t="s">
        <v>23</v>
      </c>
      <c r="G1048" t="e">
        <f>+_xlfn.XLOOKUP(tbl_encuesta[[#This Row],[Me siento a gusto con el ambiente de trabajo que se genera en mi equipo.]],#REF!,#REF!)</f>
        <v>#REF!</v>
      </c>
      <c r="H1048" t="s">
        <v>23</v>
      </c>
      <c r="I1048" t="e">
        <f>+_xlfn.XLOOKUP(tbl_encuesta[[#This Row],[Me siento motivado a dar lo mejor de mí y hacer un buen trabajo]],#REF!,#REF!)</f>
        <v>#REF!</v>
      </c>
      <c r="J1048" t="s">
        <v>23</v>
      </c>
      <c r="K1048" t="e">
        <f>+_xlfn.XLOOKUP(tbl_encuesta[[#This Row],[Mi supervisor o jefe directo me otorga el soporte que necesito para afrontar cualquier problema que afecte mi trabajo]],#REF!,#REF!)</f>
        <v>#REF!</v>
      </c>
      <c r="L1048" t="s">
        <v>23</v>
      </c>
      <c r="M1048" t="e">
        <f>+_xlfn.XLOOKUP(tbl_encuesta[[#This Row],[Mi supervisor o jefe directo fomenta que nos apoyemos entre todos en el equipo]],#REF!,#REF!)</f>
        <v>#REF!</v>
      </c>
      <c r="N1048" t="s">
        <v>23</v>
      </c>
      <c r="O1048" t="e">
        <f>+_xlfn.XLOOKUP(tbl_encuesta[[#This Row],[Siento que mi trabajo es reconocido por mi supervisor o jefe directo.]],#REF!,#REF!)</f>
        <v>#REF!</v>
      </c>
      <c r="P1048" t="s">
        <v>67</v>
      </c>
      <c r="Q1048" t="e">
        <f xml:space="preserve">
_xlfn.XLOOKUP(
tbl_encuesta[[#This Row],[Mi supervisor o jefe directo nos brinda charlas de 5 minutos y comunica las novedades relevantes a mi puesto de trabajo]],#REF!,#REF!
)</f>
        <v>#REF!</v>
      </c>
      <c r="U1048" t="s">
        <v>20</v>
      </c>
      <c r="W1048" t="s">
        <v>25</v>
      </c>
      <c r="X1048" t="s">
        <v>23</v>
      </c>
      <c r="Y1048" t="e">
        <f>+_xlfn.XLOOKUP(tbl_encuesta[[#This Row],[Considero a Limtek como un buen lugar para trabajar]],#REF!,#REF!)</f>
        <v>#REF!</v>
      </c>
      <c r="Z1048" t="s">
        <v>2639</v>
      </c>
      <c r="AA1048" t="s">
        <v>2640</v>
      </c>
      <c r="AB1048" t="s">
        <v>28</v>
      </c>
      <c r="AC1048" t="s">
        <v>3744</v>
      </c>
      <c r="AD1048" t="s">
        <v>3744</v>
      </c>
      <c r="AE1048" t="s">
        <v>69</v>
      </c>
    </row>
    <row r="1049" spans="1:31" x14ac:dyDescent="0.25">
      <c r="A1049">
        <v>119026778361</v>
      </c>
      <c r="B1049">
        <v>462598545</v>
      </c>
      <c r="C1049" s="1">
        <v>46017.540266203701</v>
      </c>
      <c r="D1049" s="1">
        <v>46017.544652777775</v>
      </c>
      <c r="E1049" t="s">
        <v>2641</v>
      </c>
      <c r="F1049" t="s">
        <v>23</v>
      </c>
      <c r="G1049" t="e">
        <f>+_xlfn.XLOOKUP(tbl_encuesta[[#This Row],[Me siento a gusto con el ambiente de trabajo que se genera en mi equipo.]],#REF!,#REF!)</f>
        <v>#REF!</v>
      </c>
      <c r="H1049" t="s">
        <v>22</v>
      </c>
      <c r="I1049" t="e">
        <f>+_xlfn.XLOOKUP(tbl_encuesta[[#This Row],[Me siento motivado a dar lo mejor de mí y hacer un buen trabajo]],#REF!,#REF!)</f>
        <v>#REF!</v>
      </c>
      <c r="J1049" t="s">
        <v>23</v>
      </c>
      <c r="K1049" t="e">
        <f>+_xlfn.XLOOKUP(tbl_encuesta[[#This Row],[Mi supervisor o jefe directo me otorga el soporte que necesito para afrontar cualquier problema que afecte mi trabajo]],#REF!,#REF!)</f>
        <v>#REF!</v>
      </c>
      <c r="L1049" t="s">
        <v>23</v>
      </c>
      <c r="M1049" t="e">
        <f>+_xlfn.XLOOKUP(tbl_encuesta[[#This Row],[Mi supervisor o jefe directo fomenta que nos apoyemos entre todos en el equipo]],#REF!,#REF!)</f>
        <v>#REF!</v>
      </c>
      <c r="N1049" t="s">
        <v>22</v>
      </c>
      <c r="O1049" t="e">
        <f>+_xlfn.XLOOKUP(tbl_encuesta[[#This Row],[Siento que mi trabajo es reconocido por mi supervisor o jefe directo.]],#REF!,#REF!)</f>
        <v>#REF!</v>
      </c>
      <c r="P1049" t="s">
        <v>67</v>
      </c>
      <c r="Q1049" t="e">
        <f xml:space="preserve">
_xlfn.XLOOKUP(
tbl_encuesta[[#This Row],[Mi supervisor o jefe directo nos brinda charlas de 5 minutos y comunica las novedades relevantes a mi puesto de trabajo]],#REF!,#REF!
)</f>
        <v>#REF!</v>
      </c>
      <c r="R1049" t="s">
        <v>17</v>
      </c>
      <c r="W1049" t="s">
        <v>25</v>
      </c>
      <c r="X1049" t="s">
        <v>23</v>
      </c>
      <c r="Y1049" t="e">
        <f>+_xlfn.XLOOKUP(tbl_encuesta[[#This Row],[Considero a Limtek como un buen lugar para trabajar]],#REF!,#REF!)</f>
        <v>#REF!</v>
      </c>
      <c r="Z1049" t="s">
        <v>641</v>
      </c>
      <c r="AA1049" t="s">
        <v>2642</v>
      </c>
      <c r="AB1049" t="s">
        <v>28</v>
      </c>
      <c r="AC1049" s="3" t="s">
        <v>3714</v>
      </c>
      <c r="AD1049" s="3" t="s">
        <v>3714</v>
      </c>
      <c r="AE1049" t="s">
        <v>69</v>
      </c>
    </row>
    <row r="1050" spans="1:31" x14ac:dyDescent="0.25">
      <c r="A1050">
        <v>119026778354</v>
      </c>
      <c r="B1050">
        <v>462598545</v>
      </c>
      <c r="C1050" s="1">
        <v>46017.541620370372</v>
      </c>
      <c r="D1050" s="1">
        <v>46017.544641203705</v>
      </c>
      <c r="E1050" t="s">
        <v>2643</v>
      </c>
      <c r="F1050" t="s">
        <v>23</v>
      </c>
      <c r="G1050" t="e">
        <f>+_xlfn.XLOOKUP(tbl_encuesta[[#This Row],[Me siento a gusto con el ambiente de trabajo que se genera en mi equipo.]],#REF!,#REF!)</f>
        <v>#REF!</v>
      </c>
      <c r="H1050" t="s">
        <v>23</v>
      </c>
      <c r="I1050" t="e">
        <f>+_xlfn.XLOOKUP(tbl_encuesta[[#This Row],[Me siento motivado a dar lo mejor de mí y hacer un buen trabajo]],#REF!,#REF!)</f>
        <v>#REF!</v>
      </c>
      <c r="J1050" t="s">
        <v>23</v>
      </c>
      <c r="K1050" t="e">
        <f>+_xlfn.XLOOKUP(tbl_encuesta[[#This Row],[Mi supervisor o jefe directo me otorga el soporte que necesito para afrontar cualquier problema que afecte mi trabajo]],#REF!,#REF!)</f>
        <v>#REF!</v>
      </c>
      <c r="L1050" t="s">
        <v>23</v>
      </c>
      <c r="M1050" t="e">
        <f>+_xlfn.XLOOKUP(tbl_encuesta[[#This Row],[Mi supervisor o jefe directo fomenta que nos apoyemos entre todos en el equipo]],#REF!,#REF!)</f>
        <v>#REF!</v>
      </c>
      <c r="N1050" t="s">
        <v>22</v>
      </c>
      <c r="O1050" t="e">
        <f>+_xlfn.XLOOKUP(tbl_encuesta[[#This Row],[Siento que mi trabajo es reconocido por mi supervisor o jefe directo.]],#REF!,#REF!)</f>
        <v>#REF!</v>
      </c>
      <c r="P1050" t="s">
        <v>67</v>
      </c>
      <c r="Q1050" t="e">
        <f xml:space="preserve">
_xlfn.XLOOKUP(
tbl_encuesta[[#This Row],[Mi supervisor o jefe directo nos brinda charlas de 5 minutos y comunica las novedades relevantes a mi puesto de trabajo]],#REF!,#REF!
)</f>
        <v>#REF!</v>
      </c>
      <c r="R1050" t="s">
        <v>17</v>
      </c>
      <c r="U1050" t="s">
        <v>20</v>
      </c>
      <c r="W1050" t="s">
        <v>25</v>
      </c>
      <c r="X1050" t="s">
        <v>23</v>
      </c>
      <c r="Y1050" t="e">
        <f>+_xlfn.XLOOKUP(tbl_encuesta[[#This Row],[Considero a Limtek como un buen lugar para trabajar]],#REF!,#REF!)</f>
        <v>#REF!</v>
      </c>
      <c r="Z1050" t="s">
        <v>2644</v>
      </c>
      <c r="AA1050" t="s">
        <v>2645</v>
      </c>
      <c r="AB1050" t="s">
        <v>28</v>
      </c>
      <c r="AC1050" s="3" t="s">
        <v>3766</v>
      </c>
      <c r="AD1050" s="3" t="s">
        <v>3709</v>
      </c>
      <c r="AE1050" t="s">
        <v>34</v>
      </c>
    </row>
    <row r="1051" spans="1:31" x14ac:dyDescent="0.25">
      <c r="A1051">
        <v>119026777688</v>
      </c>
      <c r="B1051">
        <v>462598545</v>
      </c>
      <c r="C1051" s="1">
        <v>46017.54047453704</v>
      </c>
      <c r="D1051" s="1">
        <v>46017.543287037035</v>
      </c>
      <c r="E1051" t="s">
        <v>2646</v>
      </c>
      <c r="F1051" t="s">
        <v>23</v>
      </c>
      <c r="G1051" t="e">
        <f>+_xlfn.XLOOKUP(tbl_encuesta[[#This Row],[Me siento a gusto con el ambiente de trabajo que se genera en mi equipo.]],#REF!,#REF!)</f>
        <v>#REF!</v>
      </c>
      <c r="H1051" t="s">
        <v>23</v>
      </c>
      <c r="I1051" t="e">
        <f>+_xlfn.XLOOKUP(tbl_encuesta[[#This Row],[Me siento motivado a dar lo mejor de mí y hacer un buen trabajo]],#REF!,#REF!)</f>
        <v>#REF!</v>
      </c>
      <c r="J1051" t="s">
        <v>23</v>
      </c>
      <c r="K1051" t="e">
        <f>+_xlfn.XLOOKUP(tbl_encuesta[[#This Row],[Mi supervisor o jefe directo me otorga el soporte que necesito para afrontar cualquier problema que afecte mi trabajo]],#REF!,#REF!)</f>
        <v>#REF!</v>
      </c>
      <c r="L1051" t="s">
        <v>23</v>
      </c>
      <c r="M1051" t="e">
        <f>+_xlfn.XLOOKUP(tbl_encuesta[[#This Row],[Mi supervisor o jefe directo fomenta que nos apoyemos entre todos en el equipo]],#REF!,#REF!)</f>
        <v>#REF!</v>
      </c>
      <c r="N1051" t="s">
        <v>23</v>
      </c>
      <c r="O1051" t="e">
        <f>+_xlfn.XLOOKUP(tbl_encuesta[[#This Row],[Siento que mi trabajo es reconocido por mi supervisor o jefe directo.]],#REF!,#REF!)</f>
        <v>#REF!</v>
      </c>
      <c r="P1051" t="s">
        <v>31</v>
      </c>
      <c r="Q1051" t="e">
        <f xml:space="preserve">
_xlfn.XLOOKUP(
tbl_encuesta[[#This Row],[Mi supervisor o jefe directo nos brinda charlas de 5 minutos y comunica las novedades relevantes a mi puesto de trabajo]],#REF!,#REF!
)</f>
        <v>#REF!</v>
      </c>
      <c r="R1051" t="s">
        <v>17</v>
      </c>
      <c r="W1051" t="s">
        <v>25</v>
      </c>
      <c r="X1051" t="s">
        <v>23</v>
      </c>
      <c r="Y1051" t="e">
        <f>+_xlfn.XLOOKUP(tbl_encuesta[[#This Row],[Considero a Limtek como un buen lugar para trabajar]],#REF!,#REF!)</f>
        <v>#REF!</v>
      </c>
      <c r="Z1051" t="s">
        <v>329</v>
      </c>
      <c r="AA1051" t="s">
        <v>2647</v>
      </c>
      <c r="AB1051" t="s">
        <v>28</v>
      </c>
      <c r="AC1051" s="3" t="s">
        <v>3714</v>
      </c>
      <c r="AD1051" s="3" t="s">
        <v>3715</v>
      </c>
      <c r="AE1051" t="s">
        <v>69</v>
      </c>
    </row>
    <row r="1052" spans="1:31" x14ac:dyDescent="0.25">
      <c r="A1052">
        <v>119026777672</v>
      </c>
      <c r="B1052">
        <v>462598545</v>
      </c>
      <c r="C1052" s="1">
        <v>46017.540462962963</v>
      </c>
      <c r="D1052" s="1">
        <v>46017.543252314812</v>
      </c>
      <c r="E1052" t="s">
        <v>2648</v>
      </c>
      <c r="F1052" t="s">
        <v>23</v>
      </c>
      <c r="G1052" t="e">
        <f>+_xlfn.XLOOKUP(tbl_encuesta[[#This Row],[Me siento a gusto con el ambiente de trabajo que se genera en mi equipo.]],#REF!,#REF!)</f>
        <v>#REF!</v>
      </c>
      <c r="H1052" t="s">
        <v>23</v>
      </c>
      <c r="I1052" t="e">
        <f>+_xlfn.XLOOKUP(tbl_encuesta[[#This Row],[Me siento motivado a dar lo mejor de mí y hacer un buen trabajo]],#REF!,#REF!)</f>
        <v>#REF!</v>
      </c>
      <c r="J1052" t="s">
        <v>23</v>
      </c>
      <c r="K1052" t="e">
        <f>+_xlfn.XLOOKUP(tbl_encuesta[[#This Row],[Mi supervisor o jefe directo me otorga el soporte que necesito para afrontar cualquier problema que afecte mi trabajo]],#REF!,#REF!)</f>
        <v>#REF!</v>
      </c>
      <c r="L1052" t="s">
        <v>23</v>
      </c>
      <c r="M1052" t="e">
        <f>+_xlfn.XLOOKUP(tbl_encuesta[[#This Row],[Mi supervisor o jefe directo fomenta que nos apoyemos entre todos en el equipo]],#REF!,#REF!)</f>
        <v>#REF!</v>
      </c>
      <c r="N1052" t="s">
        <v>23</v>
      </c>
      <c r="O1052" t="e">
        <f>+_xlfn.XLOOKUP(tbl_encuesta[[#This Row],[Siento que mi trabajo es reconocido por mi supervisor o jefe directo.]],#REF!,#REF!)</f>
        <v>#REF!</v>
      </c>
      <c r="P1052" t="s">
        <v>31</v>
      </c>
      <c r="Q1052" t="e">
        <f xml:space="preserve">
_xlfn.XLOOKUP(
tbl_encuesta[[#This Row],[Mi supervisor o jefe directo nos brinda charlas de 5 minutos y comunica las novedades relevantes a mi puesto de trabajo]],#REF!,#REF!
)</f>
        <v>#REF!</v>
      </c>
      <c r="R1052" t="s">
        <v>17</v>
      </c>
      <c r="W1052" t="s">
        <v>25</v>
      </c>
      <c r="X1052" t="s">
        <v>23</v>
      </c>
      <c r="Y1052" t="e">
        <f>+_xlfn.XLOOKUP(tbl_encuesta[[#This Row],[Considero a Limtek como un buen lugar para trabajar]],#REF!,#REF!)</f>
        <v>#REF!</v>
      </c>
      <c r="Z1052" t="s">
        <v>329</v>
      </c>
      <c r="AA1052" t="s">
        <v>2649</v>
      </c>
      <c r="AB1052" t="s">
        <v>28</v>
      </c>
      <c r="AC1052" s="3" t="s">
        <v>3735</v>
      </c>
      <c r="AD1052" s="3" t="s">
        <v>3735</v>
      </c>
      <c r="AE1052" t="s">
        <v>29</v>
      </c>
    </row>
    <row r="1053" spans="1:31" x14ac:dyDescent="0.25">
      <c r="A1053">
        <v>119026777085</v>
      </c>
      <c r="B1053">
        <v>462598545</v>
      </c>
      <c r="C1053" s="1">
        <v>46017.539027777777</v>
      </c>
      <c r="D1053" s="1">
        <v>46017.542060185187</v>
      </c>
      <c r="E1053" t="s">
        <v>2650</v>
      </c>
      <c r="F1053" t="s">
        <v>23</v>
      </c>
      <c r="G1053" t="e">
        <f>+_xlfn.XLOOKUP(tbl_encuesta[[#This Row],[Me siento a gusto con el ambiente de trabajo que se genera en mi equipo.]],#REF!,#REF!)</f>
        <v>#REF!</v>
      </c>
      <c r="H1053" t="s">
        <v>23</v>
      </c>
      <c r="I1053" t="e">
        <f>+_xlfn.XLOOKUP(tbl_encuesta[[#This Row],[Me siento motivado a dar lo mejor de mí y hacer un buen trabajo]],#REF!,#REF!)</f>
        <v>#REF!</v>
      </c>
      <c r="J1053" t="s">
        <v>23</v>
      </c>
      <c r="K1053" t="e">
        <f>+_xlfn.XLOOKUP(tbl_encuesta[[#This Row],[Mi supervisor o jefe directo me otorga el soporte que necesito para afrontar cualquier problema que afecte mi trabajo]],#REF!,#REF!)</f>
        <v>#REF!</v>
      </c>
      <c r="L1053" t="s">
        <v>23</v>
      </c>
      <c r="M1053" t="e">
        <f>+_xlfn.XLOOKUP(tbl_encuesta[[#This Row],[Mi supervisor o jefe directo fomenta que nos apoyemos entre todos en el equipo]],#REF!,#REF!)</f>
        <v>#REF!</v>
      </c>
      <c r="N1053" t="s">
        <v>23</v>
      </c>
      <c r="O1053" t="e">
        <f>+_xlfn.XLOOKUP(tbl_encuesta[[#This Row],[Siento que mi trabajo es reconocido por mi supervisor o jefe directo.]],#REF!,#REF!)</f>
        <v>#REF!</v>
      </c>
      <c r="P1053" t="s">
        <v>31</v>
      </c>
      <c r="Q1053" t="e">
        <f xml:space="preserve">
_xlfn.XLOOKUP(
tbl_encuesta[[#This Row],[Mi supervisor o jefe directo nos brinda charlas de 5 minutos y comunica las novedades relevantes a mi puesto de trabajo]],#REF!,#REF!
)</f>
        <v>#REF!</v>
      </c>
      <c r="R1053" t="s">
        <v>17</v>
      </c>
      <c r="W1053" t="s">
        <v>25</v>
      </c>
      <c r="X1053" t="s">
        <v>23</v>
      </c>
      <c r="Y1053" t="e">
        <f>+_xlfn.XLOOKUP(tbl_encuesta[[#This Row],[Considero a Limtek como un buen lugar para trabajar]],#REF!,#REF!)</f>
        <v>#REF!</v>
      </c>
      <c r="Z1053" t="s">
        <v>2651</v>
      </c>
      <c r="AA1053" t="s">
        <v>2652</v>
      </c>
      <c r="AB1053" t="s">
        <v>28</v>
      </c>
      <c r="AC1053" s="3" t="s">
        <v>3729</v>
      </c>
      <c r="AD1053" s="3" t="s">
        <v>3729</v>
      </c>
      <c r="AE1053" t="s">
        <v>69</v>
      </c>
    </row>
    <row r="1054" spans="1:31" x14ac:dyDescent="0.25">
      <c r="A1054">
        <v>119026777050</v>
      </c>
      <c r="B1054">
        <v>462598545</v>
      </c>
      <c r="C1054" s="1">
        <v>46017.53802083333</v>
      </c>
      <c r="D1054" s="1">
        <v>46017.542002314818</v>
      </c>
      <c r="E1054" t="s">
        <v>2428</v>
      </c>
      <c r="F1054" t="s">
        <v>23</v>
      </c>
      <c r="G1054" t="e">
        <f>+_xlfn.XLOOKUP(tbl_encuesta[[#This Row],[Me siento a gusto con el ambiente de trabajo que se genera en mi equipo.]],#REF!,#REF!)</f>
        <v>#REF!</v>
      </c>
      <c r="H1054" t="s">
        <v>22</v>
      </c>
      <c r="I1054" t="e">
        <f>+_xlfn.XLOOKUP(tbl_encuesta[[#This Row],[Me siento motivado a dar lo mejor de mí y hacer un buen trabajo]],#REF!,#REF!)</f>
        <v>#REF!</v>
      </c>
      <c r="J1054" t="s">
        <v>23</v>
      </c>
      <c r="K1054" t="e">
        <f>+_xlfn.XLOOKUP(tbl_encuesta[[#This Row],[Mi supervisor o jefe directo me otorga el soporte que necesito para afrontar cualquier problema que afecte mi trabajo]],#REF!,#REF!)</f>
        <v>#REF!</v>
      </c>
      <c r="L1054" t="s">
        <v>22</v>
      </c>
      <c r="M1054" t="e">
        <f>+_xlfn.XLOOKUP(tbl_encuesta[[#This Row],[Mi supervisor o jefe directo fomenta que nos apoyemos entre todos en el equipo]],#REF!,#REF!)</f>
        <v>#REF!</v>
      </c>
      <c r="N1054" t="s">
        <v>22</v>
      </c>
      <c r="O1054" t="e">
        <f>+_xlfn.XLOOKUP(tbl_encuesta[[#This Row],[Siento que mi trabajo es reconocido por mi supervisor o jefe directo.]],#REF!,#REF!)</f>
        <v>#REF!</v>
      </c>
      <c r="P1054" t="s">
        <v>31</v>
      </c>
      <c r="Q1054" t="e">
        <f xml:space="preserve">
_xlfn.XLOOKUP(
tbl_encuesta[[#This Row],[Mi supervisor o jefe directo nos brinda charlas de 5 minutos y comunica las novedades relevantes a mi puesto de trabajo]],#REF!,#REF!
)</f>
        <v>#REF!</v>
      </c>
      <c r="R1054" t="s">
        <v>17</v>
      </c>
      <c r="T1054" t="s">
        <v>19</v>
      </c>
      <c r="W1054" t="s">
        <v>46</v>
      </c>
      <c r="X1054" t="s">
        <v>23</v>
      </c>
      <c r="Y1054" t="e">
        <f>+_xlfn.XLOOKUP(tbl_encuesta[[#This Row],[Considero a Limtek como un buen lugar para trabajar]],#REF!,#REF!)</f>
        <v>#REF!</v>
      </c>
      <c r="Z1054" t="s">
        <v>2653</v>
      </c>
      <c r="AA1054" t="s">
        <v>2654</v>
      </c>
      <c r="AB1054" t="s">
        <v>28</v>
      </c>
      <c r="AC1054" s="3" t="s">
        <v>3766</v>
      </c>
      <c r="AD1054" s="3" t="s">
        <v>3709</v>
      </c>
      <c r="AE1054" t="s">
        <v>55</v>
      </c>
    </row>
    <row r="1055" spans="1:31" x14ac:dyDescent="0.25">
      <c r="A1055">
        <v>119026777006</v>
      </c>
      <c r="B1055">
        <v>462598545</v>
      </c>
      <c r="C1055" s="1">
        <v>46017.538055555553</v>
      </c>
      <c r="D1055" s="1">
        <v>46017.541909722226</v>
      </c>
      <c r="E1055" t="s">
        <v>2655</v>
      </c>
      <c r="F1055" t="s">
        <v>23</v>
      </c>
      <c r="G1055" t="e">
        <f>+_xlfn.XLOOKUP(tbl_encuesta[[#This Row],[Me siento a gusto con el ambiente de trabajo que se genera en mi equipo.]],#REF!,#REF!)</f>
        <v>#REF!</v>
      </c>
      <c r="H1055" t="s">
        <v>23</v>
      </c>
      <c r="I1055" t="e">
        <f>+_xlfn.XLOOKUP(tbl_encuesta[[#This Row],[Me siento motivado a dar lo mejor de mí y hacer un buen trabajo]],#REF!,#REF!)</f>
        <v>#REF!</v>
      </c>
      <c r="J1055" t="s">
        <v>23</v>
      </c>
      <c r="K1055" t="e">
        <f>+_xlfn.XLOOKUP(tbl_encuesta[[#This Row],[Mi supervisor o jefe directo me otorga el soporte que necesito para afrontar cualquier problema que afecte mi trabajo]],#REF!,#REF!)</f>
        <v>#REF!</v>
      </c>
      <c r="L1055" t="s">
        <v>23</v>
      </c>
      <c r="M1055" t="e">
        <f>+_xlfn.XLOOKUP(tbl_encuesta[[#This Row],[Mi supervisor o jefe directo fomenta que nos apoyemos entre todos en el equipo]],#REF!,#REF!)</f>
        <v>#REF!</v>
      </c>
      <c r="N1055" t="s">
        <v>23</v>
      </c>
      <c r="O1055" t="e">
        <f>+_xlfn.XLOOKUP(tbl_encuesta[[#This Row],[Siento que mi trabajo es reconocido por mi supervisor o jefe directo.]],#REF!,#REF!)</f>
        <v>#REF!</v>
      </c>
      <c r="P1055" t="s">
        <v>67</v>
      </c>
      <c r="Q1055" t="e">
        <f xml:space="preserve">
_xlfn.XLOOKUP(
tbl_encuesta[[#This Row],[Mi supervisor o jefe directo nos brinda charlas de 5 minutos y comunica las novedades relevantes a mi puesto de trabajo]],#REF!,#REF!
)</f>
        <v>#REF!</v>
      </c>
      <c r="R1055" t="s">
        <v>17</v>
      </c>
      <c r="S1055" t="s">
        <v>18</v>
      </c>
      <c r="W1055" t="s">
        <v>25</v>
      </c>
      <c r="X1055" t="s">
        <v>23</v>
      </c>
      <c r="Y1055" t="e">
        <f>+_xlfn.XLOOKUP(tbl_encuesta[[#This Row],[Considero a Limtek como un buen lugar para trabajar]],#REF!,#REF!)</f>
        <v>#REF!</v>
      </c>
      <c r="Z1055" t="s">
        <v>527</v>
      </c>
      <c r="AA1055" t="s">
        <v>326</v>
      </c>
      <c r="AB1055" t="s">
        <v>28</v>
      </c>
      <c r="AC1055" s="3" t="s">
        <v>3840</v>
      </c>
      <c r="AD1055" s="3" t="s">
        <v>3840</v>
      </c>
      <c r="AE1055" t="s">
        <v>29</v>
      </c>
    </row>
    <row r="1056" spans="1:31" x14ac:dyDescent="0.25">
      <c r="A1056">
        <v>119026776655</v>
      </c>
      <c r="B1056">
        <v>462598545</v>
      </c>
      <c r="C1056" s="1">
        <v>46017.531365740739</v>
      </c>
      <c r="D1056" s="1">
        <v>46017.541168981479</v>
      </c>
      <c r="E1056" t="s">
        <v>2656</v>
      </c>
      <c r="F1056" t="s">
        <v>23</v>
      </c>
      <c r="G1056" t="e">
        <f>+_xlfn.XLOOKUP(tbl_encuesta[[#This Row],[Me siento a gusto con el ambiente de trabajo que se genera en mi equipo.]],#REF!,#REF!)</f>
        <v>#REF!</v>
      </c>
      <c r="H1056" t="s">
        <v>23</v>
      </c>
      <c r="I1056" t="e">
        <f>+_xlfn.XLOOKUP(tbl_encuesta[[#This Row],[Me siento motivado a dar lo mejor de mí y hacer un buen trabajo]],#REF!,#REF!)</f>
        <v>#REF!</v>
      </c>
      <c r="J1056" t="s">
        <v>23</v>
      </c>
      <c r="K1056" t="e">
        <f>+_xlfn.XLOOKUP(tbl_encuesta[[#This Row],[Mi supervisor o jefe directo me otorga el soporte que necesito para afrontar cualquier problema que afecte mi trabajo]],#REF!,#REF!)</f>
        <v>#REF!</v>
      </c>
      <c r="L1056" t="s">
        <v>23</v>
      </c>
      <c r="M1056" t="e">
        <f>+_xlfn.XLOOKUP(tbl_encuesta[[#This Row],[Mi supervisor o jefe directo fomenta que nos apoyemos entre todos en el equipo]],#REF!,#REF!)</f>
        <v>#REF!</v>
      </c>
      <c r="N1056" t="s">
        <v>23</v>
      </c>
      <c r="O1056" t="e">
        <f>+_xlfn.XLOOKUP(tbl_encuesta[[#This Row],[Siento que mi trabajo es reconocido por mi supervisor o jefe directo.]],#REF!,#REF!)</f>
        <v>#REF!</v>
      </c>
      <c r="P1056" t="s">
        <v>31</v>
      </c>
      <c r="Q1056" t="e">
        <f xml:space="preserve">
_xlfn.XLOOKUP(
tbl_encuesta[[#This Row],[Mi supervisor o jefe directo nos brinda charlas de 5 minutos y comunica las novedades relevantes a mi puesto de trabajo]],#REF!,#REF!
)</f>
        <v>#REF!</v>
      </c>
      <c r="T1056" t="s">
        <v>19</v>
      </c>
      <c r="U1056" t="s">
        <v>20</v>
      </c>
      <c r="W1056" t="s">
        <v>25</v>
      </c>
      <c r="X1056" t="s">
        <v>23</v>
      </c>
      <c r="Y1056" t="e">
        <f>+_xlfn.XLOOKUP(tbl_encuesta[[#This Row],[Considero a Limtek como un buen lugar para trabajar]],#REF!,#REF!)</f>
        <v>#REF!</v>
      </c>
      <c r="Z1056" t="s">
        <v>2657</v>
      </c>
      <c r="AA1056" t="s">
        <v>2658</v>
      </c>
      <c r="AB1056" t="s">
        <v>28</v>
      </c>
      <c r="AC1056" s="3" t="s">
        <v>3729</v>
      </c>
      <c r="AD1056" s="3" t="s">
        <v>3730</v>
      </c>
      <c r="AE1056" t="s">
        <v>29</v>
      </c>
    </row>
    <row r="1057" spans="1:31" x14ac:dyDescent="0.25">
      <c r="A1057">
        <v>119026775961</v>
      </c>
      <c r="B1057">
        <v>462598545</v>
      </c>
      <c r="C1057" s="1">
        <v>46017.534085648149</v>
      </c>
      <c r="D1057" s="1">
        <v>46017.539606481485</v>
      </c>
      <c r="E1057" t="s">
        <v>2659</v>
      </c>
      <c r="F1057" t="s">
        <v>97</v>
      </c>
      <c r="G1057" t="e">
        <f>+_xlfn.XLOOKUP(tbl_encuesta[[#This Row],[Me siento a gusto con el ambiente de trabajo que se genera en mi equipo.]],#REF!,#REF!)</f>
        <v>#REF!</v>
      </c>
      <c r="H1057" t="s">
        <v>23</v>
      </c>
      <c r="I1057" t="e">
        <f>+_xlfn.XLOOKUP(tbl_encuesta[[#This Row],[Me siento motivado a dar lo mejor de mí y hacer un buen trabajo]],#REF!,#REF!)</f>
        <v>#REF!</v>
      </c>
      <c r="J1057" t="s">
        <v>22</v>
      </c>
      <c r="K1057" t="e">
        <f>+_xlfn.XLOOKUP(tbl_encuesta[[#This Row],[Mi supervisor o jefe directo me otorga el soporte que necesito para afrontar cualquier problema que afecte mi trabajo]],#REF!,#REF!)</f>
        <v>#REF!</v>
      </c>
      <c r="L1057" t="s">
        <v>23</v>
      </c>
      <c r="M1057" t="e">
        <f>+_xlfn.XLOOKUP(tbl_encuesta[[#This Row],[Mi supervisor o jefe directo fomenta que nos apoyemos entre todos en el equipo]],#REF!,#REF!)</f>
        <v>#REF!</v>
      </c>
      <c r="N1057" t="s">
        <v>43</v>
      </c>
      <c r="O1057" t="e">
        <f>+_xlfn.XLOOKUP(tbl_encuesta[[#This Row],[Siento que mi trabajo es reconocido por mi supervisor o jefe directo.]],#REF!,#REF!)</f>
        <v>#REF!</v>
      </c>
      <c r="P1057" t="s">
        <v>175</v>
      </c>
      <c r="Q1057" t="e">
        <f xml:space="preserve">
_xlfn.XLOOKUP(
tbl_encuesta[[#This Row],[Mi supervisor o jefe directo nos brinda charlas de 5 minutos y comunica las novedades relevantes a mi puesto de trabajo]],#REF!,#REF!
)</f>
        <v>#REF!</v>
      </c>
      <c r="S1057" t="s">
        <v>18</v>
      </c>
      <c r="T1057" t="s">
        <v>19</v>
      </c>
      <c r="W1057" t="s">
        <v>25</v>
      </c>
      <c r="X1057" t="s">
        <v>22</v>
      </c>
      <c r="Y1057" t="e">
        <f>+_xlfn.XLOOKUP(tbl_encuesta[[#This Row],[Considero a Limtek como un buen lugar para trabajar]],#REF!,#REF!)</f>
        <v>#REF!</v>
      </c>
      <c r="Z1057" t="s">
        <v>958</v>
      </c>
      <c r="AA1057" t="s">
        <v>2660</v>
      </c>
      <c r="AB1057" t="s">
        <v>28</v>
      </c>
      <c r="AC1057" t="s">
        <v>3744</v>
      </c>
      <c r="AD1057" t="s">
        <v>3744</v>
      </c>
      <c r="AE1057" t="s">
        <v>34</v>
      </c>
    </row>
    <row r="1058" spans="1:31" x14ac:dyDescent="0.25">
      <c r="A1058">
        <v>119026773873</v>
      </c>
      <c r="B1058">
        <v>462598545</v>
      </c>
      <c r="C1058" s="1">
        <v>46017.529363425929</v>
      </c>
      <c r="D1058" s="1">
        <v>46017.535312499997</v>
      </c>
      <c r="E1058" t="s">
        <v>2661</v>
      </c>
      <c r="F1058" t="s">
        <v>23</v>
      </c>
      <c r="G1058" t="e">
        <f>+_xlfn.XLOOKUP(tbl_encuesta[[#This Row],[Me siento a gusto con el ambiente de trabajo que se genera en mi equipo.]],#REF!,#REF!)</f>
        <v>#REF!</v>
      </c>
      <c r="H1058" t="s">
        <v>23</v>
      </c>
      <c r="I1058" t="e">
        <f>+_xlfn.XLOOKUP(tbl_encuesta[[#This Row],[Me siento motivado a dar lo mejor de mí y hacer un buen trabajo]],#REF!,#REF!)</f>
        <v>#REF!</v>
      </c>
      <c r="J1058" t="s">
        <v>23</v>
      </c>
      <c r="K1058" t="e">
        <f>+_xlfn.XLOOKUP(tbl_encuesta[[#This Row],[Mi supervisor o jefe directo me otorga el soporte que necesito para afrontar cualquier problema que afecte mi trabajo]],#REF!,#REF!)</f>
        <v>#REF!</v>
      </c>
      <c r="L1058" t="s">
        <v>23</v>
      </c>
      <c r="M1058" t="e">
        <f>+_xlfn.XLOOKUP(tbl_encuesta[[#This Row],[Mi supervisor o jefe directo fomenta que nos apoyemos entre todos en el equipo]],#REF!,#REF!)</f>
        <v>#REF!</v>
      </c>
      <c r="N1058" t="s">
        <v>23</v>
      </c>
      <c r="O1058" t="e">
        <f>+_xlfn.XLOOKUP(tbl_encuesta[[#This Row],[Siento que mi trabajo es reconocido por mi supervisor o jefe directo.]],#REF!,#REF!)</f>
        <v>#REF!</v>
      </c>
      <c r="P1058" t="s">
        <v>31</v>
      </c>
      <c r="Q1058" t="e">
        <f xml:space="preserve">
_xlfn.XLOOKUP(
tbl_encuesta[[#This Row],[Mi supervisor o jefe directo nos brinda charlas de 5 minutos y comunica las novedades relevantes a mi puesto de trabajo]],#REF!,#REF!
)</f>
        <v>#REF!</v>
      </c>
      <c r="R1058" t="s">
        <v>17</v>
      </c>
      <c r="W1058" t="s">
        <v>25</v>
      </c>
      <c r="X1058" t="s">
        <v>23</v>
      </c>
      <c r="Y1058" t="e">
        <f>+_xlfn.XLOOKUP(tbl_encuesta[[#This Row],[Considero a Limtek como un buen lugar para trabajar]],#REF!,#REF!)</f>
        <v>#REF!</v>
      </c>
      <c r="Z1058" t="s">
        <v>2662</v>
      </c>
      <c r="AA1058" t="s">
        <v>2663</v>
      </c>
      <c r="AB1058" t="s">
        <v>28</v>
      </c>
      <c r="AC1058" t="s">
        <v>3744</v>
      </c>
      <c r="AD1058" t="s">
        <v>3744</v>
      </c>
      <c r="AE1058" t="s">
        <v>34</v>
      </c>
    </row>
    <row r="1059" spans="1:31" x14ac:dyDescent="0.25">
      <c r="A1059">
        <v>119026773592</v>
      </c>
      <c r="B1059">
        <v>462598545</v>
      </c>
      <c r="C1059" s="1">
        <v>46017.527465277781</v>
      </c>
      <c r="D1059" s="1">
        <v>46017.534745370373</v>
      </c>
      <c r="E1059" t="s">
        <v>2664</v>
      </c>
      <c r="F1059" t="s">
        <v>23</v>
      </c>
      <c r="G1059" t="e">
        <f>+_xlfn.XLOOKUP(tbl_encuesta[[#This Row],[Me siento a gusto con el ambiente de trabajo que se genera en mi equipo.]],#REF!,#REF!)</f>
        <v>#REF!</v>
      </c>
      <c r="H1059" t="s">
        <v>23</v>
      </c>
      <c r="I1059" t="e">
        <f>+_xlfn.XLOOKUP(tbl_encuesta[[#This Row],[Me siento motivado a dar lo mejor de mí y hacer un buen trabajo]],#REF!,#REF!)</f>
        <v>#REF!</v>
      </c>
      <c r="J1059" t="s">
        <v>23</v>
      </c>
      <c r="K1059" t="e">
        <f>+_xlfn.XLOOKUP(tbl_encuesta[[#This Row],[Mi supervisor o jefe directo me otorga el soporte que necesito para afrontar cualquier problema que afecte mi trabajo]],#REF!,#REF!)</f>
        <v>#REF!</v>
      </c>
      <c r="L1059" t="s">
        <v>23</v>
      </c>
      <c r="M1059" t="e">
        <f>+_xlfn.XLOOKUP(tbl_encuesta[[#This Row],[Mi supervisor o jefe directo fomenta que nos apoyemos entre todos en el equipo]],#REF!,#REF!)</f>
        <v>#REF!</v>
      </c>
      <c r="N1059" t="s">
        <v>23</v>
      </c>
      <c r="O1059" t="e">
        <f>+_xlfn.XLOOKUP(tbl_encuesta[[#This Row],[Siento que mi trabajo es reconocido por mi supervisor o jefe directo.]],#REF!,#REF!)</f>
        <v>#REF!</v>
      </c>
      <c r="P1059" t="s">
        <v>31</v>
      </c>
      <c r="Q1059" t="e">
        <f xml:space="preserve">
_xlfn.XLOOKUP(
tbl_encuesta[[#This Row],[Mi supervisor o jefe directo nos brinda charlas de 5 minutos y comunica las novedades relevantes a mi puesto de trabajo]],#REF!,#REF!
)</f>
        <v>#REF!</v>
      </c>
      <c r="R1059" t="s">
        <v>17</v>
      </c>
      <c r="W1059" t="s">
        <v>25</v>
      </c>
      <c r="X1059" t="s">
        <v>23</v>
      </c>
      <c r="Y1059" t="e">
        <f>+_xlfn.XLOOKUP(tbl_encuesta[[#This Row],[Considero a Limtek como un buen lugar para trabajar]],#REF!,#REF!)</f>
        <v>#REF!</v>
      </c>
      <c r="Z1059" t="s">
        <v>2665</v>
      </c>
      <c r="AA1059" t="s">
        <v>2666</v>
      </c>
      <c r="AB1059" t="s">
        <v>28</v>
      </c>
      <c r="AC1059" s="3" t="s">
        <v>3766</v>
      </c>
      <c r="AD1059" s="3" t="s">
        <v>3709</v>
      </c>
      <c r="AE1059" t="s">
        <v>55</v>
      </c>
    </row>
    <row r="1060" spans="1:31" x14ac:dyDescent="0.25">
      <c r="A1060">
        <v>119026773542</v>
      </c>
      <c r="B1060">
        <v>462598545</v>
      </c>
      <c r="C1060" s="1">
        <v>46017.533275462964</v>
      </c>
      <c r="D1060" s="1">
        <v>46017.534618055557</v>
      </c>
      <c r="E1060" t="s">
        <v>2667</v>
      </c>
      <c r="F1060" t="s">
        <v>23</v>
      </c>
      <c r="G1060" t="e">
        <f>+_xlfn.XLOOKUP(tbl_encuesta[[#This Row],[Me siento a gusto con el ambiente de trabajo que se genera en mi equipo.]],#REF!,#REF!)</f>
        <v>#REF!</v>
      </c>
      <c r="H1060" t="s">
        <v>23</v>
      </c>
      <c r="I1060" t="e">
        <f>+_xlfn.XLOOKUP(tbl_encuesta[[#This Row],[Me siento motivado a dar lo mejor de mí y hacer un buen trabajo]],#REF!,#REF!)</f>
        <v>#REF!</v>
      </c>
      <c r="J1060" t="s">
        <v>23</v>
      </c>
      <c r="K1060" t="e">
        <f>+_xlfn.XLOOKUP(tbl_encuesta[[#This Row],[Mi supervisor o jefe directo me otorga el soporte que necesito para afrontar cualquier problema que afecte mi trabajo]],#REF!,#REF!)</f>
        <v>#REF!</v>
      </c>
      <c r="L1060" t="s">
        <v>23</v>
      </c>
      <c r="M1060" t="e">
        <f>+_xlfn.XLOOKUP(tbl_encuesta[[#This Row],[Mi supervisor o jefe directo fomenta que nos apoyemos entre todos en el equipo]],#REF!,#REF!)</f>
        <v>#REF!</v>
      </c>
      <c r="N1060" t="s">
        <v>23</v>
      </c>
      <c r="O1060" t="e">
        <f>+_xlfn.XLOOKUP(tbl_encuesta[[#This Row],[Siento que mi trabajo es reconocido por mi supervisor o jefe directo.]],#REF!,#REF!)</f>
        <v>#REF!</v>
      </c>
      <c r="P1060" t="s">
        <v>31</v>
      </c>
      <c r="Q1060" t="e">
        <f xml:space="preserve">
_xlfn.XLOOKUP(
tbl_encuesta[[#This Row],[Mi supervisor o jefe directo nos brinda charlas de 5 minutos y comunica las novedades relevantes a mi puesto de trabajo]],#REF!,#REF!
)</f>
        <v>#REF!</v>
      </c>
      <c r="R1060" t="s">
        <v>17</v>
      </c>
      <c r="W1060" t="s">
        <v>25</v>
      </c>
      <c r="X1060" t="s">
        <v>23</v>
      </c>
      <c r="Y1060" t="e">
        <f>+_xlfn.XLOOKUP(tbl_encuesta[[#This Row],[Considero a Limtek como un buen lugar para trabajar]],#REF!,#REF!)</f>
        <v>#REF!</v>
      </c>
      <c r="Z1060" t="s">
        <v>388</v>
      </c>
      <c r="AA1060" t="s">
        <v>305</v>
      </c>
      <c r="AB1060" t="s">
        <v>28</v>
      </c>
      <c r="AC1060" t="s">
        <v>3744</v>
      </c>
      <c r="AD1060" t="s">
        <v>3744</v>
      </c>
      <c r="AE1060" t="s">
        <v>34</v>
      </c>
    </row>
    <row r="1061" spans="1:31" x14ac:dyDescent="0.25">
      <c r="A1061">
        <v>119026772514</v>
      </c>
      <c r="B1061">
        <v>462598545</v>
      </c>
      <c r="C1061" s="1">
        <v>46017.526701388888</v>
      </c>
      <c r="D1061" s="1">
        <v>46017.532592592594</v>
      </c>
      <c r="E1061" t="s">
        <v>2668</v>
      </c>
      <c r="F1061" t="s">
        <v>23</v>
      </c>
      <c r="G1061" t="e">
        <f>+_xlfn.XLOOKUP(tbl_encuesta[[#This Row],[Me siento a gusto con el ambiente de trabajo que se genera en mi equipo.]],#REF!,#REF!)</f>
        <v>#REF!</v>
      </c>
      <c r="H1061" t="s">
        <v>23</v>
      </c>
      <c r="I1061" t="e">
        <f>+_xlfn.XLOOKUP(tbl_encuesta[[#This Row],[Me siento motivado a dar lo mejor de mí y hacer un buen trabajo]],#REF!,#REF!)</f>
        <v>#REF!</v>
      </c>
      <c r="J1061" t="s">
        <v>23</v>
      </c>
      <c r="K1061" t="e">
        <f>+_xlfn.XLOOKUP(tbl_encuesta[[#This Row],[Mi supervisor o jefe directo me otorga el soporte que necesito para afrontar cualquier problema que afecte mi trabajo]],#REF!,#REF!)</f>
        <v>#REF!</v>
      </c>
      <c r="L1061" t="s">
        <v>23</v>
      </c>
      <c r="M1061" t="e">
        <f>+_xlfn.XLOOKUP(tbl_encuesta[[#This Row],[Mi supervisor o jefe directo fomenta que nos apoyemos entre todos en el equipo]],#REF!,#REF!)</f>
        <v>#REF!</v>
      </c>
      <c r="N1061" t="s">
        <v>23</v>
      </c>
      <c r="O1061" t="e">
        <f>+_xlfn.XLOOKUP(tbl_encuesta[[#This Row],[Siento que mi trabajo es reconocido por mi supervisor o jefe directo.]],#REF!,#REF!)</f>
        <v>#REF!</v>
      </c>
      <c r="P1061" t="s">
        <v>31</v>
      </c>
      <c r="Q1061" t="e">
        <f xml:space="preserve">
_xlfn.XLOOKUP(
tbl_encuesta[[#This Row],[Mi supervisor o jefe directo nos brinda charlas de 5 minutos y comunica las novedades relevantes a mi puesto de trabajo]],#REF!,#REF!
)</f>
        <v>#REF!</v>
      </c>
      <c r="R1061" t="s">
        <v>17</v>
      </c>
      <c r="W1061" t="s">
        <v>25</v>
      </c>
      <c r="X1061" t="s">
        <v>23</v>
      </c>
      <c r="Y1061" t="e">
        <f>+_xlfn.XLOOKUP(tbl_encuesta[[#This Row],[Considero a Limtek como un buen lugar para trabajar]],#REF!,#REF!)</f>
        <v>#REF!</v>
      </c>
      <c r="Z1061" t="s">
        <v>2669</v>
      </c>
      <c r="AA1061" t="s">
        <v>2670</v>
      </c>
      <c r="AB1061" t="s">
        <v>28</v>
      </c>
      <c r="AC1061" s="3" t="s">
        <v>3766</v>
      </c>
      <c r="AD1061" s="3" t="s">
        <v>3709</v>
      </c>
      <c r="AE1061" t="s">
        <v>55</v>
      </c>
    </row>
    <row r="1062" spans="1:31" x14ac:dyDescent="0.25">
      <c r="A1062">
        <v>119026772084</v>
      </c>
      <c r="B1062">
        <v>462598545</v>
      </c>
      <c r="C1062" s="1">
        <v>46017.526620370372</v>
      </c>
      <c r="D1062" s="1">
        <v>46017.531736111108</v>
      </c>
      <c r="E1062" t="s">
        <v>2671</v>
      </c>
      <c r="F1062" t="s">
        <v>23</v>
      </c>
      <c r="G1062" t="e">
        <f>+_xlfn.XLOOKUP(tbl_encuesta[[#This Row],[Me siento a gusto con el ambiente de trabajo que se genera en mi equipo.]],#REF!,#REF!)</f>
        <v>#REF!</v>
      </c>
      <c r="H1062" t="s">
        <v>23</v>
      </c>
      <c r="I1062" t="e">
        <f>+_xlfn.XLOOKUP(tbl_encuesta[[#This Row],[Me siento motivado a dar lo mejor de mí y hacer un buen trabajo]],#REF!,#REF!)</f>
        <v>#REF!</v>
      </c>
      <c r="J1062" t="s">
        <v>23</v>
      </c>
      <c r="K1062" t="e">
        <f>+_xlfn.XLOOKUP(tbl_encuesta[[#This Row],[Mi supervisor o jefe directo me otorga el soporte que necesito para afrontar cualquier problema que afecte mi trabajo]],#REF!,#REF!)</f>
        <v>#REF!</v>
      </c>
      <c r="L1062" t="s">
        <v>23</v>
      </c>
      <c r="M1062" t="e">
        <f>+_xlfn.XLOOKUP(tbl_encuesta[[#This Row],[Mi supervisor o jefe directo fomenta que nos apoyemos entre todos en el equipo]],#REF!,#REF!)</f>
        <v>#REF!</v>
      </c>
      <c r="N1062" t="s">
        <v>22</v>
      </c>
      <c r="O1062" t="e">
        <f>+_xlfn.XLOOKUP(tbl_encuesta[[#This Row],[Siento que mi trabajo es reconocido por mi supervisor o jefe directo.]],#REF!,#REF!)</f>
        <v>#REF!</v>
      </c>
      <c r="P1062" t="s">
        <v>31</v>
      </c>
      <c r="Q1062" t="e">
        <f xml:space="preserve">
_xlfn.XLOOKUP(
tbl_encuesta[[#This Row],[Mi supervisor o jefe directo nos brinda charlas de 5 minutos y comunica las novedades relevantes a mi puesto de trabajo]],#REF!,#REF!
)</f>
        <v>#REF!</v>
      </c>
      <c r="R1062" t="s">
        <v>17</v>
      </c>
      <c r="S1062" t="s">
        <v>18</v>
      </c>
      <c r="W1062" t="s">
        <v>25</v>
      </c>
      <c r="X1062" t="s">
        <v>23</v>
      </c>
      <c r="Y1062" t="e">
        <f>+_xlfn.XLOOKUP(tbl_encuesta[[#This Row],[Considero a Limtek como un buen lugar para trabajar]],#REF!,#REF!)</f>
        <v>#REF!</v>
      </c>
      <c r="Z1062" t="s">
        <v>2653</v>
      </c>
      <c r="AA1062" t="s">
        <v>2672</v>
      </c>
      <c r="AB1062" t="s">
        <v>28</v>
      </c>
      <c r="AC1062" s="3" t="s">
        <v>3766</v>
      </c>
      <c r="AD1062" s="3" t="s">
        <v>3766</v>
      </c>
      <c r="AE1062" t="s">
        <v>55</v>
      </c>
    </row>
    <row r="1063" spans="1:31" x14ac:dyDescent="0.25">
      <c r="A1063">
        <v>119026731250</v>
      </c>
      <c r="B1063">
        <v>462598545</v>
      </c>
      <c r="C1063" s="1">
        <v>46017.449791666666</v>
      </c>
      <c r="D1063" s="1">
        <v>46017.454502314817</v>
      </c>
      <c r="E1063" t="s">
        <v>2673</v>
      </c>
      <c r="F1063" t="s">
        <v>22</v>
      </c>
      <c r="G1063" t="e">
        <f>+_xlfn.XLOOKUP(tbl_encuesta[[#This Row],[Me siento a gusto con el ambiente de trabajo que se genera en mi equipo.]],#REF!,#REF!)</f>
        <v>#REF!</v>
      </c>
      <c r="H1063" t="s">
        <v>23</v>
      </c>
      <c r="I1063" t="e">
        <f>+_xlfn.XLOOKUP(tbl_encuesta[[#This Row],[Me siento motivado a dar lo mejor de mí y hacer un buen trabajo]],#REF!,#REF!)</f>
        <v>#REF!</v>
      </c>
      <c r="J1063" t="s">
        <v>23</v>
      </c>
      <c r="K1063" t="e">
        <f>+_xlfn.XLOOKUP(tbl_encuesta[[#This Row],[Mi supervisor o jefe directo me otorga el soporte que necesito para afrontar cualquier problema que afecte mi trabajo]],#REF!,#REF!)</f>
        <v>#REF!</v>
      </c>
      <c r="L1063" t="s">
        <v>23</v>
      </c>
      <c r="M1063" t="e">
        <f>+_xlfn.XLOOKUP(tbl_encuesta[[#This Row],[Mi supervisor o jefe directo fomenta que nos apoyemos entre todos en el equipo]],#REF!,#REF!)</f>
        <v>#REF!</v>
      </c>
      <c r="N1063" t="s">
        <v>22</v>
      </c>
      <c r="O1063" t="e">
        <f>+_xlfn.XLOOKUP(tbl_encuesta[[#This Row],[Siento que mi trabajo es reconocido por mi supervisor o jefe directo.]],#REF!,#REF!)</f>
        <v>#REF!</v>
      </c>
      <c r="P1063" t="s">
        <v>31</v>
      </c>
      <c r="Q1063" t="e">
        <f xml:space="preserve">
_xlfn.XLOOKUP(
tbl_encuesta[[#This Row],[Mi supervisor o jefe directo nos brinda charlas de 5 minutos y comunica las novedades relevantes a mi puesto de trabajo]],#REF!,#REF!
)</f>
        <v>#REF!</v>
      </c>
      <c r="R1063" t="s">
        <v>17</v>
      </c>
      <c r="S1063" t="s">
        <v>18</v>
      </c>
      <c r="W1063" t="s">
        <v>25</v>
      </c>
      <c r="X1063" t="s">
        <v>23</v>
      </c>
      <c r="Y1063" t="e">
        <f>+_xlfn.XLOOKUP(tbl_encuesta[[#This Row],[Considero a Limtek como un buen lugar para trabajar]],#REF!,#REF!)</f>
        <v>#REF!</v>
      </c>
      <c r="Z1063" t="s">
        <v>193</v>
      </c>
      <c r="AA1063" t="s">
        <v>2674</v>
      </c>
      <c r="AB1063" t="s">
        <v>28</v>
      </c>
      <c r="AC1063" s="3" t="s">
        <v>3716</v>
      </c>
      <c r="AD1063" s="3" t="s">
        <v>3720</v>
      </c>
      <c r="AE1063" t="s">
        <v>69</v>
      </c>
    </row>
    <row r="1064" spans="1:31" x14ac:dyDescent="0.25">
      <c r="A1064">
        <v>119026730525</v>
      </c>
      <c r="B1064">
        <v>462598545</v>
      </c>
      <c r="C1064" s="1">
        <v>46017.446886574071</v>
      </c>
      <c r="D1064" s="1">
        <v>46017.453032407408</v>
      </c>
      <c r="E1064" t="s">
        <v>1874</v>
      </c>
      <c r="F1064" t="s">
        <v>23</v>
      </c>
      <c r="G1064" t="e">
        <f>+_xlfn.XLOOKUP(tbl_encuesta[[#This Row],[Me siento a gusto con el ambiente de trabajo que se genera en mi equipo.]],#REF!,#REF!)</f>
        <v>#REF!</v>
      </c>
      <c r="H1064" t="s">
        <v>23</v>
      </c>
      <c r="I1064" t="e">
        <f>+_xlfn.XLOOKUP(tbl_encuesta[[#This Row],[Me siento motivado a dar lo mejor de mí y hacer un buen trabajo]],#REF!,#REF!)</f>
        <v>#REF!</v>
      </c>
      <c r="J1064" t="s">
        <v>23</v>
      </c>
      <c r="K1064" t="e">
        <f>+_xlfn.XLOOKUP(tbl_encuesta[[#This Row],[Mi supervisor o jefe directo me otorga el soporte que necesito para afrontar cualquier problema que afecte mi trabajo]],#REF!,#REF!)</f>
        <v>#REF!</v>
      </c>
      <c r="L1064" t="s">
        <v>23</v>
      </c>
      <c r="M1064" t="e">
        <f>+_xlfn.XLOOKUP(tbl_encuesta[[#This Row],[Mi supervisor o jefe directo fomenta que nos apoyemos entre todos en el equipo]],#REF!,#REF!)</f>
        <v>#REF!</v>
      </c>
      <c r="N1064" t="s">
        <v>23</v>
      </c>
      <c r="O1064" t="e">
        <f>+_xlfn.XLOOKUP(tbl_encuesta[[#This Row],[Siento que mi trabajo es reconocido por mi supervisor o jefe directo.]],#REF!,#REF!)</f>
        <v>#REF!</v>
      </c>
      <c r="P1064" t="s">
        <v>31</v>
      </c>
      <c r="Q1064" t="e">
        <f xml:space="preserve">
_xlfn.XLOOKUP(
tbl_encuesta[[#This Row],[Mi supervisor o jefe directo nos brinda charlas de 5 minutos y comunica las novedades relevantes a mi puesto de trabajo]],#REF!,#REF!
)</f>
        <v>#REF!</v>
      </c>
      <c r="R1064" t="s">
        <v>17</v>
      </c>
      <c r="S1064" t="s">
        <v>18</v>
      </c>
      <c r="W1064" t="s">
        <v>25</v>
      </c>
      <c r="X1064" t="s">
        <v>23</v>
      </c>
      <c r="Y1064" t="e">
        <f>+_xlfn.XLOOKUP(tbl_encuesta[[#This Row],[Considero a Limtek como un buen lugar para trabajar]],#REF!,#REF!)</f>
        <v>#REF!</v>
      </c>
      <c r="Z1064" t="s">
        <v>193</v>
      </c>
      <c r="AA1064" t="s">
        <v>2675</v>
      </c>
      <c r="AB1064" t="s">
        <v>28</v>
      </c>
      <c r="AC1064" s="3" t="s">
        <v>3716</v>
      </c>
      <c r="AD1064" s="3" t="s">
        <v>3720</v>
      </c>
      <c r="AE1064" t="s">
        <v>69</v>
      </c>
    </row>
    <row r="1065" spans="1:31" x14ac:dyDescent="0.25">
      <c r="A1065">
        <v>119026730514</v>
      </c>
      <c r="B1065">
        <v>462598545</v>
      </c>
      <c r="C1065" s="1">
        <v>46017.446979166663</v>
      </c>
      <c r="D1065" s="1">
        <v>46017.453020833331</v>
      </c>
      <c r="E1065" t="s">
        <v>1829</v>
      </c>
      <c r="F1065" t="s">
        <v>23</v>
      </c>
      <c r="G1065" t="e">
        <f>+_xlfn.XLOOKUP(tbl_encuesta[[#This Row],[Me siento a gusto con el ambiente de trabajo que se genera en mi equipo.]],#REF!,#REF!)</f>
        <v>#REF!</v>
      </c>
      <c r="H1065" t="s">
        <v>23</v>
      </c>
      <c r="I1065" t="e">
        <f>+_xlfn.XLOOKUP(tbl_encuesta[[#This Row],[Me siento motivado a dar lo mejor de mí y hacer un buen trabajo]],#REF!,#REF!)</f>
        <v>#REF!</v>
      </c>
      <c r="J1065" t="s">
        <v>23</v>
      </c>
      <c r="K1065" t="e">
        <f>+_xlfn.XLOOKUP(tbl_encuesta[[#This Row],[Mi supervisor o jefe directo me otorga el soporte que necesito para afrontar cualquier problema que afecte mi trabajo]],#REF!,#REF!)</f>
        <v>#REF!</v>
      </c>
      <c r="L1065" t="s">
        <v>22</v>
      </c>
      <c r="M1065" t="e">
        <f>+_xlfn.XLOOKUP(tbl_encuesta[[#This Row],[Mi supervisor o jefe directo fomenta que nos apoyemos entre todos en el equipo]],#REF!,#REF!)</f>
        <v>#REF!</v>
      </c>
      <c r="N1065" t="s">
        <v>23</v>
      </c>
      <c r="O1065" t="e">
        <f>+_xlfn.XLOOKUP(tbl_encuesta[[#This Row],[Siento que mi trabajo es reconocido por mi supervisor o jefe directo.]],#REF!,#REF!)</f>
        <v>#REF!</v>
      </c>
      <c r="P1065" t="s">
        <v>31</v>
      </c>
      <c r="Q1065" t="e">
        <f xml:space="preserve">
_xlfn.XLOOKUP(
tbl_encuesta[[#This Row],[Mi supervisor o jefe directo nos brinda charlas de 5 minutos y comunica las novedades relevantes a mi puesto de trabajo]],#REF!,#REF!
)</f>
        <v>#REF!</v>
      </c>
      <c r="R1065" t="s">
        <v>17</v>
      </c>
      <c r="S1065" t="s">
        <v>18</v>
      </c>
      <c r="W1065" t="s">
        <v>25</v>
      </c>
      <c r="X1065" t="s">
        <v>23</v>
      </c>
      <c r="Y1065" t="e">
        <f>+_xlfn.XLOOKUP(tbl_encuesta[[#This Row],[Considero a Limtek como un buen lugar para trabajar]],#REF!,#REF!)</f>
        <v>#REF!</v>
      </c>
      <c r="Z1065" t="s">
        <v>193</v>
      </c>
      <c r="AA1065" t="s">
        <v>2676</v>
      </c>
      <c r="AB1065" t="s">
        <v>28</v>
      </c>
      <c r="AC1065" s="3" t="s">
        <v>3716</v>
      </c>
      <c r="AD1065" s="3" t="s">
        <v>3720</v>
      </c>
      <c r="AE1065" t="s">
        <v>69</v>
      </c>
    </row>
    <row r="1066" spans="1:31" x14ac:dyDescent="0.25">
      <c r="A1066">
        <v>119026725444</v>
      </c>
      <c r="B1066">
        <v>462598545</v>
      </c>
      <c r="C1066" s="1">
        <v>46017.438703703701</v>
      </c>
      <c r="D1066" s="1">
        <v>46017.442916666667</v>
      </c>
      <c r="E1066" t="s">
        <v>2677</v>
      </c>
      <c r="F1066" t="s">
        <v>23</v>
      </c>
      <c r="G1066" t="e">
        <f>+_xlfn.XLOOKUP(tbl_encuesta[[#This Row],[Me siento a gusto con el ambiente de trabajo que se genera en mi equipo.]],#REF!,#REF!)</f>
        <v>#REF!</v>
      </c>
      <c r="H1066" t="s">
        <v>23</v>
      </c>
      <c r="I1066" t="e">
        <f>+_xlfn.XLOOKUP(tbl_encuesta[[#This Row],[Me siento motivado a dar lo mejor de mí y hacer un buen trabajo]],#REF!,#REF!)</f>
        <v>#REF!</v>
      </c>
      <c r="J1066" t="s">
        <v>23</v>
      </c>
      <c r="K1066" t="e">
        <f>+_xlfn.XLOOKUP(tbl_encuesta[[#This Row],[Mi supervisor o jefe directo me otorga el soporte que necesito para afrontar cualquier problema que afecte mi trabajo]],#REF!,#REF!)</f>
        <v>#REF!</v>
      </c>
      <c r="L1066" t="s">
        <v>23</v>
      </c>
      <c r="M1066" t="e">
        <f>+_xlfn.XLOOKUP(tbl_encuesta[[#This Row],[Mi supervisor o jefe directo fomenta que nos apoyemos entre todos en el equipo]],#REF!,#REF!)</f>
        <v>#REF!</v>
      </c>
      <c r="N1066" t="s">
        <v>23</v>
      </c>
      <c r="O1066" t="e">
        <f>+_xlfn.XLOOKUP(tbl_encuesta[[#This Row],[Siento que mi trabajo es reconocido por mi supervisor o jefe directo.]],#REF!,#REF!)</f>
        <v>#REF!</v>
      </c>
      <c r="P1066" t="s">
        <v>31</v>
      </c>
      <c r="Q1066" t="e">
        <f xml:space="preserve">
_xlfn.XLOOKUP(
tbl_encuesta[[#This Row],[Mi supervisor o jefe directo nos brinda charlas de 5 minutos y comunica las novedades relevantes a mi puesto de trabajo]],#REF!,#REF!
)</f>
        <v>#REF!</v>
      </c>
      <c r="S1066" t="s">
        <v>18</v>
      </c>
      <c r="W1066" t="s">
        <v>25</v>
      </c>
      <c r="X1066" t="s">
        <v>23</v>
      </c>
      <c r="Y1066" t="e">
        <f>+_xlfn.XLOOKUP(tbl_encuesta[[#This Row],[Considero a Limtek como un buen lugar para trabajar]],#REF!,#REF!)</f>
        <v>#REF!</v>
      </c>
      <c r="Z1066" t="s">
        <v>2678</v>
      </c>
      <c r="AA1066" t="s">
        <v>2679</v>
      </c>
      <c r="AB1066" t="s">
        <v>28</v>
      </c>
      <c r="AC1066" s="3" t="s">
        <v>3716</v>
      </c>
      <c r="AD1066" s="3" t="s">
        <v>3720</v>
      </c>
      <c r="AE1066" t="s">
        <v>29</v>
      </c>
    </row>
    <row r="1067" spans="1:31" x14ac:dyDescent="0.25">
      <c r="A1067">
        <v>119026725351</v>
      </c>
      <c r="B1067">
        <v>462598545</v>
      </c>
      <c r="C1067" s="1">
        <v>46017.439085648148</v>
      </c>
      <c r="D1067" s="1">
        <v>46017.442685185182</v>
      </c>
      <c r="E1067" t="s">
        <v>1829</v>
      </c>
      <c r="F1067" t="s">
        <v>23</v>
      </c>
      <c r="G1067" t="e">
        <f>+_xlfn.XLOOKUP(tbl_encuesta[[#This Row],[Me siento a gusto con el ambiente de trabajo que se genera en mi equipo.]],#REF!,#REF!)</f>
        <v>#REF!</v>
      </c>
      <c r="H1067" t="s">
        <v>23</v>
      </c>
      <c r="I1067" t="e">
        <f>+_xlfn.XLOOKUP(tbl_encuesta[[#This Row],[Me siento motivado a dar lo mejor de mí y hacer un buen trabajo]],#REF!,#REF!)</f>
        <v>#REF!</v>
      </c>
      <c r="J1067" t="s">
        <v>23</v>
      </c>
      <c r="K1067" t="e">
        <f>+_xlfn.XLOOKUP(tbl_encuesta[[#This Row],[Mi supervisor o jefe directo me otorga el soporte que necesito para afrontar cualquier problema que afecte mi trabajo]],#REF!,#REF!)</f>
        <v>#REF!</v>
      </c>
      <c r="L1067" t="s">
        <v>23</v>
      </c>
      <c r="M1067" t="e">
        <f>+_xlfn.XLOOKUP(tbl_encuesta[[#This Row],[Mi supervisor o jefe directo fomenta que nos apoyemos entre todos en el equipo]],#REF!,#REF!)</f>
        <v>#REF!</v>
      </c>
      <c r="N1067" t="s">
        <v>23</v>
      </c>
      <c r="O1067" t="e">
        <f>+_xlfn.XLOOKUP(tbl_encuesta[[#This Row],[Siento que mi trabajo es reconocido por mi supervisor o jefe directo.]],#REF!,#REF!)</f>
        <v>#REF!</v>
      </c>
      <c r="P1067" t="s">
        <v>31</v>
      </c>
      <c r="Q1067" t="e">
        <f xml:space="preserve">
_xlfn.XLOOKUP(
tbl_encuesta[[#This Row],[Mi supervisor o jefe directo nos brinda charlas de 5 minutos y comunica las novedades relevantes a mi puesto de trabajo]],#REF!,#REF!
)</f>
        <v>#REF!</v>
      </c>
      <c r="R1067" t="s">
        <v>17</v>
      </c>
      <c r="S1067" t="s">
        <v>18</v>
      </c>
      <c r="W1067" t="s">
        <v>25</v>
      </c>
      <c r="X1067" t="s">
        <v>23</v>
      </c>
      <c r="Y1067" t="e">
        <f>+_xlfn.XLOOKUP(tbl_encuesta[[#This Row],[Considero a Limtek como un buen lugar para trabajar]],#REF!,#REF!)</f>
        <v>#REF!</v>
      </c>
      <c r="Z1067" t="s">
        <v>193</v>
      </c>
      <c r="AA1067" t="s">
        <v>2680</v>
      </c>
      <c r="AB1067" t="s">
        <v>28</v>
      </c>
      <c r="AC1067" s="3" t="s">
        <v>3716</v>
      </c>
      <c r="AD1067" s="3" t="s">
        <v>3716</v>
      </c>
      <c r="AE1067" t="s">
        <v>61</v>
      </c>
    </row>
    <row r="1068" spans="1:31" x14ac:dyDescent="0.25">
      <c r="A1068">
        <v>119026724857</v>
      </c>
      <c r="B1068">
        <v>462598545</v>
      </c>
      <c r="C1068" s="1">
        <v>46017.438402777778</v>
      </c>
      <c r="D1068" s="1">
        <v>46017.441712962966</v>
      </c>
      <c r="E1068" t="s">
        <v>1620</v>
      </c>
      <c r="F1068" t="s">
        <v>22</v>
      </c>
      <c r="G1068" t="e">
        <f>+_xlfn.XLOOKUP(tbl_encuesta[[#This Row],[Me siento a gusto con el ambiente de trabajo que se genera en mi equipo.]],#REF!,#REF!)</f>
        <v>#REF!</v>
      </c>
      <c r="H1068" t="s">
        <v>23</v>
      </c>
      <c r="I1068" t="e">
        <f>+_xlfn.XLOOKUP(tbl_encuesta[[#This Row],[Me siento motivado a dar lo mejor de mí y hacer un buen trabajo]],#REF!,#REF!)</f>
        <v>#REF!</v>
      </c>
      <c r="J1068" t="s">
        <v>22</v>
      </c>
      <c r="K1068" t="e">
        <f>+_xlfn.XLOOKUP(tbl_encuesta[[#This Row],[Mi supervisor o jefe directo me otorga el soporte que necesito para afrontar cualquier problema que afecte mi trabajo]],#REF!,#REF!)</f>
        <v>#REF!</v>
      </c>
      <c r="L1068" t="s">
        <v>23</v>
      </c>
      <c r="M1068" t="e">
        <f>+_xlfn.XLOOKUP(tbl_encuesta[[#This Row],[Mi supervisor o jefe directo fomenta que nos apoyemos entre todos en el equipo]],#REF!,#REF!)</f>
        <v>#REF!</v>
      </c>
      <c r="N1068" t="s">
        <v>22</v>
      </c>
      <c r="O1068" t="e">
        <f>+_xlfn.XLOOKUP(tbl_encuesta[[#This Row],[Siento que mi trabajo es reconocido por mi supervisor o jefe directo.]],#REF!,#REF!)</f>
        <v>#REF!</v>
      </c>
      <c r="P1068" t="s">
        <v>31</v>
      </c>
      <c r="Q1068" t="e">
        <f xml:space="preserve">
_xlfn.XLOOKUP(
tbl_encuesta[[#This Row],[Mi supervisor o jefe directo nos brinda charlas de 5 minutos y comunica las novedades relevantes a mi puesto de trabajo]],#REF!,#REF!
)</f>
        <v>#REF!</v>
      </c>
      <c r="R1068" t="s">
        <v>17</v>
      </c>
      <c r="S1068" t="s">
        <v>18</v>
      </c>
      <c r="W1068" t="s">
        <v>25</v>
      </c>
      <c r="X1068" t="s">
        <v>22</v>
      </c>
      <c r="Y1068" t="e">
        <f>+_xlfn.XLOOKUP(tbl_encuesta[[#This Row],[Considero a Limtek como un buen lugar para trabajar]],#REF!,#REF!)</f>
        <v>#REF!</v>
      </c>
      <c r="Z1068" t="s">
        <v>193</v>
      </c>
      <c r="AA1068" t="s">
        <v>2681</v>
      </c>
      <c r="AB1068" t="s">
        <v>28</v>
      </c>
      <c r="AC1068" s="3" t="s">
        <v>3716</v>
      </c>
      <c r="AD1068" s="3" t="s">
        <v>3716</v>
      </c>
      <c r="AE1068" t="s">
        <v>34</v>
      </c>
    </row>
    <row r="1069" spans="1:31" x14ac:dyDescent="0.25">
      <c r="A1069">
        <v>119026626685</v>
      </c>
      <c r="B1069">
        <v>462598545</v>
      </c>
      <c r="C1069" s="1">
        <v>46017.182650462964</v>
      </c>
      <c r="D1069" s="1">
        <v>46017.189641203702</v>
      </c>
      <c r="E1069" t="s">
        <v>2682</v>
      </c>
      <c r="F1069" t="s">
        <v>22</v>
      </c>
      <c r="G1069" t="e">
        <f>+_xlfn.XLOOKUP(tbl_encuesta[[#This Row],[Me siento a gusto con el ambiente de trabajo que se genera en mi equipo.]],#REF!,#REF!)</f>
        <v>#REF!</v>
      </c>
      <c r="H1069" t="s">
        <v>23</v>
      </c>
      <c r="I1069" t="e">
        <f>+_xlfn.XLOOKUP(tbl_encuesta[[#This Row],[Me siento motivado a dar lo mejor de mí y hacer un buen trabajo]],#REF!,#REF!)</f>
        <v>#REF!</v>
      </c>
      <c r="J1069" t="s">
        <v>23</v>
      </c>
      <c r="K1069" t="e">
        <f>+_xlfn.XLOOKUP(tbl_encuesta[[#This Row],[Mi supervisor o jefe directo me otorga el soporte que necesito para afrontar cualquier problema que afecte mi trabajo]],#REF!,#REF!)</f>
        <v>#REF!</v>
      </c>
      <c r="L1069" t="s">
        <v>22</v>
      </c>
      <c r="M1069" t="e">
        <f>+_xlfn.XLOOKUP(tbl_encuesta[[#This Row],[Mi supervisor o jefe directo fomenta que nos apoyemos entre todos en el equipo]],#REF!,#REF!)</f>
        <v>#REF!</v>
      </c>
      <c r="N1069" t="s">
        <v>23</v>
      </c>
      <c r="O1069" t="e">
        <f>+_xlfn.XLOOKUP(tbl_encuesta[[#This Row],[Siento que mi trabajo es reconocido por mi supervisor o jefe directo.]],#REF!,#REF!)</f>
        <v>#REF!</v>
      </c>
      <c r="P1069" t="s">
        <v>31</v>
      </c>
      <c r="Q1069" t="e">
        <f xml:space="preserve">
_xlfn.XLOOKUP(
tbl_encuesta[[#This Row],[Mi supervisor o jefe directo nos brinda charlas de 5 minutos y comunica las novedades relevantes a mi puesto de trabajo]],#REF!,#REF!
)</f>
        <v>#REF!</v>
      </c>
      <c r="R1069" t="s">
        <v>17</v>
      </c>
      <c r="W1069" t="s">
        <v>25</v>
      </c>
      <c r="X1069" t="s">
        <v>23</v>
      </c>
      <c r="Y1069" t="e">
        <f>+_xlfn.XLOOKUP(tbl_encuesta[[#This Row],[Considero a Limtek como un buen lugar para trabajar]],#REF!,#REF!)</f>
        <v>#REF!</v>
      </c>
      <c r="Z1069" t="s">
        <v>2683</v>
      </c>
      <c r="AA1069" t="s">
        <v>2684</v>
      </c>
      <c r="AB1069" t="s">
        <v>28</v>
      </c>
      <c r="AC1069" s="3" t="s">
        <v>3716</v>
      </c>
      <c r="AD1069" s="3" t="s">
        <v>3720</v>
      </c>
      <c r="AE1069" t="s">
        <v>29</v>
      </c>
    </row>
    <row r="1070" spans="1:31" x14ac:dyDescent="0.25">
      <c r="A1070">
        <v>119026575944</v>
      </c>
      <c r="B1070">
        <v>462598545</v>
      </c>
      <c r="C1070" s="1">
        <v>46016.982361111113</v>
      </c>
      <c r="D1070" s="1">
        <v>46016.986435185187</v>
      </c>
      <c r="E1070" t="s">
        <v>2685</v>
      </c>
      <c r="F1070" t="s">
        <v>23</v>
      </c>
      <c r="G1070" t="e">
        <f>+_xlfn.XLOOKUP(tbl_encuesta[[#This Row],[Me siento a gusto con el ambiente de trabajo que se genera en mi equipo.]],#REF!,#REF!)</f>
        <v>#REF!</v>
      </c>
      <c r="H1070" t="s">
        <v>23</v>
      </c>
      <c r="I1070" t="e">
        <f>+_xlfn.XLOOKUP(tbl_encuesta[[#This Row],[Me siento motivado a dar lo mejor de mí y hacer un buen trabajo]],#REF!,#REF!)</f>
        <v>#REF!</v>
      </c>
      <c r="J1070" t="s">
        <v>23</v>
      </c>
      <c r="K1070" t="e">
        <f>+_xlfn.XLOOKUP(tbl_encuesta[[#This Row],[Mi supervisor o jefe directo me otorga el soporte que necesito para afrontar cualquier problema que afecte mi trabajo]],#REF!,#REF!)</f>
        <v>#REF!</v>
      </c>
      <c r="L1070" t="s">
        <v>23</v>
      </c>
      <c r="M1070" t="e">
        <f>+_xlfn.XLOOKUP(tbl_encuesta[[#This Row],[Mi supervisor o jefe directo fomenta que nos apoyemos entre todos en el equipo]],#REF!,#REF!)</f>
        <v>#REF!</v>
      </c>
      <c r="N1070" t="s">
        <v>23</v>
      </c>
      <c r="O1070" t="e">
        <f>+_xlfn.XLOOKUP(tbl_encuesta[[#This Row],[Siento que mi trabajo es reconocido por mi supervisor o jefe directo.]],#REF!,#REF!)</f>
        <v>#REF!</v>
      </c>
      <c r="P1070" t="s">
        <v>31</v>
      </c>
      <c r="Q1070" t="e">
        <f xml:space="preserve">
_xlfn.XLOOKUP(
tbl_encuesta[[#This Row],[Mi supervisor o jefe directo nos brinda charlas de 5 minutos y comunica las novedades relevantes a mi puesto de trabajo]],#REF!,#REF!
)</f>
        <v>#REF!</v>
      </c>
      <c r="R1070" t="s">
        <v>17</v>
      </c>
      <c r="T1070" t="s">
        <v>19</v>
      </c>
      <c r="W1070" t="s">
        <v>25</v>
      </c>
      <c r="X1070" t="s">
        <v>23</v>
      </c>
      <c r="Y1070" t="e">
        <f>+_xlfn.XLOOKUP(tbl_encuesta[[#This Row],[Considero a Limtek como un buen lugar para trabajar]],#REF!,#REF!)</f>
        <v>#REF!</v>
      </c>
      <c r="Z1070" t="s">
        <v>2686</v>
      </c>
      <c r="AA1070" t="s">
        <v>305</v>
      </c>
      <c r="AB1070" t="s">
        <v>726</v>
      </c>
      <c r="AC1070" s="3" t="s">
        <v>3716</v>
      </c>
      <c r="AD1070" s="3" t="s">
        <v>3708</v>
      </c>
      <c r="AE1070" t="s">
        <v>69</v>
      </c>
    </row>
    <row r="1071" spans="1:31" x14ac:dyDescent="0.25">
      <c r="A1071">
        <v>119026556685</v>
      </c>
      <c r="B1071">
        <v>462598545</v>
      </c>
      <c r="C1071" s="1">
        <v>46016.903425925928</v>
      </c>
      <c r="D1071" s="1">
        <v>46016.908692129633</v>
      </c>
      <c r="E1071" t="s">
        <v>2687</v>
      </c>
      <c r="F1071" t="s">
        <v>23</v>
      </c>
      <c r="G1071" t="e">
        <f>+_xlfn.XLOOKUP(tbl_encuesta[[#This Row],[Me siento a gusto con el ambiente de trabajo que se genera en mi equipo.]],#REF!,#REF!)</f>
        <v>#REF!</v>
      </c>
      <c r="H1071" t="s">
        <v>23</v>
      </c>
      <c r="I1071" t="e">
        <f>+_xlfn.XLOOKUP(tbl_encuesta[[#This Row],[Me siento motivado a dar lo mejor de mí y hacer un buen trabajo]],#REF!,#REF!)</f>
        <v>#REF!</v>
      </c>
      <c r="J1071" t="s">
        <v>23</v>
      </c>
      <c r="K1071" t="e">
        <f>+_xlfn.XLOOKUP(tbl_encuesta[[#This Row],[Mi supervisor o jefe directo me otorga el soporte que necesito para afrontar cualquier problema que afecte mi trabajo]],#REF!,#REF!)</f>
        <v>#REF!</v>
      </c>
      <c r="L1071" t="s">
        <v>23</v>
      </c>
      <c r="M1071" t="e">
        <f>+_xlfn.XLOOKUP(tbl_encuesta[[#This Row],[Mi supervisor o jefe directo fomenta que nos apoyemos entre todos en el equipo]],#REF!,#REF!)</f>
        <v>#REF!</v>
      </c>
      <c r="N1071" t="s">
        <v>23</v>
      </c>
      <c r="O1071" t="e">
        <f>+_xlfn.XLOOKUP(tbl_encuesta[[#This Row],[Siento que mi trabajo es reconocido por mi supervisor o jefe directo.]],#REF!,#REF!)</f>
        <v>#REF!</v>
      </c>
      <c r="P1071" t="s">
        <v>31</v>
      </c>
      <c r="Q1071" t="e">
        <f xml:space="preserve">
_xlfn.XLOOKUP(
tbl_encuesta[[#This Row],[Mi supervisor o jefe directo nos brinda charlas de 5 minutos y comunica las novedades relevantes a mi puesto de trabajo]],#REF!,#REF!
)</f>
        <v>#REF!</v>
      </c>
      <c r="R1071" t="s">
        <v>17</v>
      </c>
      <c r="S1071" t="s">
        <v>18</v>
      </c>
      <c r="W1071" t="s">
        <v>25</v>
      </c>
      <c r="X1071" t="s">
        <v>23</v>
      </c>
      <c r="Y1071" t="e">
        <f>+_xlfn.XLOOKUP(tbl_encuesta[[#This Row],[Considero a Limtek como un buen lugar para trabajar]],#REF!,#REF!)</f>
        <v>#REF!</v>
      </c>
      <c r="Z1071" t="s">
        <v>2688</v>
      </c>
      <c r="AA1071" t="s">
        <v>1346</v>
      </c>
      <c r="AB1071" t="s">
        <v>563</v>
      </c>
      <c r="AC1071" s="3" t="s">
        <v>3735</v>
      </c>
      <c r="AD1071" s="3" t="s">
        <v>3735</v>
      </c>
      <c r="AE1071" t="s">
        <v>69</v>
      </c>
    </row>
    <row r="1072" spans="1:31" x14ac:dyDescent="0.25">
      <c r="A1072">
        <v>119026549225</v>
      </c>
      <c r="B1072">
        <v>462598545</v>
      </c>
      <c r="C1072" s="1">
        <v>46016.878310185188</v>
      </c>
      <c r="D1072" s="1">
        <v>46016.882048611114</v>
      </c>
      <c r="E1072" t="s">
        <v>2689</v>
      </c>
      <c r="F1072" t="s">
        <v>23</v>
      </c>
      <c r="G1072" t="e">
        <f>+_xlfn.XLOOKUP(tbl_encuesta[[#This Row],[Me siento a gusto con el ambiente de trabajo que se genera en mi equipo.]],#REF!,#REF!)</f>
        <v>#REF!</v>
      </c>
      <c r="H1072" t="s">
        <v>23</v>
      </c>
      <c r="I1072" t="e">
        <f>+_xlfn.XLOOKUP(tbl_encuesta[[#This Row],[Me siento motivado a dar lo mejor de mí y hacer un buen trabajo]],#REF!,#REF!)</f>
        <v>#REF!</v>
      </c>
      <c r="J1072" t="s">
        <v>23</v>
      </c>
      <c r="K1072" t="e">
        <f>+_xlfn.XLOOKUP(tbl_encuesta[[#This Row],[Mi supervisor o jefe directo me otorga el soporte que necesito para afrontar cualquier problema que afecte mi trabajo]],#REF!,#REF!)</f>
        <v>#REF!</v>
      </c>
      <c r="L1072" t="s">
        <v>23</v>
      </c>
      <c r="M1072" t="e">
        <f>+_xlfn.XLOOKUP(tbl_encuesta[[#This Row],[Mi supervisor o jefe directo fomenta que nos apoyemos entre todos en el equipo]],#REF!,#REF!)</f>
        <v>#REF!</v>
      </c>
      <c r="N1072" t="s">
        <v>23</v>
      </c>
      <c r="O1072" t="e">
        <f>+_xlfn.XLOOKUP(tbl_encuesta[[#This Row],[Siento que mi trabajo es reconocido por mi supervisor o jefe directo.]],#REF!,#REF!)</f>
        <v>#REF!</v>
      </c>
      <c r="P1072" t="s">
        <v>31</v>
      </c>
      <c r="Q1072" t="e">
        <f xml:space="preserve">
_xlfn.XLOOKUP(
tbl_encuesta[[#This Row],[Mi supervisor o jefe directo nos brinda charlas de 5 minutos y comunica las novedades relevantes a mi puesto de trabajo]],#REF!,#REF!
)</f>
        <v>#REF!</v>
      </c>
      <c r="R1072" t="s">
        <v>17</v>
      </c>
      <c r="T1072" t="s">
        <v>19</v>
      </c>
      <c r="W1072" t="s">
        <v>25</v>
      </c>
      <c r="X1072" t="s">
        <v>23</v>
      </c>
      <c r="Y1072" t="e">
        <f>+_xlfn.XLOOKUP(tbl_encuesta[[#This Row],[Considero a Limtek como un buen lugar para trabajar]],#REF!,#REF!)</f>
        <v>#REF!</v>
      </c>
      <c r="Z1072" t="s">
        <v>2690</v>
      </c>
      <c r="AA1072" t="s">
        <v>2691</v>
      </c>
      <c r="AB1072" t="s">
        <v>559</v>
      </c>
      <c r="AC1072" s="3" t="s">
        <v>3746</v>
      </c>
      <c r="AD1072" s="3" t="s">
        <v>3747</v>
      </c>
      <c r="AE1072" t="s">
        <v>55</v>
      </c>
    </row>
    <row r="1073" spans="1:31" x14ac:dyDescent="0.25">
      <c r="A1073">
        <v>119026481257</v>
      </c>
      <c r="B1073">
        <v>462598545</v>
      </c>
      <c r="C1073" s="1">
        <v>46016.616331018522</v>
      </c>
      <c r="D1073" s="1">
        <v>46016.623460648145</v>
      </c>
      <c r="E1073" t="s">
        <v>1297</v>
      </c>
      <c r="F1073" t="s">
        <v>23</v>
      </c>
      <c r="G1073" t="e">
        <f>+_xlfn.XLOOKUP(tbl_encuesta[[#This Row],[Me siento a gusto con el ambiente de trabajo que se genera en mi equipo.]],#REF!,#REF!)</f>
        <v>#REF!</v>
      </c>
      <c r="H1073" t="s">
        <v>23</v>
      </c>
      <c r="I1073" t="e">
        <f>+_xlfn.XLOOKUP(tbl_encuesta[[#This Row],[Me siento motivado a dar lo mejor de mí y hacer un buen trabajo]],#REF!,#REF!)</f>
        <v>#REF!</v>
      </c>
      <c r="J1073" t="s">
        <v>23</v>
      </c>
      <c r="K1073" t="e">
        <f>+_xlfn.XLOOKUP(tbl_encuesta[[#This Row],[Mi supervisor o jefe directo me otorga el soporte que necesito para afrontar cualquier problema que afecte mi trabajo]],#REF!,#REF!)</f>
        <v>#REF!</v>
      </c>
      <c r="L1073" t="s">
        <v>22</v>
      </c>
      <c r="M1073" t="e">
        <f>+_xlfn.XLOOKUP(tbl_encuesta[[#This Row],[Mi supervisor o jefe directo fomenta que nos apoyemos entre todos en el equipo]],#REF!,#REF!)</f>
        <v>#REF!</v>
      </c>
      <c r="N1073" t="s">
        <v>23</v>
      </c>
      <c r="O1073" t="e">
        <f>+_xlfn.XLOOKUP(tbl_encuesta[[#This Row],[Siento que mi trabajo es reconocido por mi supervisor o jefe directo.]],#REF!,#REF!)</f>
        <v>#REF!</v>
      </c>
      <c r="P1073" t="s">
        <v>31</v>
      </c>
      <c r="Q1073" t="e">
        <f xml:space="preserve">
_xlfn.XLOOKUP(
tbl_encuesta[[#This Row],[Mi supervisor o jefe directo nos brinda charlas de 5 minutos y comunica las novedades relevantes a mi puesto de trabajo]],#REF!,#REF!
)</f>
        <v>#REF!</v>
      </c>
      <c r="T1073" t="s">
        <v>19</v>
      </c>
      <c r="W1073" t="s">
        <v>25</v>
      </c>
      <c r="X1073" t="s">
        <v>23</v>
      </c>
      <c r="Y1073" t="e">
        <f>+_xlfn.XLOOKUP(tbl_encuesta[[#This Row],[Considero a Limtek como un buen lugar para trabajar]],#REF!,#REF!)</f>
        <v>#REF!</v>
      </c>
      <c r="Z1073" t="s">
        <v>2692</v>
      </c>
      <c r="AA1073" t="s">
        <v>2693</v>
      </c>
      <c r="AB1073" t="s">
        <v>559</v>
      </c>
      <c r="AC1073" t="s">
        <v>3592</v>
      </c>
      <c r="AD1073" t="s">
        <v>306</v>
      </c>
      <c r="AE1073" t="s">
        <v>69</v>
      </c>
    </row>
    <row r="1074" spans="1:31" x14ac:dyDescent="0.25">
      <c r="A1074">
        <v>119026422459</v>
      </c>
      <c r="B1074">
        <v>462598545</v>
      </c>
      <c r="C1074" s="1">
        <v>46016.403784722221</v>
      </c>
      <c r="D1074" s="1">
        <v>46016.407511574071</v>
      </c>
      <c r="E1074" t="s">
        <v>1476</v>
      </c>
      <c r="F1074" t="s">
        <v>23</v>
      </c>
      <c r="G1074" t="e">
        <f>+_xlfn.XLOOKUP(tbl_encuesta[[#This Row],[Me siento a gusto con el ambiente de trabajo que se genera en mi equipo.]],#REF!,#REF!)</f>
        <v>#REF!</v>
      </c>
      <c r="H1074" t="s">
        <v>23</v>
      </c>
      <c r="I1074" t="e">
        <f>+_xlfn.XLOOKUP(tbl_encuesta[[#This Row],[Me siento motivado a dar lo mejor de mí y hacer un buen trabajo]],#REF!,#REF!)</f>
        <v>#REF!</v>
      </c>
      <c r="J1074" t="s">
        <v>23</v>
      </c>
      <c r="K1074" t="e">
        <f>+_xlfn.XLOOKUP(tbl_encuesta[[#This Row],[Mi supervisor o jefe directo me otorga el soporte que necesito para afrontar cualquier problema que afecte mi trabajo]],#REF!,#REF!)</f>
        <v>#REF!</v>
      </c>
      <c r="L1074" t="s">
        <v>23</v>
      </c>
      <c r="M1074" t="e">
        <f>+_xlfn.XLOOKUP(tbl_encuesta[[#This Row],[Mi supervisor o jefe directo fomenta que nos apoyemos entre todos en el equipo]],#REF!,#REF!)</f>
        <v>#REF!</v>
      </c>
      <c r="N1074" t="s">
        <v>22</v>
      </c>
      <c r="O1074" t="e">
        <f>+_xlfn.XLOOKUP(tbl_encuesta[[#This Row],[Siento que mi trabajo es reconocido por mi supervisor o jefe directo.]],#REF!,#REF!)</f>
        <v>#REF!</v>
      </c>
      <c r="P1074" t="s">
        <v>31</v>
      </c>
      <c r="Q1074" t="e">
        <f xml:space="preserve">
_xlfn.XLOOKUP(
tbl_encuesta[[#This Row],[Mi supervisor o jefe directo nos brinda charlas de 5 minutos y comunica las novedades relevantes a mi puesto de trabajo]],#REF!,#REF!
)</f>
        <v>#REF!</v>
      </c>
      <c r="S1074" t="s">
        <v>18</v>
      </c>
      <c r="T1074" t="s">
        <v>19</v>
      </c>
      <c r="W1074" t="s">
        <v>46</v>
      </c>
      <c r="X1074" t="s">
        <v>23</v>
      </c>
      <c r="Y1074" t="e">
        <f>+_xlfn.XLOOKUP(tbl_encuesta[[#This Row],[Considero a Limtek como un buen lugar para trabajar]],#REF!,#REF!)</f>
        <v>#REF!</v>
      </c>
      <c r="Z1074" t="s">
        <v>2694</v>
      </c>
      <c r="AA1074" t="s">
        <v>122</v>
      </c>
      <c r="AB1074" t="s">
        <v>563</v>
      </c>
      <c r="AC1074" s="3" t="s">
        <v>3716</v>
      </c>
      <c r="AD1074" s="3" t="s">
        <v>1595</v>
      </c>
      <c r="AE1074" t="s">
        <v>29</v>
      </c>
    </row>
    <row r="1075" spans="1:31" x14ac:dyDescent="0.25">
      <c r="A1075">
        <v>119026264857</v>
      </c>
      <c r="B1075">
        <v>462598545</v>
      </c>
      <c r="C1075" s="1">
        <v>46015.921423611115</v>
      </c>
      <c r="D1075" s="1">
        <v>46015.928148148145</v>
      </c>
      <c r="E1075" t="s">
        <v>2695</v>
      </c>
      <c r="F1075" t="s">
        <v>23</v>
      </c>
      <c r="G1075" t="e">
        <f>+_xlfn.XLOOKUP(tbl_encuesta[[#This Row],[Me siento a gusto con el ambiente de trabajo que se genera en mi equipo.]],#REF!,#REF!)</f>
        <v>#REF!</v>
      </c>
      <c r="H1075" t="s">
        <v>23</v>
      </c>
      <c r="I1075" t="e">
        <f>+_xlfn.XLOOKUP(tbl_encuesta[[#This Row],[Me siento motivado a dar lo mejor de mí y hacer un buen trabajo]],#REF!,#REF!)</f>
        <v>#REF!</v>
      </c>
      <c r="J1075" t="s">
        <v>22</v>
      </c>
      <c r="K1075" t="e">
        <f>+_xlfn.XLOOKUP(tbl_encuesta[[#This Row],[Mi supervisor o jefe directo me otorga el soporte que necesito para afrontar cualquier problema que afecte mi trabajo]],#REF!,#REF!)</f>
        <v>#REF!</v>
      </c>
      <c r="L1075" t="s">
        <v>22</v>
      </c>
      <c r="M1075" t="e">
        <f>+_xlfn.XLOOKUP(tbl_encuesta[[#This Row],[Mi supervisor o jefe directo fomenta que nos apoyemos entre todos en el equipo]],#REF!,#REF!)</f>
        <v>#REF!</v>
      </c>
      <c r="N1075" t="s">
        <v>22</v>
      </c>
      <c r="O1075" t="e">
        <f>+_xlfn.XLOOKUP(tbl_encuesta[[#This Row],[Siento que mi trabajo es reconocido por mi supervisor o jefe directo.]],#REF!,#REF!)</f>
        <v>#REF!</v>
      </c>
      <c r="P1075" t="s">
        <v>24</v>
      </c>
      <c r="Q1075" t="e">
        <f xml:space="preserve">
_xlfn.XLOOKUP(
tbl_encuesta[[#This Row],[Mi supervisor o jefe directo nos brinda charlas de 5 minutos y comunica las novedades relevantes a mi puesto de trabajo]],#REF!,#REF!
)</f>
        <v>#REF!</v>
      </c>
      <c r="T1075" t="s">
        <v>19</v>
      </c>
      <c r="W1075" t="s">
        <v>25</v>
      </c>
      <c r="X1075" t="s">
        <v>22</v>
      </c>
      <c r="Y1075" t="e">
        <f>+_xlfn.XLOOKUP(tbl_encuesta[[#This Row],[Considero a Limtek como un buen lugar para trabajar]],#REF!,#REF!)</f>
        <v>#REF!</v>
      </c>
      <c r="Z1075" t="s">
        <v>2696</v>
      </c>
      <c r="AA1075" t="s">
        <v>2697</v>
      </c>
      <c r="AB1075" t="s">
        <v>1902</v>
      </c>
      <c r="AC1075" s="3" t="s">
        <v>3610</v>
      </c>
      <c r="AD1075" s="3" t="s">
        <v>3610</v>
      </c>
      <c r="AE1075" t="s">
        <v>61</v>
      </c>
    </row>
    <row r="1076" spans="1:31" x14ac:dyDescent="0.25">
      <c r="A1076">
        <v>119026216065</v>
      </c>
      <c r="B1076">
        <v>462598545</v>
      </c>
      <c r="C1076" s="1">
        <v>46015.714745370373</v>
      </c>
      <c r="D1076" s="1">
        <v>46015.722719907404</v>
      </c>
      <c r="E1076" t="s">
        <v>2698</v>
      </c>
      <c r="F1076" t="s">
        <v>23</v>
      </c>
      <c r="G1076" t="e">
        <f>+_xlfn.XLOOKUP(tbl_encuesta[[#This Row],[Me siento a gusto con el ambiente de trabajo que se genera en mi equipo.]],#REF!,#REF!)</f>
        <v>#REF!</v>
      </c>
      <c r="H1076" t="s">
        <v>23</v>
      </c>
      <c r="I1076" t="e">
        <f>+_xlfn.XLOOKUP(tbl_encuesta[[#This Row],[Me siento motivado a dar lo mejor de mí y hacer un buen trabajo]],#REF!,#REF!)</f>
        <v>#REF!</v>
      </c>
      <c r="J1076" t="s">
        <v>23</v>
      </c>
      <c r="K1076" t="e">
        <f>+_xlfn.XLOOKUP(tbl_encuesta[[#This Row],[Mi supervisor o jefe directo me otorga el soporte que necesito para afrontar cualquier problema que afecte mi trabajo]],#REF!,#REF!)</f>
        <v>#REF!</v>
      </c>
      <c r="L1076" t="s">
        <v>23</v>
      </c>
      <c r="M1076" t="e">
        <f>+_xlfn.XLOOKUP(tbl_encuesta[[#This Row],[Mi supervisor o jefe directo fomenta que nos apoyemos entre todos en el equipo]],#REF!,#REF!)</f>
        <v>#REF!</v>
      </c>
      <c r="N1076" t="s">
        <v>23</v>
      </c>
      <c r="O1076" t="e">
        <f>+_xlfn.XLOOKUP(tbl_encuesta[[#This Row],[Siento que mi trabajo es reconocido por mi supervisor o jefe directo.]],#REF!,#REF!)</f>
        <v>#REF!</v>
      </c>
      <c r="P1076" t="s">
        <v>31</v>
      </c>
      <c r="Q1076" t="e">
        <f xml:space="preserve">
_xlfn.XLOOKUP(
tbl_encuesta[[#This Row],[Mi supervisor o jefe directo nos brinda charlas de 5 minutos y comunica las novedades relevantes a mi puesto de trabajo]],#REF!,#REF!
)</f>
        <v>#REF!</v>
      </c>
      <c r="R1076" t="s">
        <v>17</v>
      </c>
      <c r="W1076" t="s">
        <v>25</v>
      </c>
      <c r="X1076" t="s">
        <v>23</v>
      </c>
      <c r="Y1076" t="e">
        <f>+_xlfn.XLOOKUP(tbl_encuesta[[#This Row],[Considero a Limtek como un buen lugar para trabajar]],#REF!,#REF!)</f>
        <v>#REF!</v>
      </c>
      <c r="Z1076" t="s">
        <v>3744</v>
      </c>
      <c r="AA1076" t="s">
        <v>2699</v>
      </c>
      <c r="AB1076" t="s">
        <v>559</v>
      </c>
      <c r="AC1076" s="3" t="s">
        <v>3802</v>
      </c>
      <c r="AD1076" s="3" t="s">
        <v>3804</v>
      </c>
      <c r="AE1076" t="s">
        <v>29</v>
      </c>
    </row>
    <row r="1077" spans="1:31" x14ac:dyDescent="0.25">
      <c r="A1077">
        <v>119026206809</v>
      </c>
      <c r="B1077">
        <v>462598545</v>
      </c>
      <c r="C1077" s="1">
        <v>46015.674629629626</v>
      </c>
      <c r="D1077" s="1">
        <v>46015.68613425926</v>
      </c>
      <c r="E1077" t="s">
        <v>2700</v>
      </c>
      <c r="F1077" t="s">
        <v>23</v>
      </c>
      <c r="G1077" t="e">
        <f>+_xlfn.XLOOKUP(tbl_encuesta[[#This Row],[Me siento a gusto con el ambiente de trabajo que se genera en mi equipo.]],#REF!,#REF!)</f>
        <v>#REF!</v>
      </c>
      <c r="H1077" t="s">
        <v>23</v>
      </c>
      <c r="I1077" t="e">
        <f>+_xlfn.XLOOKUP(tbl_encuesta[[#This Row],[Me siento motivado a dar lo mejor de mí y hacer un buen trabajo]],#REF!,#REF!)</f>
        <v>#REF!</v>
      </c>
      <c r="J1077" t="s">
        <v>23</v>
      </c>
      <c r="K1077" t="e">
        <f>+_xlfn.XLOOKUP(tbl_encuesta[[#This Row],[Mi supervisor o jefe directo me otorga el soporte que necesito para afrontar cualquier problema que afecte mi trabajo]],#REF!,#REF!)</f>
        <v>#REF!</v>
      </c>
      <c r="L1077" t="s">
        <v>23</v>
      </c>
      <c r="M1077" t="e">
        <f>+_xlfn.XLOOKUP(tbl_encuesta[[#This Row],[Mi supervisor o jefe directo fomenta que nos apoyemos entre todos en el equipo]],#REF!,#REF!)</f>
        <v>#REF!</v>
      </c>
      <c r="N1077" t="s">
        <v>23</v>
      </c>
      <c r="O1077" t="e">
        <f>+_xlfn.XLOOKUP(tbl_encuesta[[#This Row],[Siento que mi trabajo es reconocido por mi supervisor o jefe directo.]],#REF!,#REF!)</f>
        <v>#REF!</v>
      </c>
      <c r="P1077" t="s">
        <v>31</v>
      </c>
      <c r="Q1077" t="e">
        <f xml:space="preserve">
_xlfn.XLOOKUP(
tbl_encuesta[[#This Row],[Mi supervisor o jefe directo nos brinda charlas de 5 minutos y comunica las novedades relevantes a mi puesto de trabajo]],#REF!,#REF!
)</f>
        <v>#REF!</v>
      </c>
      <c r="R1077" t="s">
        <v>17</v>
      </c>
      <c r="U1077" t="s">
        <v>20</v>
      </c>
      <c r="W1077" t="s">
        <v>25</v>
      </c>
      <c r="X1077" t="s">
        <v>23</v>
      </c>
      <c r="Y1077" t="e">
        <f>+_xlfn.XLOOKUP(tbl_encuesta[[#This Row],[Considero a Limtek como un buen lugar para trabajar]],#REF!,#REF!)</f>
        <v>#REF!</v>
      </c>
      <c r="Z1077" t="s">
        <v>232</v>
      </c>
      <c r="AA1077" t="s">
        <v>2701</v>
      </c>
      <c r="AB1077" t="s">
        <v>559</v>
      </c>
      <c r="AC1077" s="3" t="s">
        <v>3769</v>
      </c>
      <c r="AD1077" s="3" t="s">
        <v>3796</v>
      </c>
      <c r="AE1077" t="s">
        <v>29</v>
      </c>
    </row>
    <row r="1078" spans="1:31" x14ac:dyDescent="0.25">
      <c r="A1078">
        <v>119026185053</v>
      </c>
      <c r="B1078">
        <v>462598545</v>
      </c>
      <c r="C1078" s="1">
        <v>46015.602372685185</v>
      </c>
      <c r="D1078" s="1">
        <v>46015.610162037039</v>
      </c>
      <c r="E1078" t="s">
        <v>2702</v>
      </c>
      <c r="F1078" t="s">
        <v>23</v>
      </c>
      <c r="G1078" t="e">
        <f>+_xlfn.XLOOKUP(tbl_encuesta[[#This Row],[Me siento a gusto con el ambiente de trabajo que se genera en mi equipo.]],#REF!,#REF!)</f>
        <v>#REF!</v>
      </c>
      <c r="H1078" t="s">
        <v>23</v>
      </c>
      <c r="I1078" t="e">
        <f>+_xlfn.XLOOKUP(tbl_encuesta[[#This Row],[Me siento motivado a dar lo mejor de mí y hacer un buen trabajo]],#REF!,#REF!)</f>
        <v>#REF!</v>
      </c>
      <c r="J1078" t="s">
        <v>23</v>
      </c>
      <c r="K1078" t="e">
        <f>+_xlfn.XLOOKUP(tbl_encuesta[[#This Row],[Mi supervisor o jefe directo me otorga el soporte que necesito para afrontar cualquier problema que afecte mi trabajo]],#REF!,#REF!)</f>
        <v>#REF!</v>
      </c>
      <c r="L1078" t="s">
        <v>23</v>
      </c>
      <c r="M1078" t="e">
        <f>+_xlfn.XLOOKUP(tbl_encuesta[[#This Row],[Mi supervisor o jefe directo fomenta que nos apoyemos entre todos en el equipo]],#REF!,#REF!)</f>
        <v>#REF!</v>
      </c>
      <c r="N1078" t="s">
        <v>23</v>
      </c>
      <c r="O1078" t="e">
        <f>+_xlfn.XLOOKUP(tbl_encuesta[[#This Row],[Siento que mi trabajo es reconocido por mi supervisor o jefe directo.]],#REF!,#REF!)</f>
        <v>#REF!</v>
      </c>
      <c r="P1078" t="s">
        <v>31</v>
      </c>
      <c r="Q1078" t="e">
        <f xml:space="preserve">
_xlfn.XLOOKUP(
tbl_encuesta[[#This Row],[Mi supervisor o jefe directo nos brinda charlas de 5 minutos y comunica las novedades relevantes a mi puesto de trabajo]],#REF!,#REF!
)</f>
        <v>#REF!</v>
      </c>
      <c r="U1078" t="s">
        <v>20</v>
      </c>
      <c r="W1078" t="s">
        <v>25</v>
      </c>
      <c r="X1078" t="s">
        <v>23</v>
      </c>
      <c r="Y1078" t="e">
        <f>+_xlfn.XLOOKUP(tbl_encuesta[[#This Row],[Considero a Limtek como un buen lugar para trabajar]],#REF!,#REF!)</f>
        <v>#REF!</v>
      </c>
      <c r="Z1078" t="s">
        <v>1392</v>
      </c>
      <c r="AA1078" t="s">
        <v>2703</v>
      </c>
      <c r="AB1078" t="s">
        <v>726</v>
      </c>
      <c r="AC1078" s="3" t="s">
        <v>3716</v>
      </c>
      <c r="AD1078" s="3" t="s">
        <v>3716</v>
      </c>
      <c r="AE1078" t="s">
        <v>69</v>
      </c>
    </row>
    <row r="1079" spans="1:31" x14ac:dyDescent="0.25">
      <c r="A1079">
        <v>119026177797</v>
      </c>
      <c r="B1079">
        <v>462598545</v>
      </c>
      <c r="C1079" s="1">
        <v>46015.584062499998</v>
      </c>
      <c r="D1079" s="1">
        <v>46015.586631944447</v>
      </c>
      <c r="E1079" t="s">
        <v>2704</v>
      </c>
      <c r="F1079" t="s">
        <v>22</v>
      </c>
      <c r="G1079" t="e">
        <f>+_xlfn.XLOOKUP(tbl_encuesta[[#This Row],[Me siento a gusto con el ambiente de trabajo que se genera en mi equipo.]],#REF!,#REF!)</f>
        <v>#REF!</v>
      </c>
      <c r="H1079" t="s">
        <v>23</v>
      </c>
      <c r="I1079" t="e">
        <f>+_xlfn.XLOOKUP(tbl_encuesta[[#This Row],[Me siento motivado a dar lo mejor de mí y hacer un buen trabajo]],#REF!,#REF!)</f>
        <v>#REF!</v>
      </c>
      <c r="J1079" t="s">
        <v>43</v>
      </c>
      <c r="K1079" t="e">
        <f>+_xlfn.XLOOKUP(tbl_encuesta[[#This Row],[Mi supervisor o jefe directo me otorga el soporte que necesito para afrontar cualquier problema que afecte mi trabajo]],#REF!,#REF!)</f>
        <v>#REF!</v>
      </c>
      <c r="L1079" t="s">
        <v>43</v>
      </c>
      <c r="M1079" t="e">
        <f>+_xlfn.XLOOKUP(tbl_encuesta[[#This Row],[Mi supervisor o jefe directo fomenta que nos apoyemos entre todos en el equipo]],#REF!,#REF!)</f>
        <v>#REF!</v>
      </c>
      <c r="N1079" t="s">
        <v>43</v>
      </c>
      <c r="O1079" t="e">
        <f>+_xlfn.XLOOKUP(tbl_encuesta[[#This Row],[Siento que mi trabajo es reconocido por mi supervisor o jefe directo.]],#REF!,#REF!)</f>
        <v>#REF!</v>
      </c>
      <c r="P1079" t="s">
        <v>175</v>
      </c>
      <c r="Q1079" t="e">
        <f xml:space="preserve">
_xlfn.XLOOKUP(
tbl_encuesta[[#This Row],[Mi supervisor o jefe directo nos brinda charlas de 5 minutos y comunica las novedades relevantes a mi puesto de trabajo]],#REF!,#REF!
)</f>
        <v>#REF!</v>
      </c>
      <c r="R1079" t="s">
        <v>17</v>
      </c>
      <c r="V1079" t="s">
        <v>2705</v>
      </c>
      <c r="W1079" t="s">
        <v>46</v>
      </c>
      <c r="X1079" t="s">
        <v>97</v>
      </c>
      <c r="Y1079" t="e">
        <f>+_xlfn.XLOOKUP(tbl_encuesta[[#This Row],[Considero a Limtek como un buen lugar para trabajar]],#REF!,#REF!)</f>
        <v>#REF!</v>
      </c>
      <c r="Z1079" t="s">
        <v>722</v>
      </c>
      <c r="AA1079" t="s">
        <v>2706</v>
      </c>
      <c r="AB1079" t="s">
        <v>28</v>
      </c>
      <c r="AC1079" s="3" t="s">
        <v>3791</v>
      </c>
      <c r="AD1079" s="3" t="s">
        <v>3791</v>
      </c>
      <c r="AE1079" t="s">
        <v>29</v>
      </c>
    </row>
    <row r="1080" spans="1:31" x14ac:dyDescent="0.25">
      <c r="A1080">
        <v>119026174049</v>
      </c>
      <c r="B1080">
        <v>462598545</v>
      </c>
      <c r="C1080" s="1">
        <v>46015.570902777778</v>
      </c>
      <c r="D1080" s="1">
        <v>46015.574733796297</v>
      </c>
      <c r="E1080" t="s">
        <v>2707</v>
      </c>
      <c r="F1080" t="s">
        <v>23</v>
      </c>
      <c r="G1080" t="e">
        <f>+_xlfn.XLOOKUP(tbl_encuesta[[#This Row],[Me siento a gusto con el ambiente de trabajo que se genera en mi equipo.]],#REF!,#REF!)</f>
        <v>#REF!</v>
      </c>
      <c r="H1080" t="s">
        <v>23</v>
      </c>
      <c r="I1080" t="e">
        <f>+_xlfn.XLOOKUP(tbl_encuesta[[#This Row],[Me siento motivado a dar lo mejor de mí y hacer un buen trabajo]],#REF!,#REF!)</f>
        <v>#REF!</v>
      </c>
      <c r="J1080" t="s">
        <v>23</v>
      </c>
      <c r="K1080" t="e">
        <f>+_xlfn.XLOOKUP(tbl_encuesta[[#This Row],[Mi supervisor o jefe directo me otorga el soporte que necesito para afrontar cualquier problema que afecte mi trabajo]],#REF!,#REF!)</f>
        <v>#REF!</v>
      </c>
      <c r="L1080" t="s">
        <v>23</v>
      </c>
      <c r="M1080" t="e">
        <f>+_xlfn.XLOOKUP(tbl_encuesta[[#This Row],[Mi supervisor o jefe directo fomenta que nos apoyemos entre todos en el equipo]],#REF!,#REF!)</f>
        <v>#REF!</v>
      </c>
      <c r="N1080" t="s">
        <v>23</v>
      </c>
      <c r="O1080" t="e">
        <f>+_xlfn.XLOOKUP(tbl_encuesta[[#This Row],[Siento que mi trabajo es reconocido por mi supervisor o jefe directo.]],#REF!,#REF!)</f>
        <v>#REF!</v>
      </c>
      <c r="P1080" t="s">
        <v>31</v>
      </c>
      <c r="Q1080" t="e">
        <f xml:space="preserve">
_xlfn.XLOOKUP(
tbl_encuesta[[#This Row],[Mi supervisor o jefe directo nos brinda charlas de 5 minutos y comunica las novedades relevantes a mi puesto de trabajo]],#REF!,#REF!
)</f>
        <v>#REF!</v>
      </c>
      <c r="R1080" t="s">
        <v>17</v>
      </c>
      <c r="W1080" t="s">
        <v>25</v>
      </c>
      <c r="X1080" t="s">
        <v>23</v>
      </c>
      <c r="Y1080" t="e">
        <f>+_xlfn.XLOOKUP(tbl_encuesta[[#This Row],[Considero a Limtek como un buen lugar para trabajar]],#REF!,#REF!)</f>
        <v>#REF!</v>
      </c>
      <c r="Z1080" t="s">
        <v>2708</v>
      </c>
      <c r="AA1080" t="s">
        <v>2709</v>
      </c>
      <c r="AB1080" t="s">
        <v>559</v>
      </c>
      <c r="AC1080" s="3" t="s">
        <v>3767</v>
      </c>
      <c r="AD1080" s="3" t="s">
        <v>559</v>
      </c>
      <c r="AE1080" t="s">
        <v>55</v>
      </c>
    </row>
    <row r="1081" spans="1:31" x14ac:dyDescent="0.25">
      <c r="A1081">
        <v>119026168858</v>
      </c>
      <c r="B1081">
        <v>462598545</v>
      </c>
      <c r="C1081" s="1">
        <v>46015.553796296299</v>
      </c>
      <c r="D1081" s="1">
        <v>46015.558599537035</v>
      </c>
      <c r="E1081" t="s">
        <v>2710</v>
      </c>
      <c r="F1081" t="s">
        <v>22</v>
      </c>
      <c r="G1081" t="e">
        <f>+_xlfn.XLOOKUP(tbl_encuesta[[#This Row],[Me siento a gusto con el ambiente de trabajo que se genera en mi equipo.]],#REF!,#REF!)</f>
        <v>#REF!</v>
      </c>
      <c r="H1081" t="s">
        <v>23</v>
      </c>
      <c r="I1081" t="e">
        <f>+_xlfn.XLOOKUP(tbl_encuesta[[#This Row],[Me siento motivado a dar lo mejor de mí y hacer un buen trabajo]],#REF!,#REF!)</f>
        <v>#REF!</v>
      </c>
      <c r="J1081" t="s">
        <v>22</v>
      </c>
      <c r="K1081" t="e">
        <f>+_xlfn.XLOOKUP(tbl_encuesta[[#This Row],[Mi supervisor o jefe directo me otorga el soporte que necesito para afrontar cualquier problema que afecte mi trabajo]],#REF!,#REF!)</f>
        <v>#REF!</v>
      </c>
      <c r="L1081" t="s">
        <v>23</v>
      </c>
      <c r="M1081" t="e">
        <f>+_xlfn.XLOOKUP(tbl_encuesta[[#This Row],[Mi supervisor o jefe directo fomenta que nos apoyemos entre todos en el equipo]],#REF!,#REF!)</f>
        <v>#REF!</v>
      </c>
      <c r="N1081" t="s">
        <v>23</v>
      </c>
      <c r="O1081" t="e">
        <f>+_xlfn.XLOOKUP(tbl_encuesta[[#This Row],[Siento que mi trabajo es reconocido por mi supervisor o jefe directo.]],#REF!,#REF!)</f>
        <v>#REF!</v>
      </c>
      <c r="P1081" t="s">
        <v>67</v>
      </c>
      <c r="Q1081" t="e">
        <f xml:space="preserve">
_xlfn.XLOOKUP(
tbl_encuesta[[#This Row],[Mi supervisor o jefe directo nos brinda charlas de 5 minutos y comunica las novedades relevantes a mi puesto de trabajo]],#REF!,#REF!
)</f>
        <v>#REF!</v>
      </c>
      <c r="R1081" t="s">
        <v>17</v>
      </c>
      <c r="T1081" t="s">
        <v>19</v>
      </c>
      <c r="W1081" t="s">
        <v>25</v>
      </c>
      <c r="X1081" t="s">
        <v>23</v>
      </c>
      <c r="Y1081" t="e">
        <f>+_xlfn.XLOOKUP(tbl_encuesta[[#This Row],[Considero a Limtek como un buen lugar para trabajar]],#REF!,#REF!)</f>
        <v>#REF!</v>
      </c>
      <c r="Z1081" t="s">
        <v>2711</v>
      </c>
      <c r="AA1081" t="s">
        <v>2712</v>
      </c>
      <c r="AB1081" t="s">
        <v>28</v>
      </c>
      <c r="AC1081" s="3" t="s">
        <v>3716</v>
      </c>
      <c r="AD1081" s="3" t="s">
        <v>3724</v>
      </c>
      <c r="AE1081" t="s">
        <v>29</v>
      </c>
    </row>
    <row r="1082" spans="1:31" x14ac:dyDescent="0.25">
      <c r="A1082">
        <v>119026168042</v>
      </c>
      <c r="B1082">
        <v>462598545</v>
      </c>
      <c r="C1082" s="1">
        <v>46015.553229166668</v>
      </c>
      <c r="D1082" s="1">
        <v>46015.556307870371</v>
      </c>
      <c r="E1082" t="s">
        <v>2713</v>
      </c>
      <c r="F1082" t="s">
        <v>23</v>
      </c>
      <c r="G1082" t="e">
        <f>+_xlfn.XLOOKUP(tbl_encuesta[[#This Row],[Me siento a gusto con el ambiente de trabajo que se genera en mi equipo.]],#REF!,#REF!)</f>
        <v>#REF!</v>
      </c>
      <c r="H1082" t="s">
        <v>23</v>
      </c>
      <c r="I1082" t="e">
        <f>+_xlfn.XLOOKUP(tbl_encuesta[[#This Row],[Me siento motivado a dar lo mejor de mí y hacer un buen trabajo]],#REF!,#REF!)</f>
        <v>#REF!</v>
      </c>
      <c r="J1082" t="s">
        <v>23</v>
      </c>
      <c r="K1082" t="e">
        <f>+_xlfn.XLOOKUP(tbl_encuesta[[#This Row],[Mi supervisor o jefe directo me otorga el soporte que necesito para afrontar cualquier problema que afecte mi trabajo]],#REF!,#REF!)</f>
        <v>#REF!</v>
      </c>
      <c r="L1082" t="s">
        <v>23</v>
      </c>
      <c r="M1082" t="e">
        <f>+_xlfn.XLOOKUP(tbl_encuesta[[#This Row],[Mi supervisor o jefe directo fomenta que nos apoyemos entre todos en el equipo]],#REF!,#REF!)</f>
        <v>#REF!</v>
      </c>
      <c r="N1082" t="s">
        <v>23</v>
      </c>
      <c r="O1082" t="e">
        <f>+_xlfn.XLOOKUP(tbl_encuesta[[#This Row],[Siento que mi trabajo es reconocido por mi supervisor o jefe directo.]],#REF!,#REF!)</f>
        <v>#REF!</v>
      </c>
      <c r="P1082" t="s">
        <v>31</v>
      </c>
      <c r="Q1082" t="e">
        <f xml:space="preserve">
_xlfn.XLOOKUP(
tbl_encuesta[[#This Row],[Mi supervisor o jefe directo nos brinda charlas de 5 minutos y comunica las novedades relevantes a mi puesto de trabajo]],#REF!,#REF!
)</f>
        <v>#REF!</v>
      </c>
      <c r="R1082" t="s">
        <v>17</v>
      </c>
      <c r="T1082" t="s">
        <v>19</v>
      </c>
      <c r="W1082" t="s">
        <v>25</v>
      </c>
      <c r="X1082" t="s">
        <v>23</v>
      </c>
      <c r="Y1082" t="e">
        <f>+_xlfn.XLOOKUP(tbl_encuesta[[#This Row],[Considero a Limtek como un buen lugar para trabajar]],#REF!,#REF!)</f>
        <v>#REF!</v>
      </c>
      <c r="Z1082" t="s">
        <v>2714</v>
      </c>
      <c r="AA1082" t="s">
        <v>116</v>
      </c>
      <c r="AB1082" t="s">
        <v>559</v>
      </c>
      <c r="AC1082" s="3" t="s">
        <v>3610</v>
      </c>
      <c r="AD1082" s="3" t="s">
        <v>3704</v>
      </c>
      <c r="AE1082" t="s">
        <v>55</v>
      </c>
    </row>
    <row r="1083" spans="1:31" x14ac:dyDescent="0.25">
      <c r="A1083">
        <v>119026160751</v>
      </c>
      <c r="B1083">
        <v>462598545</v>
      </c>
      <c r="C1083" s="1">
        <v>46015.531539351854</v>
      </c>
      <c r="D1083" s="1">
        <v>46015.535428240742</v>
      </c>
      <c r="E1083" t="s">
        <v>2715</v>
      </c>
      <c r="F1083" t="s">
        <v>97</v>
      </c>
      <c r="G1083" t="e">
        <f>+_xlfn.XLOOKUP(tbl_encuesta[[#This Row],[Me siento a gusto con el ambiente de trabajo que se genera en mi equipo.]],#REF!,#REF!)</f>
        <v>#REF!</v>
      </c>
      <c r="H1083" t="s">
        <v>97</v>
      </c>
      <c r="I1083" t="e">
        <f>+_xlfn.XLOOKUP(tbl_encuesta[[#This Row],[Me siento motivado a dar lo mejor de mí y hacer un buen trabajo]],#REF!,#REF!)</f>
        <v>#REF!</v>
      </c>
      <c r="J1083" t="s">
        <v>97</v>
      </c>
      <c r="K1083" t="e">
        <f>+_xlfn.XLOOKUP(tbl_encuesta[[#This Row],[Mi supervisor o jefe directo me otorga el soporte que necesito para afrontar cualquier problema que afecte mi trabajo]],#REF!,#REF!)</f>
        <v>#REF!</v>
      </c>
      <c r="L1083" t="s">
        <v>97</v>
      </c>
      <c r="M1083" t="e">
        <f>+_xlfn.XLOOKUP(tbl_encuesta[[#This Row],[Mi supervisor o jefe directo fomenta que nos apoyemos entre todos en el equipo]],#REF!,#REF!)</f>
        <v>#REF!</v>
      </c>
      <c r="N1083" t="s">
        <v>43</v>
      </c>
      <c r="O1083" t="e">
        <f>+_xlfn.XLOOKUP(tbl_encuesta[[#This Row],[Siento que mi trabajo es reconocido por mi supervisor o jefe directo.]],#REF!,#REF!)</f>
        <v>#REF!</v>
      </c>
      <c r="P1083" t="s">
        <v>67</v>
      </c>
      <c r="Q1083" t="e">
        <f xml:space="preserve">
_xlfn.XLOOKUP(
tbl_encuesta[[#This Row],[Mi supervisor o jefe directo nos brinda charlas de 5 minutos y comunica las novedades relevantes a mi puesto de trabajo]],#REF!,#REF!
)</f>
        <v>#REF!</v>
      </c>
      <c r="S1083" t="s">
        <v>18</v>
      </c>
      <c r="U1083" t="s">
        <v>20</v>
      </c>
      <c r="W1083" t="s">
        <v>25</v>
      </c>
      <c r="X1083" t="s">
        <v>97</v>
      </c>
      <c r="Y1083" t="e">
        <f>+_xlfn.XLOOKUP(tbl_encuesta[[#This Row],[Considero a Limtek como un buen lugar para trabajar]],#REF!,#REF!)</f>
        <v>#REF!</v>
      </c>
      <c r="Z1083" t="s">
        <v>1574</v>
      </c>
      <c r="AA1083" t="s">
        <v>2716</v>
      </c>
      <c r="AB1083" t="s">
        <v>28</v>
      </c>
      <c r="AC1083" s="3" t="s">
        <v>3716</v>
      </c>
      <c r="AD1083" s="3" t="s">
        <v>3716</v>
      </c>
      <c r="AE1083" t="s">
        <v>69</v>
      </c>
    </row>
    <row r="1084" spans="1:31" x14ac:dyDescent="0.25">
      <c r="A1084">
        <v>119026145844</v>
      </c>
      <c r="B1084">
        <v>462598545</v>
      </c>
      <c r="C1084" s="1">
        <v>46015.411527777775</v>
      </c>
      <c r="D1084" s="1">
        <v>46015.496331018519</v>
      </c>
      <c r="E1084" t="s">
        <v>2717</v>
      </c>
      <c r="F1084" t="s">
        <v>23</v>
      </c>
      <c r="G1084" t="e">
        <f>+_xlfn.XLOOKUP(tbl_encuesta[[#This Row],[Me siento a gusto con el ambiente de trabajo que se genera en mi equipo.]],#REF!,#REF!)</f>
        <v>#REF!</v>
      </c>
      <c r="H1084" t="s">
        <v>23</v>
      </c>
      <c r="I1084" t="e">
        <f>+_xlfn.XLOOKUP(tbl_encuesta[[#This Row],[Me siento motivado a dar lo mejor de mí y hacer un buen trabajo]],#REF!,#REF!)</f>
        <v>#REF!</v>
      </c>
      <c r="J1084" t="s">
        <v>23</v>
      </c>
      <c r="K1084" t="e">
        <f>+_xlfn.XLOOKUP(tbl_encuesta[[#This Row],[Mi supervisor o jefe directo me otorga el soporte que necesito para afrontar cualquier problema que afecte mi trabajo]],#REF!,#REF!)</f>
        <v>#REF!</v>
      </c>
      <c r="L1084" t="s">
        <v>23</v>
      </c>
      <c r="M1084" t="e">
        <f>+_xlfn.XLOOKUP(tbl_encuesta[[#This Row],[Mi supervisor o jefe directo fomenta que nos apoyemos entre todos en el equipo]],#REF!,#REF!)</f>
        <v>#REF!</v>
      </c>
      <c r="N1084" t="s">
        <v>23</v>
      </c>
      <c r="O1084" t="e">
        <f>+_xlfn.XLOOKUP(tbl_encuesta[[#This Row],[Siento que mi trabajo es reconocido por mi supervisor o jefe directo.]],#REF!,#REF!)</f>
        <v>#REF!</v>
      </c>
      <c r="P1084" t="s">
        <v>31</v>
      </c>
      <c r="Q1084" t="e">
        <f xml:space="preserve">
_xlfn.XLOOKUP(
tbl_encuesta[[#This Row],[Mi supervisor o jefe directo nos brinda charlas de 5 minutos y comunica las novedades relevantes a mi puesto de trabajo]],#REF!,#REF!
)</f>
        <v>#REF!</v>
      </c>
      <c r="R1084" t="s">
        <v>17</v>
      </c>
      <c r="S1084" t="s">
        <v>18</v>
      </c>
      <c r="W1084" t="s">
        <v>25</v>
      </c>
      <c r="X1084" t="s">
        <v>23</v>
      </c>
      <c r="Y1084" t="e">
        <f>+_xlfn.XLOOKUP(tbl_encuesta[[#This Row],[Considero a Limtek como un buen lugar para trabajar]],#REF!,#REF!)</f>
        <v>#REF!</v>
      </c>
      <c r="Z1084" t="s">
        <v>215</v>
      </c>
      <c r="AA1084" t="s">
        <v>2517</v>
      </c>
      <c r="AB1084" t="s">
        <v>28</v>
      </c>
      <c r="AC1084" t="s">
        <v>3744</v>
      </c>
      <c r="AD1084" t="s">
        <v>3744</v>
      </c>
      <c r="AE1084" t="s">
        <v>69</v>
      </c>
    </row>
    <row r="1085" spans="1:31" x14ac:dyDescent="0.25">
      <c r="A1085">
        <v>119026138842</v>
      </c>
      <c r="B1085">
        <v>462598545</v>
      </c>
      <c r="C1085" s="1">
        <v>46015.471689814818</v>
      </c>
      <c r="D1085" s="1">
        <v>46015.47929398148</v>
      </c>
      <c r="E1085" t="s">
        <v>2718</v>
      </c>
      <c r="F1085" t="s">
        <v>23</v>
      </c>
      <c r="G1085" t="e">
        <f>+_xlfn.XLOOKUP(tbl_encuesta[[#This Row],[Me siento a gusto con el ambiente de trabajo que se genera en mi equipo.]],#REF!,#REF!)</f>
        <v>#REF!</v>
      </c>
      <c r="H1085" t="s">
        <v>22</v>
      </c>
      <c r="I1085" t="e">
        <f>+_xlfn.XLOOKUP(tbl_encuesta[[#This Row],[Me siento motivado a dar lo mejor de mí y hacer un buen trabajo]],#REF!,#REF!)</f>
        <v>#REF!</v>
      </c>
      <c r="J1085" t="s">
        <v>22</v>
      </c>
      <c r="K1085" t="e">
        <f>+_xlfn.XLOOKUP(tbl_encuesta[[#This Row],[Mi supervisor o jefe directo me otorga el soporte que necesito para afrontar cualquier problema que afecte mi trabajo]],#REF!,#REF!)</f>
        <v>#REF!</v>
      </c>
      <c r="L1085" t="s">
        <v>23</v>
      </c>
      <c r="M1085" t="e">
        <f>+_xlfn.XLOOKUP(tbl_encuesta[[#This Row],[Mi supervisor o jefe directo fomenta que nos apoyemos entre todos en el equipo]],#REF!,#REF!)</f>
        <v>#REF!</v>
      </c>
      <c r="N1085" t="s">
        <v>23</v>
      </c>
      <c r="O1085" t="e">
        <f>+_xlfn.XLOOKUP(tbl_encuesta[[#This Row],[Siento que mi trabajo es reconocido por mi supervisor o jefe directo.]],#REF!,#REF!)</f>
        <v>#REF!</v>
      </c>
      <c r="P1085" t="s">
        <v>31</v>
      </c>
      <c r="Q1085" t="e">
        <f xml:space="preserve">
_xlfn.XLOOKUP(
tbl_encuesta[[#This Row],[Mi supervisor o jefe directo nos brinda charlas de 5 minutos y comunica las novedades relevantes a mi puesto de trabajo]],#REF!,#REF!
)</f>
        <v>#REF!</v>
      </c>
      <c r="R1085" t="s">
        <v>17</v>
      </c>
      <c r="T1085" t="s">
        <v>19</v>
      </c>
      <c r="W1085" t="s">
        <v>25</v>
      </c>
      <c r="X1085" t="s">
        <v>22</v>
      </c>
      <c r="Y1085" t="e">
        <f>+_xlfn.XLOOKUP(tbl_encuesta[[#This Row],[Considero a Limtek como un buen lugar para trabajar]],#REF!,#REF!)</f>
        <v>#REF!</v>
      </c>
      <c r="Z1085" t="s">
        <v>2719</v>
      </c>
      <c r="AA1085" t="s">
        <v>1118</v>
      </c>
      <c r="AB1085" t="s">
        <v>559</v>
      </c>
      <c r="AC1085" t="s">
        <v>3744</v>
      </c>
      <c r="AD1085" t="s">
        <v>3744</v>
      </c>
      <c r="AE1085" t="s">
        <v>61</v>
      </c>
    </row>
    <row r="1086" spans="1:31" x14ac:dyDescent="0.25">
      <c r="A1086">
        <v>119026130132</v>
      </c>
      <c r="B1086">
        <v>462598545</v>
      </c>
      <c r="C1086" s="1">
        <v>46015.45716435185</v>
      </c>
      <c r="D1086" s="1">
        <v>46015.459328703706</v>
      </c>
      <c r="E1086" t="s">
        <v>2720</v>
      </c>
      <c r="F1086" t="s">
        <v>23</v>
      </c>
      <c r="G1086" t="e">
        <f>+_xlfn.XLOOKUP(tbl_encuesta[[#This Row],[Me siento a gusto con el ambiente de trabajo que se genera en mi equipo.]],#REF!,#REF!)</f>
        <v>#REF!</v>
      </c>
      <c r="H1086" t="s">
        <v>23</v>
      </c>
      <c r="I1086" t="e">
        <f>+_xlfn.XLOOKUP(tbl_encuesta[[#This Row],[Me siento motivado a dar lo mejor de mí y hacer un buen trabajo]],#REF!,#REF!)</f>
        <v>#REF!</v>
      </c>
      <c r="J1086" t="s">
        <v>23</v>
      </c>
      <c r="K1086" t="e">
        <f>+_xlfn.XLOOKUP(tbl_encuesta[[#This Row],[Mi supervisor o jefe directo me otorga el soporte que necesito para afrontar cualquier problema que afecte mi trabajo]],#REF!,#REF!)</f>
        <v>#REF!</v>
      </c>
      <c r="L1086" t="s">
        <v>23</v>
      </c>
      <c r="M1086" t="e">
        <f>+_xlfn.XLOOKUP(tbl_encuesta[[#This Row],[Mi supervisor o jefe directo fomenta que nos apoyemos entre todos en el equipo]],#REF!,#REF!)</f>
        <v>#REF!</v>
      </c>
      <c r="N1086" t="s">
        <v>23</v>
      </c>
      <c r="O1086" t="e">
        <f>+_xlfn.XLOOKUP(tbl_encuesta[[#This Row],[Siento que mi trabajo es reconocido por mi supervisor o jefe directo.]],#REF!,#REF!)</f>
        <v>#REF!</v>
      </c>
      <c r="P1086" t="s">
        <v>31</v>
      </c>
      <c r="Q1086" t="e">
        <f xml:space="preserve">
_xlfn.XLOOKUP(
tbl_encuesta[[#This Row],[Mi supervisor o jefe directo nos brinda charlas de 5 minutos y comunica las novedades relevantes a mi puesto de trabajo]],#REF!,#REF!
)</f>
        <v>#REF!</v>
      </c>
      <c r="R1086" t="s">
        <v>17</v>
      </c>
      <c r="W1086" t="s">
        <v>46</v>
      </c>
      <c r="X1086" t="s">
        <v>22</v>
      </c>
      <c r="Y1086" t="e">
        <f>+_xlfn.XLOOKUP(tbl_encuesta[[#This Row],[Considero a Limtek como un buen lugar para trabajar]],#REF!,#REF!)</f>
        <v>#REF!</v>
      </c>
      <c r="Z1086" t="s">
        <v>193</v>
      </c>
      <c r="AA1086" t="s">
        <v>2721</v>
      </c>
      <c r="AB1086" t="s">
        <v>28</v>
      </c>
      <c r="AC1086" s="3" t="s">
        <v>3766</v>
      </c>
      <c r="AD1086" s="3" t="s">
        <v>3836</v>
      </c>
      <c r="AE1086" t="s">
        <v>34</v>
      </c>
    </row>
    <row r="1087" spans="1:31" x14ac:dyDescent="0.25">
      <c r="A1087">
        <v>119026117920</v>
      </c>
      <c r="B1087">
        <v>462598545</v>
      </c>
      <c r="C1087" s="1">
        <v>46015.427071759259</v>
      </c>
      <c r="D1087" s="1">
        <v>46015.429965277777</v>
      </c>
      <c r="E1087" t="s">
        <v>1605</v>
      </c>
      <c r="F1087" t="s">
        <v>23</v>
      </c>
      <c r="G1087" t="e">
        <f>+_xlfn.XLOOKUP(tbl_encuesta[[#This Row],[Me siento a gusto con el ambiente de trabajo que se genera en mi equipo.]],#REF!,#REF!)</f>
        <v>#REF!</v>
      </c>
      <c r="H1087" t="s">
        <v>23</v>
      </c>
      <c r="I1087" t="e">
        <f>+_xlfn.XLOOKUP(tbl_encuesta[[#This Row],[Me siento motivado a dar lo mejor de mí y hacer un buen trabajo]],#REF!,#REF!)</f>
        <v>#REF!</v>
      </c>
      <c r="J1087" t="s">
        <v>23</v>
      </c>
      <c r="K1087" t="e">
        <f>+_xlfn.XLOOKUP(tbl_encuesta[[#This Row],[Mi supervisor o jefe directo me otorga el soporte que necesito para afrontar cualquier problema que afecte mi trabajo]],#REF!,#REF!)</f>
        <v>#REF!</v>
      </c>
      <c r="L1087" t="s">
        <v>22</v>
      </c>
      <c r="M1087" t="e">
        <f>+_xlfn.XLOOKUP(tbl_encuesta[[#This Row],[Mi supervisor o jefe directo fomenta que nos apoyemos entre todos en el equipo]],#REF!,#REF!)</f>
        <v>#REF!</v>
      </c>
      <c r="N1087" t="s">
        <v>23</v>
      </c>
      <c r="O1087" t="e">
        <f>+_xlfn.XLOOKUP(tbl_encuesta[[#This Row],[Siento que mi trabajo es reconocido por mi supervisor o jefe directo.]],#REF!,#REF!)</f>
        <v>#REF!</v>
      </c>
      <c r="P1087" t="s">
        <v>31</v>
      </c>
      <c r="Q1087" t="e">
        <f xml:space="preserve">
_xlfn.XLOOKUP(
tbl_encuesta[[#This Row],[Mi supervisor o jefe directo nos brinda charlas de 5 minutos y comunica las novedades relevantes a mi puesto de trabajo]],#REF!,#REF!
)</f>
        <v>#REF!</v>
      </c>
      <c r="R1087" t="s">
        <v>17</v>
      </c>
      <c r="S1087" t="s">
        <v>18</v>
      </c>
      <c r="W1087" t="s">
        <v>25</v>
      </c>
      <c r="X1087" t="s">
        <v>23</v>
      </c>
      <c r="Y1087" t="e">
        <f>+_xlfn.XLOOKUP(tbl_encuesta[[#This Row],[Considero a Limtek como un buen lugar para trabajar]],#REF!,#REF!)</f>
        <v>#REF!</v>
      </c>
      <c r="Z1087" t="s">
        <v>2722</v>
      </c>
      <c r="AA1087" t="s">
        <v>1607</v>
      </c>
      <c r="AB1087" t="s">
        <v>559</v>
      </c>
      <c r="AC1087" s="3" t="s">
        <v>3764</v>
      </c>
      <c r="AD1087" s="3" t="s">
        <v>3765</v>
      </c>
      <c r="AE1087" t="s">
        <v>29</v>
      </c>
    </row>
    <row r="1088" spans="1:31" x14ac:dyDescent="0.25">
      <c r="A1088">
        <v>119026094586</v>
      </c>
      <c r="B1088">
        <v>462598545</v>
      </c>
      <c r="C1088" s="1">
        <v>46015.370949074073</v>
      </c>
      <c r="D1088" s="1">
        <v>46015.375196759262</v>
      </c>
      <c r="E1088" t="s">
        <v>2723</v>
      </c>
      <c r="F1088" t="s">
        <v>23</v>
      </c>
      <c r="G1088" t="e">
        <f>+_xlfn.XLOOKUP(tbl_encuesta[[#This Row],[Me siento a gusto con el ambiente de trabajo que se genera en mi equipo.]],#REF!,#REF!)</f>
        <v>#REF!</v>
      </c>
      <c r="H1088" t="s">
        <v>23</v>
      </c>
      <c r="I1088" t="e">
        <f>+_xlfn.XLOOKUP(tbl_encuesta[[#This Row],[Me siento motivado a dar lo mejor de mí y hacer un buen trabajo]],#REF!,#REF!)</f>
        <v>#REF!</v>
      </c>
      <c r="J1088" t="s">
        <v>23</v>
      </c>
      <c r="K1088" t="e">
        <f>+_xlfn.XLOOKUP(tbl_encuesta[[#This Row],[Mi supervisor o jefe directo me otorga el soporte que necesito para afrontar cualquier problema que afecte mi trabajo]],#REF!,#REF!)</f>
        <v>#REF!</v>
      </c>
      <c r="L1088" t="s">
        <v>23</v>
      </c>
      <c r="M1088" t="e">
        <f>+_xlfn.XLOOKUP(tbl_encuesta[[#This Row],[Mi supervisor o jefe directo fomenta que nos apoyemos entre todos en el equipo]],#REF!,#REF!)</f>
        <v>#REF!</v>
      </c>
      <c r="N1088" t="s">
        <v>23</v>
      </c>
      <c r="O1088" t="e">
        <f>+_xlfn.XLOOKUP(tbl_encuesta[[#This Row],[Siento que mi trabajo es reconocido por mi supervisor o jefe directo.]],#REF!,#REF!)</f>
        <v>#REF!</v>
      </c>
      <c r="P1088" t="s">
        <v>31</v>
      </c>
      <c r="Q1088" t="e">
        <f xml:space="preserve">
_xlfn.XLOOKUP(
tbl_encuesta[[#This Row],[Mi supervisor o jefe directo nos brinda charlas de 5 minutos y comunica las novedades relevantes a mi puesto de trabajo]],#REF!,#REF!
)</f>
        <v>#REF!</v>
      </c>
      <c r="R1088" t="s">
        <v>17</v>
      </c>
      <c r="T1088" t="s">
        <v>19</v>
      </c>
      <c r="W1088" t="s">
        <v>25</v>
      </c>
      <c r="X1088" t="s">
        <v>22</v>
      </c>
      <c r="Y1088" t="e">
        <f>+_xlfn.XLOOKUP(tbl_encuesta[[#This Row],[Considero a Limtek como un buen lugar para trabajar]],#REF!,#REF!)</f>
        <v>#REF!</v>
      </c>
      <c r="Z1088" t="s">
        <v>2724</v>
      </c>
      <c r="AA1088" t="s">
        <v>527</v>
      </c>
      <c r="AB1088" t="s">
        <v>559</v>
      </c>
      <c r="AC1088" s="3" t="s">
        <v>3802</v>
      </c>
      <c r="AD1088" s="3" t="s">
        <v>3802</v>
      </c>
      <c r="AE1088" t="s">
        <v>61</v>
      </c>
    </row>
    <row r="1089" spans="1:31" x14ac:dyDescent="0.25">
      <c r="A1089">
        <v>119026087101</v>
      </c>
      <c r="B1089">
        <v>462598545</v>
      </c>
      <c r="C1089" s="1">
        <v>46015.353773148148</v>
      </c>
      <c r="D1089" s="1">
        <v>46015.355763888889</v>
      </c>
      <c r="E1089" t="s">
        <v>2725</v>
      </c>
      <c r="F1089" t="s">
        <v>23</v>
      </c>
      <c r="G1089" t="e">
        <f>+_xlfn.XLOOKUP(tbl_encuesta[[#This Row],[Me siento a gusto con el ambiente de trabajo que se genera en mi equipo.]],#REF!,#REF!)</f>
        <v>#REF!</v>
      </c>
      <c r="H1089" t="s">
        <v>23</v>
      </c>
      <c r="I1089" t="e">
        <f>+_xlfn.XLOOKUP(tbl_encuesta[[#This Row],[Me siento motivado a dar lo mejor de mí y hacer un buen trabajo]],#REF!,#REF!)</f>
        <v>#REF!</v>
      </c>
      <c r="J1089" t="s">
        <v>23</v>
      </c>
      <c r="K1089" t="e">
        <f>+_xlfn.XLOOKUP(tbl_encuesta[[#This Row],[Mi supervisor o jefe directo me otorga el soporte que necesito para afrontar cualquier problema que afecte mi trabajo]],#REF!,#REF!)</f>
        <v>#REF!</v>
      </c>
      <c r="L1089" t="s">
        <v>23</v>
      </c>
      <c r="M1089" t="e">
        <f>+_xlfn.XLOOKUP(tbl_encuesta[[#This Row],[Mi supervisor o jefe directo fomenta que nos apoyemos entre todos en el equipo]],#REF!,#REF!)</f>
        <v>#REF!</v>
      </c>
      <c r="N1089" t="s">
        <v>23</v>
      </c>
      <c r="O1089" t="e">
        <f>+_xlfn.XLOOKUP(tbl_encuesta[[#This Row],[Siento que mi trabajo es reconocido por mi supervisor o jefe directo.]],#REF!,#REF!)</f>
        <v>#REF!</v>
      </c>
      <c r="P1089" t="s">
        <v>31</v>
      </c>
      <c r="Q1089" t="e">
        <f xml:space="preserve">
_xlfn.XLOOKUP(
tbl_encuesta[[#This Row],[Mi supervisor o jefe directo nos brinda charlas de 5 minutos y comunica las novedades relevantes a mi puesto de trabajo]],#REF!,#REF!
)</f>
        <v>#REF!</v>
      </c>
      <c r="R1089" t="s">
        <v>17</v>
      </c>
      <c r="W1089" t="s">
        <v>25</v>
      </c>
      <c r="X1089" t="s">
        <v>23</v>
      </c>
      <c r="Y1089" t="e">
        <f>+_xlfn.XLOOKUP(tbl_encuesta[[#This Row],[Considero a Limtek como un buen lugar para trabajar]],#REF!,#REF!)</f>
        <v>#REF!</v>
      </c>
      <c r="Z1089" t="s">
        <v>2726</v>
      </c>
      <c r="AA1089" t="s">
        <v>527</v>
      </c>
      <c r="AB1089" t="s">
        <v>559</v>
      </c>
      <c r="AC1089" s="3" t="s">
        <v>3802</v>
      </c>
      <c r="AD1089" s="3" t="s">
        <v>3805</v>
      </c>
      <c r="AE1089" t="s">
        <v>29</v>
      </c>
    </row>
    <row r="1090" spans="1:31" x14ac:dyDescent="0.25">
      <c r="A1090">
        <v>119026082806</v>
      </c>
      <c r="B1090">
        <v>462598545</v>
      </c>
      <c r="C1090" s="1">
        <v>46015.340219907404</v>
      </c>
      <c r="D1090" s="1">
        <v>46015.344189814816</v>
      </c>
      <c r="E1090" t="s">
        <v>2727</v>
      </c>
      <c r="F1090" t="s">
        <v>23</v>
      </c>
      <c r="G1090" t="e">
        <f>+_xlfn.XLOOKUP(tbl_encuesta[[#This Row],[Me siento a gusto con el ambiente de trabajo que se genera en mi equipo.]],#REF!,#REF!)</f>
        <v>#REF!</v>
      </c>
      <c r="H1090" t="s">
        <v>23</v>
      </c>
      <c r="I1090" t="e">
        <f>+_xlfn.XLOOKUP(tbl_encuesta[[#This Row],[Me siento motivado a dar lo mejor de mí y hacer un buen trabajo]],#REF!,#REF!)</f>
        <v>#REF!</v>
      </c>
      <c r="J1090" t="s">
        <v>23</v>
      </c>
      <c r="K1090" t="e">
        <f>+_xlfn.XLOOKUP(tbl_encuesta[[#This Row],[Mi supervisor o jefe directo me otorga el soporte que necesito para afrontar cualquier problema que afecte mi trabajo]],#REF!,#REF!)</f>
        <v>#REF!</v>
      </c>
      <c r="L1090" t="s">
        <v>23</v>
      </c>
      <c r="M1090" t="e">
        <f>+_xlfn.XLOOKUP(tbl_encuesta[[#This Row],[Mi supervisor o jefe directo fomenta que nos apoyemos entre todos en el equipo]],#REF!,#REF!)</f>
        <v>#REF!</v>
      </c>
      <c r="N1090" t="s">
        <v>23</v>
      </c>
      <c r="O1090" t="e">
        <f>+_xlfn.XLOOKUP(tbl_encuesta[[#This Row],[Siento que mi trabajo es reconocido por mi supervisor o jefe directo.]],#REF!,#REF!)</f>
        <v>#REF!</v>
      </c>
      <c r="P1090" t="s">
        <v>31</v>
      </c>
      <c r="Q1090" t="e">
        <f xml:space="preserve">
_xlfn.XLOOKUP(
tbl_encuesta[[#This Row],[Mi supervisor o jefe directo nos brinda charlas de 5 minutos y comunica las novedades relevantes a mi puesto de trabajo]],#REF!,#REF!
)</f>
        <v>#REF!</v>
      </c>
      <c r="R1090" t="s">
        <v>17</v>
      </c>
      <c r="S1090" t="s">
        <v>18</v>
      </c>
      <c r="W1090" t="s">
        <v>25</v>
      </c>
      <c r="X1090" t="s">
        <v>23</v>
      </c>
      <c r="Y1090" t="e">
        <f>+_xlfn.XLOOKUP(tbl_encuesta[[#This Row],[Considero a Limtek como un buen lugar para trabajar]],#REF!,#REF!)</f>
        <v>#REF!</v>
      </c>
      <c r="Z1090" t="s">
        <v>2728</v>
      </c>
      <c r="AA1090" t="s">
        <v>2729</v>
      </c>
      <c r="AB1090" t="s">
        <v>559</v>
      </c>
      <c r="AC1090" t="s">
        <v>3592</v>
      </c>
      <c r="AD1090" t="s">
        <v>2730</v>
      </c>
      <c r="AE1090" t="s">
        <v>69</v>
      </c>
    </row>
    <row r="1091" spans="1:31" x14ac:dyDescent="0.25">
      <c r="A1091">
        <v>119026081189</v>
      </c>
      <c r="B1091">
        <v>462598545</v>
      </c>
      <c r="C1091" s="1">
        <v>46015.331747685188</v>
      </c>
      <c r="D1091" s="1">
        <v>46015.340046296296</v>
      </c>
      <c r="E1091" t="s">
        <v>2731</v>
      </c>
      <c r="F1091" t="s">
        <v>43</v>
      </c>
      <c r="G1091" t="e">
        <f>+_xlfn.XLOOKUP(tbl_encuesta[[#This Row],[Me siento a gusto con el ambiente de trabajo que se genera en mi equipo.]],#REF!,#REF!)</f>
        <v>#REF!</v>
      </c>
      <c r="H1091" t="s">
        <v>23</v>
      </c>
      <c r="I1091" t="e">
        <f>+_xlfn.XLOOKUP(tbl_encuesta[[#This Row],[Me siento motivado a dar lo mejor de mí y hacer un buen trabajo]],#REF!,#REF!)</f>
        <v>#REF!</v>
      </c>
      <c r="J1091" t="s">
        <v>43</v>
      </c>
      <c r="K1091" t="e">
        <f>+_xlfn.XLOOKUP(tbl_encuesta[[#This Row],[Mi supervisor o jefe directo me otorga el soporte que necesito para afrontar cualquier problema que afecte mi trabajo]],#REF!,#REF!)</f>
        <v>#REF!</v>
      </c>
      <c r="L1091" t="s">
        <v>23</v>
      </c>
      <c r="M1091" t="e">
        <f>+_xlfn.XLOOKUP(tbl_encuesta[[#This Row],[Mi supervisor o jefe directo fomenta que nos apoyemos entre todos en el equipo]],#REF!,#REF!)</f>
        <v>#REF!</v>
      </c>
      <c r="N1091" t="s">
        <v>23</v>
      </c>
      <c r="O1091" t="e">
        <f>+_xlfn.XLOOKUP(tbl_encuesta[[#This Row],[Siento que mi trabajo es reconocido por mi supervisor o jefe directo.]],#REF!,#REF!)</f>
        <v>#REF!</v>
      </c>
      <c r="P1091" t="s">
        <v>67</v>
      </c>
      <c r="Q1091" t="e">
        <f xml:space="preserve">
_xlfn.XLOOKUP(
tbl_encuesta[[#This Row],[Mi supervisor o jefe directo nos brinda charlas de 5 minutos y comunica las novedades relevantes a mi puesto de trabajo]],#REF!,#REF!
)</f>
        <v>#REF!</v>
      </c>
      <c r="S1091" t="s">
        <v>18</v>
      </c>
      <c r="T1091" t="s">
        <v>19</v>
      </c>
      <c r="W1091" t="s">
        <v>25</v>
      </c>
      <c r="X1091" t="s">
        <v>23</v>
      </c>
      <c r="Y1091" t="e">
        <f>+_xlfn.XLOOKUP(tbl_encuesta[[#This Row],[Considero a Limtek como un buen lugar para trabajar]],#REF!,#REF!)</f>
        <v>#REF!</v>
      </c>
      <c r="Z1091" t="s">
        <v>576</v>
      </c>
      <c r="AA1091" t="s">
        <v>44</v>
      </c>
      <c r="AB1091" t="s">
        <v>1902</v>
      </c>
      <c r="AC1091" s="3" t="s">
        <v>3755</v>
      </c>
      <c r="AD1091" s="3" t="s">
        <v>3755</v>
      </c>
      <c r="AE1091" t="s">
        <v>34</v>
      </c>
    </row>
    <row r="1092" spans="1:31" x14ac:dyDescent="0.25">
      <c r="A1092">
        <v>119026068168</v>
      </c>
      <c r="B1092">
        <v>462598545</v>
      </c>
      <c r="C1092" s="1">
        <v>46015.301747685182</v>
      </c>
      <c r="D1092" s="1">
        <v>46015.306192129632</v>
      </c>
      <c r="E1092" t="s">
        <v>2732</v>
      </c>
      <c r="F1092" t="s">
        <v>23</v>
      </c>
      <c r="G1092" t="e">
        <f>+_xlfn.XLOOKUP(tbl_encuesta[[#This Row],[Me siento a gusto con el ambiente de trabajo que se genera en mi equipo.]],#REF!,#REF!)</f>
        <v>#REF!</v>
      </c>
      <c r="H1092" t="s">
        <v>23</v>
      </c>
      <c r="I1092" t="e">
        <f>+_xlfn.XLOOKUP(tbl_encuesta[[#This Row],[Me siento motivado a dar lo mejor de mí y hacer un buen trabajo]],#REF!,#REF!)</f>
        <v>#REF!</v>
      </c>
      <c r="J1092" t="s">
        <v>23</v>
      </c>
      <c r="K1092" t="e">
        <f>+_xlfn.XLOOKUP(tbl_encuesta[[#This Row],[Mi supervisor o jefe directo me otorga el soporte que necesito para afrontar cualquier problema que afecte mi trabajo]],#REF!,#REF!)</f>
        <v>#REF!</v>
      </c>
      <c r="L1092" t="s">
        <v>23</v>
      </c>
      <c r="M1092" t="e">
        <f>+_xlfn.XLOOKUP(tbl_encuesta[[#This Row],[Mi supervisor o jefe directo fomenta que nos apoyemos entre todos en el equipo]],#REF!,#REF!)</f>
        <v>#REF!</v>
      </c>
      <c r="N1092" t="s">
        <v>23</v>
      </c>
      <c r="O1092" t="e">
        <f>+_xlfn.XLOOKUP(tbl_encuesta[[#This Row],[Siento que mi trabajo es reconocido por mi supervisor o jefe directo.]],#REF!,#REF!)</f>
        <v>#REF!</v>
      </c>
      <c r="P1092" t="s">
        <v>31</v>
      </c>
      <c r="Q1092" t="e">
        <f xml:space="preserve">
_xlfn.XLOOKUP(
tbl_encuesta[[#This Row],[Mi supervisor o jefe directo nos brinda charlas de 5 minutos y comunica las novedades relevantes a mi puesto de trabajo]],#REF!,#REF!
)</f>
        <v>#REF!</v>
      </c>
      <c r="R1092" t="s">
        <v>17</v>
      </c>
      <c r="U1092" t="s">
        <v>20</v>
      </c>
      <c r="W1092" t="s">
        <v>46</v>
      </c>
      <c r="X1092" t="s">
        <v>23</v>
      </c>
      <c r="Y1092" t="e">
        <f>+_xlfn.XLOOKUP(tbl_encuesta[[#This Row],[Considero a Limtek como un buen lugar para trabajar]],#REF!,#REF!)</f>
        <v>#REF!</v>
      </c>
      <c r="Z1092" t="s">
        <v>2733</v>
      </c>
      <c r="AA1092" t="s">
        <v>1299</v>
      </c>
      <c r="AB1092" t="s">
        <v>28</v>
      </c>
      <c r="AC1092" s="3" t="s">
        <v>3705</v>
      </c>
      <c r="AD1092" s="3" t="s">
        <v>3713</v>
      </c>
      <c r="AE1092" t="s">
        <v>34</v>
      </c>
    </row>
    <row r="1093" spans="1:31" x14ac:dyDescent="0.25">
      <c r="A1093">
        <v>119026064962</v>
      </c>
      <c r="B1093">
        <v>462598545</v>
      </c>
      <c r="C1093" s="1">
        <v>46015.292604166665</v>
      </c>
      <c r="D1093" s="1">
        <v>46015.298182870371</v>
      </c>
      <c r="E1093" t="s">
        <v>2734</v>
      </c>
      <c r="F1093" t="s">
        <v>22</v>
      </c>
      <c r="G1093" t="e">
        <f>+_xlfn.XLOOKUP(tbl_encuesta[[#This Row],[Me siento a gusto con el ambiente de trabajo que se genera en mi equipo.]],#REF!,#REF!)</f>
        <v>#REF!</v>
      </c>
      <c r="H1093" t="s">
        <v>23</v>
      </c>
      <c r="I1093" t="e">
        <f>+_xlfn.XLOOKUP(tbl_encuesta[[#This Row],[Me siento motivado a dar lo mejor de mí y hacer un buen trabajo]],#REF!,#REF!)</f>
        <v>#REF!</v>
      </c>
      <c r="J1093" t="s">
        <v>22</v>
      </c>
      <c r="K1093" t="e">
        <f>+_xlfn.XLOOKUP(tbl_encuesta[[#This Row],[Mi supervisor o jefe directo me otorga el soporte que necesito para afrontar cualquier problema que afecte mi trabajo]],#REF!,#REF!)</f>
        <v>#REF!</v>
      </c>
      <c r="L1093" t="s">
        <v>23</v>
      </c>
      <c r="M1093" t="e">
        <f>+_xlfn.XLOOKUP(tbl_encuesta[[#This Row],[Mi supervisor o jefe directo fomenta que nos apoyemos entre todos en el equipo]],#REF!,#REF!)</f>
        <v>#REF!</v>
      </c>
      <c r="N1093" t="s">
        <v>23</v>
      </c>
      <c r="O1093" t="e">
        <f>+_xlfn.XLOOKUP(tbl_encuesta[[#This Row],[Siento que mi trabajo es reconocido por mi supervisor o jefe directo.]],#REF!,#REF!)</f>
        <v>#REF!</v>
      </c>
      <c r="P1093" t="s">
        <v>67</v>
      </c>
      <c r="Q1093" t="e">
        <f xml:space="preserve">
_xlfn.XLOOKUP(
tbl_encuesta[[#This Row],[Mi supervisor o jefe directo nos brinda charlas de 5 minutos y comunica las novedades relevantes a mi puesto de trabajo]],#REF!,#REF!
)</f>
        <v>#REF!</v>
      </c>
      <c r="R1093" t="s">
        <v>17</v>
      </c>
      <c r="T1093" t="s">
        <v>19</v>
      </c>
      <c r="W1093" t="s">
        <v>46</v>
      </c>
      <c r="X1093" t="s">
        <v>23</v>
      </c>
      <c r="Y1093" t="e">
        <f>+_xlfn.XLOOKUP(tbl_encuesta[[#This Row],[Considero a Limtek como un buen lugar para trabajar]],#REF!,#REF!)</f>
        <v>#REF!</v>
      </c>
      <c r="Z1093" t="s">
        <v>351</v>
      </c>
      <c r="AA1093" t="s">
        <v>2735</v>
      </c>
      <c r="AB1093" t="s">
        <v>28</v>
      </c>
      <c r="AC1093" s="3" t="s">
        <v>3769</v>
      </c>
      <c r="AD1093" s="3" t="s">
        <v>3775</v>
      </c>
      <c r="AE1093" t="s">
        <v>69</v>
      </c>
    </row>
    <row r="1094" spans="1:31" x14ac:dyDescent="0.25">
      <c r="A1094">
        <v>119026064774</v>
      </c>
      <c r="B1094">
        <v>462598545</v>
      </c>
      <c r="C1094" s="1">
        <v>46015.292893518519</v>
      </c>
      <c r="D1094" s="1">
        <v>46015.297754629632</v>
      </c>
      <c r="E1094" t="s">
        <v>2736</v>
      </c>
      <c r="F1094" t="s">
        <v>22</v>
      </c>
      <c r="G1094" t="e">
        <f>+_xlfn.XLOOKUP(tbl_encuesta[[#This Row],[Me siento a gusto con el ambiente de trabajo que se genera en mi equipo.]],#REF!,#REF!)</f>
        <v>#REF!</v>
      </c>
      <c r="H1094" t="s">
        <v>23</v>
      </c>
      <c r="I1094" t="e">
        <f>+_xlfn.XLOOKUP(tbl_encuesta[[#This Row],[Me siento motivado a dar lo mejor de mí y hacer un buen trabajo]],#REF!,#REF!)</f>
        <v>#REF!</v>
      </c>
      <c r="J1094" t="s">
        <v>22</v>
      </c>
      <c r="K1094" t="e">
        <f>+_xlfn.XLOOKUP(tbl_encuesta[[#This Row],[Mi supervisor o jefe directo me otorga el soporte que necesito para afrontar cualquier problema que afecte mi trabajo]],#REF!,#REF!)</f>
        <v>#REF!</v>
      </c>
      <c r="L1094" t="s">
        <v>23</v>
      </c>
      <c r="M1094" t="e">
        <f>+_xlfn.XLOOKUP(tbl_encuesta[[#This Row],[Mi supervisor o jefe directo fomenta que nos apoyemos entre todos en el equipo]],#REF!,#REF!)</f>
        <v>#REF!</v>
      </c>
      <c r="N1094" t="s">
        <v>23</v>
      </c>
      <c r="O1094" t="e">
        <f>+_xlfn.XLOOKUP(tbl_encuesta[[#This Row],[Siento que mi trabajo es reconocido por mi supervisor o jefe directo.]],#REF!,#REF!)</f>
        <v>#REF!</v>
      </c>
      <c r="P1094" t="s">
        <v>67</v>
      </c>
      <c r="Q1094" t="e">
        <f xml:space="preserve">
_xlfn.XLOOKUP(
tbl_encuesta[[#This Row],[Mi supervisor o jefe directo nos brinda charlas de 5 minutos y comunica las novedades relevantes a mi puesto de trabajo]],#REF!,#REF!
)</f>
        <v>#REF!</v>
      </c>
      <c r="R1094" t="s">
        <v>17</v>
      </c>
      <c r="T1094" t="s">
        <v>19</v>
      </c>
      <c r="W1094" t="s">
        <v>46</v>
      </c>
      <c r="X1094" t="s">
        <v>23</v>
      </c>
      <c r="Y1094" t="e">
        <f>+_xlfn.XLOOKUP(tbl_encuesta[[#This Row],[Considero a Limtek como un buen lugar para trabajar]],#REF!,#REF!)</f>
        <v>#REF!</v>
      </c>
      <c r="Z1094" t="s">
        <v>135</v>
      </c>
      <c r="AA1094" t="s">
        <v>2737</v>
      </c>
      <c r="AB1094" t="s">
        <v>28</v>
      </c>
      <c r="AC1094" s="3" t="s">
        <v>3769</v>
      </c>
      <c r="AD1094" s="3" t="s">
        <v>3775</v>
      </c>
      <c r="AE1094" t="s">
        <v>69</v>
      </c>
    </row>
    <row r="1095" spans="1:31" x14ac:dyDescent="0.25">
      <c r="A1095">
        <v>119026064564</v>
      </c>
      <c r="B1095">
        <v>462598545</v>
      </c>
      <c r="C1095" s="1">
        <v>46015.293333333335</v>
      </c>
      <c r="D1095" s="1">
        <v>46015.297222222223</v>
      </c>
      <c r="E1095" t="s">
        <v>2738</v>
      </c>
      <c r="F1095" t="s">
        <v>23</v>
      </c>
      <c r="G1095" t="e">
        <f>+_xlfn.XLOOKUP(tbl_encuesta[[#This Row],[Me siento a gusto con el ambiente de trabajo que se genera en mi equipo.]],#REF!,#REF!)</f>
        <v>#REF!</v>
      </c>
      <c r="H1095" t="s">
        <v>23</v>
      </c>
      <c r="I1095" t="e">
        <f>+_xlfn.XLOOKUP(tbl_encuesta[[#This Row],[Me siento motivado a dar lo mejor de mí y hacer un buen trabajo]],#REF!,#REF!)</f>
        <v>#REF!</v>
      </c>
      <c r="J1095" t="s">
        <v>23</v>
      </c>
      <c r="K1095" t="e">
        <f>+_xlfn.XLOOKUP(tbl_encuesta[[#This Row],[Mi supervisor o jefe directo me otorga el soporte que necesito para afrontar cualquier problema que afecte mi trabajo]],#REF!,#REF!)</f>
        <v>#REF!</v>
      </c>
      <c r="L1095" t="s">
        <v>23</v>
      </c>
      <c r="M1095" t="e">
        <f>+_xlfn.XLOOKUP(tbl_encuesta[[#This Row],[Mi supervisor o jefe directo fomenta que nos apoyemos entre todos en el equipo]],#REF!,#REF!)</f>
        <v>#REF!</v>
      </c>
      <c r="N1095" t="s">
        <v>23</v>
      </c>
      <c r="O1095" t="e">
        <f>+_xlfn.XLOOKUP(tbl_encuesta[[#This Row],[Siento que mi trabajo es reconocido por mi supervisor o jefe directo.]],#REF!,#REF!)</f>
        <v>#REF!</v>
      </c>
      <c r="P1095" t="s">
        <v>31</v>
      </c>
      <c r="Q1095" t="e">
        <f xml:space="preserve">
_xlfn.XLOOKUP(
tbl_encuesta[[#This Row],[Mi supervisor o jefe directo nos brinda charlas de 5 minutos y comunica las novedades relevantes a mi puesto de trabajo]],#REF!,#REF!
)</f>
        <v>#REF!</v>
      </c>
      <c r="R1095" t="s">
        <v>17</v>
      </c>
      <c r="W1095" t="s">
        <v>25</v>
      </c>
      <c r="X1095" t="s">
        <v>23</v>
      </c>
      <c r="Y1095" t="e">
        <f>+_xlfn.XLOOKUP(tbl_encuesta[[#This Row],[Considero a Limtek como un buen lugar para trabajar]],#REF!,#REF!)</f>
        <v>#REF!</v>
      </c>
      <c r="Z1095" t="s">
        <v>2739</v>
      </c>
      <c r="AA1095" t="s">
        <v>2740</v>
      </c>
      <c r="AB1095" t="s">
        <v>28</v>
      </c>
      <c r="AC1095" s="3" t="s">
        <v>3769</v>
      </c>
      <c r="AD1095" s="3" t="s">
        <v>3795</v>
      </c>
      <c r="AE1095" t="s">
        <v>61</v>
      </c>
    </row>
    <row r="1096" spans="1:31" x14ac:dyDescent="0.25">
      <c r="A1096">
        <v>119026062550</v>
      </c>
      <c r="B1096">
        <v>462598545</v>
      </c>
      <c r="C1096" s="1">
        <v>46015.288715277777</v>
      </c>
      <c r="D1096" s="1">
        <v>46015.292291666665</v>
      </c>
      <c r="E1096" t="s">
        <v>2741</v>
      </c>
      <c r="F1096" t="s">
        <v>97</v>
      </c>
      <c r="G1096" t="e">
        <f>+_xlfn.XLOOKUP(tbl_encuesta[[#This Row],[Me siento a gusto con el ambiente de trabajo que se genera en mi equipo.]],#REF!,#REF!)</f>
        <v>#REF!</v>
      </c>
      <c r="H1096" t="s">
        <v>23</v>
      </c>
      <c r="I1096" t="e">
        <f>+_xlfn.XLOOKUP(tbl_encuesta[[#This Row],[Me siento motivado a dar lo mejor de mí y hacer un buen trabajo]],#REF!,#REF!)</f>
        <v>#REF!</v>
      </c>
      <c r="J1096" t="s">
        <v>23</v>
      </c>
      <c r="K1096" t="e">
        <f>+_xlfn.XLOOKUP(tbl_encuesta[[#This Row],[Mi supervisor o jefe directo me otorga el soporte que necesito para afrontar cualquier problema que afecte mi trabajo]],#REF!,#REF!)</f>
        <v>#REF!</v>
      </c>
      <c r="L1096" t="s">
        <v>23</v>
      </c>
      <c r="M1096" t="e">
        <f>+_xlfn.XLOOKUP(tbl_encuesta[[#This Row],[Mi supervisor o jefe directo fomenta que nos apoyemos entre todos en el equipo]],#REF!,#REF!)</f>
        <v>#REF!</v>
      </c>
      <c r="N1096" t="s">
        <v>23</v>
      </c>
      <c r="O1096" t="e">
        <f>+_xlfn.XLOOKUP(tbl_encuesta[[#This Row],[Siento que mi trabajo es reconocido por mi supervisor o jefe directo.]],#REF!,#REF!)</f>
        <v>#REF!</v>
      </c>
      <c r="P1096" t="s">
        <v>31</v>
      </c>
      <c r="Q1096" t="e">
        <f xml:space="preserve">
_xlfn.XLOOKUP(
tbl_encuesta[[#This Row],[Mi supervisor o jefe directo nos brinda charlas de 5 minutos y comunica las novedades relevantes a mi puesto de trabajo]],#REF!,#REF!
)</f>
        <v>#REF!</v>
      </c>
      <c r="R1096" t="s">
        <v>17</v>
      </c>
      <c r="W1096" t="s">
        <v>25</v>
      </c>
      <c r="X1096" t="s">
        <v>22</v>
      </c>
      <c r="Y1096" t="e">
        <f>+_xlfn.XLOOKUP(tbl_encuesta[[#This Row],[Considero a Limtek como un buen lugar para trabajar]],#REF!,#REF!)</f>
        <v>#REF!</v>
      </c>
      <c r="Z1096" t="s">
        <v>1045</v>
      </c>
      <c r="AA1096" t="s">
        <v>2742</v>
      </c>
      <c r="AB1096" t="s">
        <v>28</v>
      </c>
      <c r="AC1096" s="3" t="s">
        <v>3769</v>
      </c>
      <c r="AD1096" s="3" t="s">
        <v>3775</v>
      </c>
      <c r="AE1096" t="s">
        <v>69</v>
      </c>
    </row>
    <row r="1097" spans="1:31" x14ac:dyDescent="0.25">
      <c r="A1097">
        <v>119026060744</v>
      </c>
      <c r="B1097">
        <v>462598545</v>
      </c>
      <c r="C1097" s="1">
        <v>46015.280092592591</v>
      </c>
      <c r="D1097" s="1">
        <v>46015.287534722222</v>
      </c>
      <c r="E1097" t="s">
        <v>2743</v>
      </c>
      <c r="F1097" t="s">
        <v>23</v>
      </c>
      <c r="G1097" t="e">
        <f>+_xlfn.XLOOKUP(tbl_encuesta[[#This Row],[Me siento a gusto con el ambiente de trabajo que se genera en mi equipo.]],#REF!,#REF!)</f>
        <v>#REF!</v>
      </c>
      <c r="H1097" t="s">
        <v>23</v>
      </c>
      <c r="I1097" t="e">
        <f>+_xlfn.XLOOKUP(tbl_encuesta[[#This Row],[Me siento motivado a dar lo mejor de mí y hacer un buen trabajo]],#REF!,#REF!)</f>
        <v>#REF!</v>
      </c>
      <c r="J1097" t="s">
        <v>22</v>
      </c>
      <c r="K1097" t="e">
        <f>+_xlfn.XLOOKUP(tbl_encuesta[[#This Row],[Mi supervisor o jefe directo me otorga el soporte que necesito para afrontar cualquier problema que afecte mi trabajo]],#REF!,#REF!)</f>
        <v>#REF!</v>
      </c>
      <c r="L1097" t="s">
        <v>22</v>
      </c>
      <c r="M1097" t="e">
        <f>+_xlfn.XLOOKUP(tbl_encuesta[[#This Row],[Mi supervisor o jefe directo fomenta que nos apoyemos entre todos en el equipo]],#REF!,#REF!)</f>
        <v>#REF!</v>
      </c>
      <c r="N1097" t="s">
        <v>23</v>
      </c>
      <c r="O1097" t="e">
        <f>+_xlfn.XLOOKUP(tbl_encuesta[[#This Row],[Siento que mi trabajo es reconocido por mi supervisor o jefe directo.]],#REF!,#REF!)</f>
        <v>#REF!</v>
      </c>
      <c r="P1097" t="s">
        <v>31</v>
      </c>
      <c r="Q1097" t="e">
        <f xml:space="preserve">
_xlfn.XLOOKUP(
tbl_encuesta[[#This Row],[Mi supervisor o jefe directo nos brinda charlas de 5 minutos y comunica las novedades relevantes a mi puesto de trabajo]],#REF!,#REF!
)</f>
        <v>#REF!</v>
      </c>
      <c r="R1097" t="s">
        <v>17</v>
      </c>
      <c r="W1097" t="s">
        <v>46</v>
      </c>
      <c r="X1097" t="s">
        <v>97</v>
      </c>
      <c r="Y1097" t="e">
        <f>+_xlfn.XLOOKUP(tbl_encuesta[[#This Row],[Considero a Limtek como un buen lugar para trabajar]],#REF!,#REF!)</f>
        <v>#REF!</v>
      </c>
      <c r="Z1097" t="s">
        <v>2744</v>
      </c>
      <c r="AA1097" t="s">
        <v>2745</v>
      </c>
      <c r="AB1097" t="s">
        <v>559</v>
      </c>
      <c r="AC1097" s="3" t="s">
        <v>3802</v>
      </c>
      <c r="AD1097" s="3" t="s">
        <v>3803</v>
      </c>
      <c r="AE1097" t="s">
        <v>61</v>
      </c>
    </row>
    <row r="1098" spans="1:31" x14ac:dyDescent="0.25">
      <c r="A1098">
        <v>119026059601</v>
      </c>
      <c r="B1098">
        <v>462598545</v>
      </c>
      <c r="C1098" s="1">
        <v>46015.278634259259</v>
      </c>
      <c r="D1098" s="1">
        <v>46015.284456018519</v>
      </c>
      <c r="E1098" t="s">
        <v>2746</v>
      </c>
      <c r="F1098" t="s">
        <v>23</v>
      </c>
      <c r="G1098" t="e">
        <f>+_xlfn.XLOOKUP(tbl_encuesta[[#This Row],[Me siento a gusto con el ambiente de trabajo que se genera en mi equipo.]],#REF!,#REF!)</f>
        <v>#REF!</v>
      </c>
      <c r="H1098" t="s">
        <v>22</v>
      </c>
      <c r="I1098" t="e">
        <f>+_xlfn.XLOOKUP(tbl_encuesta[[#This Row],[Me siento motivado a dar lo mejor de mí y hacer un buen trabajo]],#REF!,#REF!)</f>
        <v>#REF!</v>
      </c>
      <c r="J1098" t="s">
        <v>22</v>
      </c>
      <c r="K1098" t="e">
        <f>+_xlfn.XLOOKUP(tbl_encuesta[[#This Row],[Mi supervisor o jefe directo me otorga el soporte que necesito para afrontar cualquier problema que afecte mi trabajo]],#REF!,#REF!)</f>
        <v>#REF!</v>
      </c>
      <c r="L1098" t="s">
        <v>23</v>
      </c>
      <c r="M1098" t="e">
        <f>+_xlfn.XLOOKUP(tbl_encuesta[[#This Row],[Mi supervisor o jefe directo fomenta que nos apoyemos entre todos en el equipo]],#REF!,#REF!)</f>
        <v>#REF!</v>
      </c>
      <c r="N1098" t="s">
        <v>22</v>
      </c>
      <c r="O1098" t="e">
        <f>+_xlfn.XLOOKUP(tbl_encuesta[[#This Row],[Siento que mi trabajo es reconocido por mi supervisor o jefe directo.]],#REF!,#REF!)</f>
        <v>#REF!</v>
      </c>
      <c r="P1098" t="s">
        <v>67</v>
      </c>
      <c r="Q1098" t="e">
        <f xml:space="preserve">
_xlfn.XLOOKUP(
tbl_encuesta[[#This Row],[Mi supervisor o jefe directo nos brinda charlas de 5 minutos y comunica las novedades relevantes a mi puesto de trabajo]],#REF!,#REF!
)</f>
        <v>#REF!</v>
      </c>
      <c r="R1098" t="s">
        <v>17</v>
      </c>
      <c r="S1098" t="s">
        <v>18</v>
      </c>
      <c r="W1098" t="s">
        <v>25</v>
      </c>
      <c r="X1098" t="s">
        <v>22</v>
      </c>
      <c r="Y1098" t="e">
        <f>+_xlfn.XLOOKUP(tbl_encuesta[[#This Row],[Considero a Limtek como un buen lugar para trabajar]],#REF!,#REF!)</f>
        <v>#REF!</v>
      </c>
      <c r="Z1098" t="s">
        <v>2747</v>
      </c>
      <c r="AA1098" t="s">
        <v>2592</v>
      </c>
      <c r="AB1098" t="s">
        <v>28</v>
      </c>
      <c r="AC1098" s="3" t="s">
        <v>3716</v>
      </c>
      <c r="AD1098" s="3" t="s">
        <v>3716</v>
      </c>
      <c r="AE1098" t="s">
        <v>69</v>
      </c>
    </row>
    <row r="1099" spans="1:31" x14ac:dyDescent="0.25">
      <c r="A1099">
        <v>119026059321</v>
      </c>
      <c r="B1099">
        <v>462598545</v>
      </c>
      <c r="C1099" s="1">
        <v>46015.272824074076</v>
      </c>
      <c r="D1099" s="1">
        <v>46015.283726851849</v>
      </c>
      <c r="E1099" t="s">
        <v>2748</v>
      </c>
      <c r="F1099" t="s">
        <v>43</v>
      </c>
      <c r="G1099" t="e">
        <f>+_xlfn.XLOOKUP(tbl_encuesta[[#This Row],[Me siento a gusto con el ambiente de trabajo que se genera en mi equipo.]],#REF!,#REF!)</f>
        <v>#REF!</v>
      </c>
      <c r="H1099" t="s">
        <v>22</v>
      </c>
      <c r="I1099" t="e">
        <f>+_xlfn.XLOOKUP(tbl_encuesta[[#This Row],[Me siento motivado a dar lo mejor de mí y hacer un buen trabajo]],#REF!,#REF!)</f>
        <v>#REF!</v>
      </c>
      <c r="J1099" t="s">
        <v>22</v>
      </c>
      <c r="K1099" t="e">
        <f>+_xlfn.XLOOKUP(tbl_encuesta[[#This Row],[Mi supervisor o jefe directo me otorga el soporte que necesito para afrontar cualquier problema que afecte mi trabajo]],#REF!,#REF!)</f>
        <v>#REF!</v>
      </c>
      <c r="L1099" t="s">
        <v>22</v>
      </c>
      <c r="M1099" t="e">
        <f>+_xlfn.XLOOKUP(tbl_encuesta[[#This Row],[Mi supervisor o jefe directo fomenta que nos apoyemos entre todos en el equipo]],#REF!,#REF!)</f>
        <v>#REF!</v>
      </c>
      <c r="N1099" t="s">
        <v>97</v>
      </c>
      <c r="O1099" t="e">
        <f>+_xlfn.XLOOKUP(tbl_encuesta[[#This Row],[Siento que mi trabajo es reconocido por mi supervisor o jefe directo.]],#REF!,#REF!)</f>
        <v>#REF!</v>
      </c>
      <c r="P1099" t="s">
        <v>67</v>
      </c>
      <c r="Q1099" t="e">
        <f xml:space="preserve">
_xlfn.XLOOKUP(
tbl_encuesta[[#This Row],[Mi supervisor o jefe directo nos brinda charlas de 5 minutos y comunica las novedades relevantes a mi puesto de trabajo]],#REF!,#REF!
)</f>
        <v>#REF!</v>
      </c>
      <c r="R1099" t="s">
        <v>17</v>
      </c>
      <c r="S1099" t="s">
        <v>18</v>
      </c>
      <c r="W1099" t="s">
        <v>25</v>
      </c>
      <c r="X1099" t="s">
        <v>22</v>
      </c>
      <c r="Y1099" t="e">
        <f>+_xlfn.XLOOKUP(tbl_encuesta[[#This Row],[Considero a Limtek como un buen lugar para trabajar]],#REF!,#REF!)</f>
        <v>#REF!</v>
      </c>
      <c r="Z1099" t="s">
        <v>2749</v>
      </c>
      <c r="AA1099" t="s">
        <v>2750</v>
      </c>
      <c r="AB1099" t="s">
        <v>28</v>
      </c>
      <c r="AC1099" s="3" t="s">
        <v>3716</v>
      </c>
      <c r="AD1099" s="3" t="s">
        <v>3716</v>
      </c>
      <c r="AE1099" t="s">
        <v>69</v>
      </c>
    </row>
    <row r="1100" spans="1:31" x14ac:dyDescent="0.25">
      <c r="A1100">
        <v>119026059288</v>
      </c>
      <c r="B1100">
        <v>462598545</v>
      </c>
      <c r="C1100" s="1">
        <v>46015.277256944442</v>
      </c>
      <c r="D1100" s="1">
        <v>46015.28365740741</v>
      </c>
      <c r="E1100" t="s">
        <v>2751</v>
      </c>
      <c r="F1100" t="s">
        <v>23</v>
      </c>
      <c r="G1100" t="e">
        <f>+_xlfn.XLOOKUP(tbl_encuesta[[#This Row],[Me siento a gusto con el ambiente de trabajo que se genera en mi equipo.]],#REF!,#REF!)</f>
        <v>#REF!</v>
      </c>
      <c r="H1100" t="s">
        <v>23</v>
      </c>
      <c r="I1100" t="e">
        <f>+_xlfn.XLOOKUP(tbl_encuesta[[#This Row],[Me siento motivado a dar lo mejor de mí y hacer un buen trabajo]],#REF!,#REF!)</f>
        <v>#REF!</v>
      </c>
      <c r="J1100" t="s">
        <v>97</v>
      </c>
      <c r="K1100" t="e">
        <f>+_xlfn.XLOOKUP(tbl_encuesta[[#This Row],[Mi supervisor o jefe directo me otorga el soporte que necesito para afrontar cualquier problema que afecte mi trabajo]],#REF!,#REF!)</f>
        <v>#REF!</v>
      </c>
      <c r="L1100" t="s">
        <v>22</v>
      </c>
      <c r="M1100" t="e">
        <f>+_xlfn.XLOOKUP(tbl_encuesta[[#This Row],[Mi supervisor o jefe directo fomenta que nos apoyemos entre todos en el equipo]],#REF!,#REF!)</f>
        <v>#REF!</v>
      </c>
      <c r="N1100" t="s">
        <v>97</v>
      </c>
      <c r="O1100" t="e">
        <f>+_xlfn.XLOOKUP(tbl_encuesta[[#This Row],[Siento que mi trabajo es reconocido por mi supervisor o jefe directo.]],#REF!,#REF!)</f>
        <v>#REF!</v>
      </c>
      <c r="P1100" t="s">
        <v>67</v>
      </c>
      <c r="Q1100" t="e">
        <f xml:space="preserve">
_xlfn.XLOOKUP(
tbl_encuesta[[#This Row],[Mi supervisor o jefe directo nos brinda charlas de 5 minutos y comunica las novedades relevantes a mi puesto de trabajo]],#REF!,#REF!
)</f>
        <v>#REF!</v>
      </c>
      <c r="R1100" t="s">
        <v>17</v>
      </c>
      <c r="S1100" t="s">
        <v>18</v>
      </c>
      <c r="W1100" t="s">
        <v>25</v>
      </c>
      <c r="X1100" t="s">
        <v>23</v>
      </c>
      <c r="Y1100" t="e">
        <f>+_xlfn.XLOOKUP(tbl_encuesta[[#This Row],[Considero a Limtek como un buen lugar para trabajar]],#REF!,#REF!)</f>
        <v>#REF!</v>
      </c>
      <c r="Z1100" t="s">
        <v>2752</v>
      </c>
      <c r="AA1100" t="s">
        <v>2753</v>
      </c>
      <c r="AB1100" t="s">
        <v>559</v>
      </c>
      <c r="AC1100" s="3" t="s">
        <v>3814</v>
      </c>
      <c r="AD1100" s="3" t="s">
        <v>3814</v>
      </c>
      <c r="AE1100" t="s">
        <v>34</v>
      </c>
    </row>
    <row r="1101" spans="1:31" x14ac:dyDescent="0.25">
      <c r="A1101">
        <v>119026051053</v>
      </c>
      <c r="B1101">
        <v>462598545</v>
      </c>
      <c r="C1101" s="1">
        <v>46015.259317129632</v>
      </c>
      <c r="D1101" s="1">
        <v>46015.261643518519</v>
      </c>
      <c r="E1101" t="s">
        <v>2754</v>
      </c>
      <c r="F1101" t="s">
        <v>23</v>
      </c>
      <c r="G1101" t="e">
        <f>+_xlfn.XLOOKUP(tbl_encuesta[[#This Row],[Me siento a gusto con el ambiente de trabajo que se genera en mi equipo.]],#REF!,#REF!)</f>
        <v>#REF!</v>
      </c>
      <c r="H1101" t="s">
        <v>23</v>
      </c>
      <c r="I1101" t="e">
        <f>+_xlfn.XLOOKUP(tbl_encuesta[[#This Row],[Me siento motivado a dar lo mejor de mí y hacer un buen trabajo]],#REF!,#REF!)</f>
        <v>#REF!</v>
      </c>
      <c r="J1101" t="s">
        <v>23</v>
      </c>
      <c r="K1101" t="e">
        <f>+_xlfn.XLOOKUP(tbl_encuesta[[#This Row],[Mi supervisor o jefe directo me otorga el soporte que necesito para afrontar cualquier problema que afecte mi trabajo]],#REF!,#REF!)</f>
        <v>#REF!</v>
      </c>
      <c r="L1101" t="s">
        <v>23</v>
      </c>
      <c r="M1101" t="e">
        <f>+_xlfn.XLOOKUP(tbl_encuesta[[#This Row],[Mi supervisor o jefe directo fomenta que nos apoyemos entre todos en el equipo]],#REF!,#REF!)</f>
        <v>#REF!</v>
      </c>
      <c r="N1101" t="s">
        <v>23</v>
      </c>
      <c r="O1101" t="e">
        <f>+_xlfn.XLOOKUP(tbl_encuesta[[#This Row],[Siento que mi trabajo es reconocido por mi supervisor o jefe directo.]],#REF!,#REF!)</f>
        <v>#REF!</v>
      </c>
      <c r="P1101" t="s">
        <v>31</v>
      </c>
      <c r="Q1101" t="e">
        <f xml:space="preserve">
_xlfn.XLOOKUP(
tbl_encuesta[[#This Row],[Mi supervisor o jefe directo nos brinda charlas de 5 minutos y comunica las novedades relevantes a mi puesto de trabajo]],#REF!,#REF!
)</f>
        <v>#REF!</v>
      </c>
      <c r="R1101" t="s">
        <v>17</v>
      </c>
      <c r="U1101" t="s">
        <v>20</v>
      </c>
      <c r="W1101" t="s">
        <v>25</v>
      </c>
      <c r="X1101" t="s">
        <v>23</v>
      </c>
      <c r="Y1101" t="e">
        <f>+_xlfn.XLOOKUP(tbl_encuesta[[#This Row],[Considero a Limtek como un buen lugar para trabajar]],#REF!,#REF!)</f>
        <v>#REF!</v>
      </c>
      <c r="Z1101" t="s">
        <v>2755</v>
      </c>
      <c r="AA1101" t="s">
        <v>2756</v>
      </c>
      <c r="AB1101" t="s">
        <v>28</v>
      </c>
      <c r="AC1101" s="3" t="s">
        <v>3716</v>
      </c>
      <c r="AD1101" s="3" t="s">
        <v>3717</v>
      </c>
      <c r="AE1101" t="s">
        <v>29</v>
      </c>
    </row>
    <row r="1102" spans="1:31" x14ac:dyDescent="0.25">
      <c r="A1102">
        <v>119026049790</v>
      </c>
      <c r="B1102">
        <v>462598545</v>
      </c>
      <c r="C1102" s="1">
        <v>46015.252662037034</v>
      </c>
      <c r="D1102" s="1">
        <v>46015.258032407408</v>
      </c>
      <c r="E1102" t="s">
        <v>2754</v>
      </c>
      <c r="F1102" t="s">
        <v>23</v>
      </c>
      <c r="G1102" t="e">
        <f>+_xlfn.XLOOKUP(tbl_encuesta[[#This Row],[Me siento a gusto con el ambiente de trabajo que se genera en mi equipo.]],#REF!,#REF!)</f>
        <v>#REF!</v>
      </c>
      <c r="H1102" t="s">
        <v>23</v>
      </c>
      <c r="I1102" t="e">
        <f>+_xlfn.XLOOKUP(tbl_encuesta[[#This Row],[Me siento motivado a dar lo mejor de mí y hacer un buen trabajo]],#REF!,#REF!)</f>
        <v>#REF!</v>
      </c>
      <c r="J1102" t="s">
        <v>23</v>
      </c>
      <c r="K1102" t="e">
        <f>+_xlfn.XLOOKUP(tbl_encuesta[[#This Row],[Mi supervisor o jefe directo me otorga el soporte que necesito para afrontar cualquier problema que afecte mi trabajo]],#REF!,#REF!)</f>
        <v>#REF!</v>
      </c>
      <c r="L1102" t="s">
        <v>23</v>
      </c>
      <c r="M1102" t="e">
        <f>+_xlfn.XLOOKUP(tbl_encuesta[[#This Row],[Mi supervisor o jefe directo fomenta que nos apoyemos entre todos en el equipo]],#REF!,#REF!)</f>
        <v>#REF!</v>
      </c>
      <c r="N1102" t="s">
        <v>23</v>
      </c>
      <c r="O1102" t="e">
        <f>+_xlfn.XLOOKUP(tbl_encuesta[[#This Row],[Siento que mi trabajo es reconocido por mi supervisor o jefe directo.]],#REF!,#REF!)</f>
        <v>#REF!</v>
      </c>
      <c r="P1102" t="s">
        <v>31</v>
      </c>
      <c r="Q1102" t="e">
        <f xml:space="preserve">
_xlfn.XLOOKUP(
tbl_encuesta[[#This Row],[Mi supervisor o jefe directo nos brinda charlas de 5 minutos y comunica las novedades relevantes a mi puesto de trabajo]],#REF!,#REF!
)</f>
        <v>#REF!</v>
      </c>
      <c r="R1102" t="s">
        <v>17</v>
      </c>
      <c r="U1102" t="s">
        <v>20</v>
      </c>
      <c r="W1102" t="s">
        <v>25</v>
      </c>
      <c r="X1102" t="s">
        <v>23</v>
      </c>
      <c r="Y1102" t="e">
        <f>+_xlfn.XLOOKUP(tbl_encuesta[[#This Row],[Considero a Limtek como un buen lugar para trabajar]],#REF!,#REF!)</f>
        <v>#REF!</v>
      </c>
      <c r="Z1102" t="s">
        <v>2757</v>
      </c>
      <c r="AA1102" t="s">
        <v>2758</v>
      </c>
      <c r="AB1102" t="s">
        <v>28</v>
      </c>
      <c r="AC1102" s="3" t="s">
        <v>3716</v>
      </c>
      <c r="AD1102" s="3" t="s">
        <v>3717</v>
      </c>
      <c r="AE1102" t="s">
        <v>29</v>
      </c>
    </row>
    <row r="1103" spans="1:31" x14ac:dyDescent="0.25">
      <c r="A1103">
        <v>119026049191</v>
      </c>
      <c r="B1103">
        <v>462598545</v>
      </c>
      <c r="C1103" s="1">
        <v>46015.251886574071</v>
      </c>
      <c r="D1103" s="1">
        <v>46015.256354166668</v>
      </c>
      <c r="E1103" t="s">
        <v>1620</v>
      </c>
      <c r="F1103" t="s">
        <v>23</v>
      </c>
      <c r="G1103" t="e">
        <f>+_xlfn.XLOOKUP(tbl_encuesta[[#This Row],[Me siento a gusto con el ambiente de trabajo que se genera en mi equipo.]],#REF!,#REF!)</f>
        <v>#REF!</v>
      </c>
      <c r="H1103" t="s">
        <v>23</v>
      </c>
      <c r="I1103" t="e">
        <f>+_xlfn.XLOOKUP(tbl_encuesta[[#This Row],[Me siento motivado a dar lo mejor de mí y hacer un buen trabajo]],#REF!,#REF!)</f>
        <v>#REF!</v>
      </c>
      <c r="J1103" t="s">
        <v>23</v>
      </c>
      <c r="K1103" t="e">
        <f>+_xlfn.XLOOKUP(tbl_encuesta[[#This Row],[Mi supervisor o jefe directo me otorga el soporte que necesito para afrontar cualquier problema que afecte mi trabajo]],#REF!,#REF!)</f>
        <v>#REF!</v>
      </c>
      <c r="L1103" t="s">
        <v>23</v>
      </c>
      <c r="M1103" t="e">
        <f>+_xlfn.XLOOKUP(tbl_encuesta[[#This Row],[Mi supervisor o jefe directo fomenta que nos apoyemos entre todos en el equipo]],#REF!,#REF!)</f>
        <v>#REF!</v>
      </c>
      <c r="N1103" t="s">
        <v>23</v>
      </c>
      <c r="O1103" t="e">
        <f>+_xlfn.XLOOKUP(tbl_encuesta[[#This Row],[Siento que mi trabajo es reconocido por mi supervisor o jefe directo.]],#REF!,#REF!)</f>
        <v>#REF!</v>
      </c>
      <c r="P1103" t="s">
        <v>31</v>
      </c>
      <c r="Q1103" t="e">
        <f xml:space="preserve">
_xlfn.XLOOKUP(
tbl_encuesta[[#This Row],[Mi supervisor o jefe directo nos brinda charlas de 5 minutos y comunica las novedades relevantes a mi puesto de trabajo]],#REF!,#REF!
)</f>
        <v>#REF!</v>
      </c>
      <c r="R1103" t="s">
        <v>17</v>
      </c>
      <c r="W1103" t="s">
        <v>25</v>
      </c>
      <c r="X1103" t="s">
        <v>23</v>
      </c>
      <c r="Y1103" t="e">
        <f>+_xlfn.XLOOKUP(tbl_encuesta[[#This Row],[Considero a Limtek como un buen lugar para trabajar]],#REF!,#REF!)</f>
        <v>#REF!</v>
      </c>
      <c r="Z1103" t="s">
        <v>2759</v>
      </c>
      <c r="AA1103" t="s">
        <v>2760</v>
      </c>
      <c r="AB1103" t="s">
        <v>28</v>
      </c>
      <c r="AC1103" s="3" t="s">
        <v>3716</v>
      </c>
      <c r="AD1103" s="3" t="s">
        <v>3716</v>
      </c>
      <c r="AE1103" t="s">
        <v>29</v>
      </c>
    </row>
    <row r="1104" spans="1:31" x14ac:dyDescent="0.25">
      <c r="A1104">
        <v>119026042686</v>
      </c>
      <c r="B1104">
        <v>462598545</v>
      </c>
      <c r="C1104" s="1">
        <v>46015.233854166669</v>
      </c>
      <c r="D1104" s="1">
        <v>46015.238668981481</v>
      </c>
      <c r="E1104" t="s">
        <v>2761</v>
      </c>
      <c r="F1104" t="s">
        <v>23</v>
      </c>
      <c r="G1104" t="e">
        <f>+_xlfn.XLOOKUP(tbl_encuesta[[#This Row],[Me siento a gusto con el ambiente de trabajo que se genera en mi equipo.]],#REF!,#REF!)</f>
        <v>#REF!</v>
      </c>
      <c r="H1104" t="s">
        <v>23</v>
      </c>
      <c r="I1104" t="e">
        <f>+_xlfn.XLOOKUP(tbl_encuesta[[#This Row],[Me siento motivado a dar lo mejor de mí y hacer un buen trabajo]],#REF!,#REF!)</f>
        <v>#REF!</v>
      </c>
      <c r="J1104" t="s">
        <v>23</v>
      </c>
      <c r="K1104" t="e">
        <f>+_xlfn.XLOOKUP(tbl_encuesta[[#This Row],[Mi supervisor o jefe directo me otorga el soporte que necesito para afrontar cualquier problema que afecte mi trabajo]],#REF!,#REF!)</f>
        <v>#REF!</v>
      </c>
      <c r="L1104" t="s">
        <v>23</v>
      </c>
      <c r="M1104" t="e">
        <f>+_xlfn.XLOOKUP(tbl_encuesta[[#This Row],[Mi supervisor o jefe directo fomenta que nos apoyemos entre todos en el equipo]],#REF!,#REF!)</f>
        <v>#REF!</v>
      </c>
      <c r="N1104" t="s">
        <v>23</v>
      </c>
      <c r="O1104" t="e">
        <f>+_xlfn.XLOOKUP(tbl_encuesta[[#This Row],[Siento que mi trabajo es reconocido por mi supervisor o jefe directo.]],#REF!,#REF!)</f>
        <v>#REF!</v>
      </c>
      <c r="P1104" t="s">
        <v>67</v>
      </c>
      <c r="Q1104" t="e">
        <f xml:space="preserve">
_xlfn.XLOOKUP(
tbl_encuesta[[#This Row],[Mi supervisor o jefe directo nos brinda charlas de 5 minutos y comunica las novedades relevantes a mi puesto de trabajo]],#REF!,#REF!
)</f>
        <v>#REF!</v>
      </c>
      <c r="R1104" t="s">
        <v>17</v>
      </c>
      <c r="S1104" t="s">
        <v>18</v>
      </c>
      <c r="W1104" t="s">
        <v>25</v>
      </c>
      <c r="X1104" t="s">
        <v>23</v>
      </c>
      <c r="Y1104" t="e">
        <f>+_xlfn.XLOOKUP(tbl_encuesta[[#This Row],[Considero a Limtek como un buen lugar para trabajar]],#REF!,#REF!)</f>
        <v>#REF!</v>
      </c>
      <c r="Z1104" t="s">
        <v>2762</v>
      </c>
      <c r="AA1104" t="s">
        <v>2763</v>
      </c>
      <c r="AB1104" t="s">
        <v>559</v>
      </c>
      <c r="AC1104" s="3" t="s">
        <v>3610</v>
      </c>
      <c r="AD1104" s="3" t="s">
        <v>3688</v>
      </c>
      <c r="AE1104" t="s">
        <v>55</v>
      </c>
    </row>
    <row r="1105" spans="1:31" x14ac:dyDescent="0.25">
      <c r="A1105">
        <v>119025964300</v>
      </c>
      <c r="B1105">
        <v>462598545</v>
      </c>
      <c r="C1105" s="1">
        <v>46015.002233796295</v>
      </c>
      <c r="D1105" s="1">
        <v>46015.008240740739</v>
      </c>
      <c r="E1105" t="s">
        <v>2764</v>
      </c>
      <c r="F1105" t="s">
        <v>22</v>
      </c>
      <c r="G1105" t="e">
        <f>+_xlfn.XLOOKUP(tbl_encuesta[[#This Row],[Me siento a gusto con el ambiente de trabajo que se genera en mi equipo.]],#REF!,#REF!)</f>
        <v>#REF!</v>
      </c>
      <c r="H1105" t="s">
        <v>23</v>
      </c>
      <c r="I1105" t="e">
        <f>+_xlfn.XLOOKUP(tbl_encuesta[[#This Row],[Me siento motivado a dar lo mejor de mí y hacer un buen trabajo]],#REF!,#REF!)</f>
        <v>#REF!</v>
      </c>
      <c r="J1105" t="s">
        <v>23</v>
      </c>
      <c r="K1105" t="e">
        <f>+_xlfn.XLOOKUP(tbl_encuesta[[#This Row],[Mi supervisor o jefe directo me otorga el soporte que necesito para afrontar cualquier problema que afecte mi trabajo]],#REF!,#REF!)</f>
        <v>#REF!</v>
      </c>
      <c r="L1105" t="s">
        <v>23</v>
      </c>
      <c r="M1105" t="e">
        <f>+_xlfn.XLOOKUP(tbl_encuesta[[#This Row],[Mi supervisor o jefe directo fomenta que nos apoyemos entre todos en el equipo]],#REF!,#REF!)</f>
        <v>#REF!</v>
      </c>
      <c r="N1105" t="s">
        <v>22</v>
      </c>
      <c r="O1105" t="e">
        <f>+_xlfn.XLOOKUP(tbl_encuesta[[#This Row],[Siento que mi trabajo es reconocido por mi supervisor o jefe directo.]],#REF!,#REF!)</f>
        <v>#REF!</v>
      </c>
      <c r="P1105" t="s">
        <v>31</v>
      </c>
      <c r="Q1105" t="e">
        <f xml:space="preserve">
_xlfn.XLOOKUP(
tbl_encuesta[[#This Row],[Mi supervisor o jefe directo nos brinda charlas de 5 minutos y comunica las novedades relevantes a mi puesto de trabajo]],#REF!,#REF!
)</f>
        <v>#REF!</v>
      </c>
      <c r="R1105" t="s">
        <v>17</v>
      </c>
      <c r="U1105" t="s">
        <v>20</v>
      </c>
      <c r="W1105" t="s">
        <v>25</v>
      </c>
      <c r="X1105" t="s">
        <v>23</v>
      </c>
      <c r="Y1105" t="e">
        <f>+_xlfn.XLOOKUP(tbl_encuesta[[#This Row],[Considero a Limtek como un buen lugar para trabajar]],#REF!,#REF!)</f>
        <v>#REF!</v>
      </c>
      <c r="Z1105" t="s">
        <v>2765</v>
      </c>
      <c r="AA1105" t="s">
        <v>2766</v>
      </c>
      <c r="AB1105" t="s">
        <v>28</v>
      </c>
      <c r="AC1105" s="3" t="s">
        <v>3716</v>
      </c>
      <c r="AD1105" s="3" t="s">
        <v>3716</v>
      </c>
      <c r="AE1105" t="s">
        <v>29</v>
      </c>
    </row>
    <row r="1106" spans="1:31" x14ac:dyDescent="0.25">
      <c r="A1106">
        <v>119025958622</v>
      </c>
      <c r="B1106">
        <v>462598545</v>
      </c>
      <c r="C1106" s="1">
        <v>46014.98646990741</v>
      </c>
      <c r="D1106" s="1">
        <v>46014.988865740743</v>
      </c>
      <c r="E1106" t="s">
        <v>2767</v>
      </c>
      <c r="F1106" t="s">
        <v>22</v>
      </c>
      <c r="G1106" t="e">
        <f>+_xlfn.XLOOKUP(tbl_encuesta[[#This Row],[Me siento a gusto con el ambiente de trabajo que se genera en mi equipo.]],#REF!,#REF!)</f>
        <v>#REF!</v>
      </c>
      <c r="H1106" t="s">
        <v>22</v>
      </c>
      <c r="I1106" t="e">
        <f>+_xlfn.XLOOKUP(tbl_encuesta[[#This Row],[Me siento motivado a dar lo mejor de mí y hacer un buen trabajo]],#REF!,#REF!)</f>
        <v>#REF!</v>
      </c>
      <c r="J1106" t="s">
        <v>22</v>
      </c>
      <c r="K1106" t="e">
        <f>+_xlfn.XLOOKUP(tbl_encuesta[[#This Row],[Mi supervisor o jefe directo me otorga el soporte que necesito para afrontar cualquier problema que afecte mi trabajo]],#REF!,#REF!)</f>
        <v>#REF!</v>
      </c>
      <c r="L1106" t="s">
        <v>22</v>
      </c>
      <c r="M1106" t="e">
        <f>+_xlfn.XLOOKUP(tbl_encuesta[[#This Row],[Mi supervisor o jefe directo fomenta que nos apoyemos entre todos en el equipo]],#REF!,#REF!)</f>
        <v>#REF!</v>
      </c>
      <c r="N1106" t="s">
        <v>22</v>
      </c>
      <c r="O1106" t="e">
        <f>+_xlfn.XLOOKUP(tbl_encuesta[[#This Row],[Siento que mi trabajo es reconocido por mi supervisor o jefe directo.]],#REF!,#REF!)</f>
        <v>#REF!</v>
      </c>
      <c r="P1106" t="s">
        <v>24</v>
      </c>
      <c r="Q1106" t="e">
        <f xml:space="preserve">
_xlfn.XLOOKUP(
tbl_encuesta[[#This Row],[Mi supervisor o jefe directo nos brinda charlas de 5 minutos y comunica las novedades relevantes a mi puesto de trabajo]],#REF!,#REF!
)</f>
        <v>#REF!</v>
      </c>
      <c r="R1106" t="s">
        <v>17</v>
      </c>
      <c r="S1106" t="s">
        <v>18</v>
      </c>
      <c r="W1106" t="s">
        <v>25</v>
      </c>
      <c r="X1106" t="s">
        <v>23</v>
      </c>
      <c r="Y1106" t="e">
        <f>+_xlfn.XLOOKUP(tbl_encuesta[[#This Row],[Considero a Limtek como un buen lugar para trabajar]],#REF!,#REF!)</f>
        <v>#REF!</v>
      </c>
      <c r="Z1106" t="s">
        <v>2768</v>
      </c>
      <c r="AA1106" t="s">
        <v>125</v>
      </c>
      <c r="AB1106" t="s">
        <v>559</v>
      </c>
      <c r="AC1106" t="s">
        <v>3744</v>
      </c>
      <c r="AD1106" t="s">
        <v>3744</v>
      </c>
      <c r="AE1106" t="s">
        <v>69</v>
      </c>
    </row>
    <row r="1107" spans="1:31" x14ac:dyDescent="0.25">
      <c r="A1107">
        <v>119025955885</v>
      </c>
      <c r="B1107">
        <v>462598545</v>
      </c>
      <c r="C1107" s="1">
        <v>46014.960057870368</v>
      </c>
      <c r="D1107" s="1">
        <v>46014.979548611111</v>
      </c>
      <c r="E1107" t="s">
        <v>2769</v>
      </c>
      <c r="F1107" t="s">
        <v>23</v>
      </c>
      <c r="G1107" t="e">
        <f>+_xlfn.XLOOKUP(tbl_encuesta[[#This Row],[Me siento a gusto con el ambiente de trabajo que se genera en mi equipo.]],#REF!,#REF!)</f>
        <v>#REF!</v>
      </c>
      <c r="H1107" t="s">
        <v>23</v>
      </c>
      <c r="I1107" t="e">
        <f>+_xlfn.XLOOKUP(tbl_encuesta[[#This Row],[Me siento motivado a dar lo mejor de mí y hacer un buen trabajo]],#REF!,#REF!)</f>
        <v>#REF!</v>
      </c>
      <c r="J1107" t="s">
        <v>22</v>
      </c>
      <c r="K1107" t="e">
        <f>+_xlfn.XLOOKUP(tbl_encuesta[[#This Row],[Mi supervisor o jefe directo me otorga el soporte que necesito para afrontar cualquier problema que afecte mi trabajo]],#REF!,#REF!)</f>
        <v>#REF!</v>
      </c>
      <c r="L1107" t="s">
        <v>23</v>
      </c>
      <c r="M1107" t="e">
        <f>+_xlfn.XLOOKUP(tbl_encuesta[[#This Row],[Mi supervisor o jefe directo fomenta que nos apoyemos entre todos en el equipo]],#REF!,#REF!)</f>
        <v>#REF!</v>
      </c>
      <c r="N1107" t="s">
        <v>22</v>
      </c>
      <c r="O1107" t="e">
        <f>+_xlfn.XLOOKUP(tbl_encuesta[[#This Row],[Siento que mi trabajo es reconocido por mi supervisor o jefe directo.]],#REF!,#REF!)</f>
        <v>#REF!</v>
      </c>
      <c r="P1107" t="s">
        <v>31</v>
      </c>
      <c r="Q1107" t="e">
        <f xml:space="preserve">
_xlfn.XLOOKUP(
tbl_encuesta[[#This Row],[Mi supervisor o jefe directo nos brinda charlas de 5 minutos y comunica las novedades relevantes a mi puesto de trabajo]],#REF!,#REF!
)</f>
        <v>#REF!</v>
      </c>
      <c r="T1107" t="s">
        <v>19</v>
      </c>
      <c r="U1107" t="s">
        <v>20</v>
      </c>
      <c r="W1107" t="s">
        <v>25</v>
      </c>
      <c r="X1107" t="s">
        <v>23</v>
      </c>
      <c r="Y1107" t="e">
        <f>+_xlfn.XLOOKUP(tbl_encuesta[[#This Row],[Considero a Limtek como un buen lugar para trabajar]],#REF!,#REF!)</f>
        <v>#REF!</v>
      </c>
      <c r="Z1107" t="s">
        <v>2770</v>
      </c>
      <c r="AA1107" t="s">
        <v>2771</v>
      </c>
      <c r="AB1107" t="s">
        <v>559</v>
      </c>
      <c r="AC1107" s="3" t="s">
        <v>3769</v>
      </c>
      <c r="AD1107" s="3" t="s">
        <v>3769</v>
      </c>
      <c r="AE1107" t="s">
        <v>29</v>
      </c>
    </row>
    <row r="1108" spans="1:31" x14ac:dyDescent="0.25">
      <c r="A1108">
        <v>119025949849</v>
      </c>
      <c r="B1108">
        <v>462598545</v>
      </c>
      <c r="C1108" s="1">
        <v>46014.952939814815</v>
      </c>
      <c r="D1108" s="1">
        <v>46014.958437499998</v>
      </c>
      <c r="E1108" t="s">
        <v>2772</v>
      </c>
      <c r="F1108" t="s">
        <v>23</v>
      </c>
      <c r="G1108" t="e">
        <f>+_xlfn.XLOOKUP(tbl_encuesta[[#This Row],[Me siento a gusto con el ambiente de trabajo que se genera en mi equipo.]],#REF!,#REF!)</f>
        <v>#REF!</v>
      </c>
      <c r="H1108" t="s">
        <v>23</v>
      </c>
      <c r="I1108" t="e">
        <f>+_xlfn.XLOOKUP(tbl_encuesta[[#This Row],[Me siento motivado a dar lo mejor de mí y hacer un buen trabajo]],#REF!,#REF!)</f>
        <v>#REF!</v>
      </c>
      <c r="J1108" t="s">
        <v>23</v>
      </c>
      <c r="K1108" t="e">
        <f>+_xlfn.XLOOKUP(tbl_encuesta[[#This Row],[Mi supervisor o jefe directo me otorga el soporte que necesito para afrontar cualquier problema que afecte mi trabajo]],#REF!,#REF!)</f>
        <v>#REF!</v>
      </c>
      <c r="L1108" t="s">
        <v>23</v>
      </c>
      <c r="M1108" t="e">
        <f>+_xlfn.XLOOKUP(tbl_encuesta[[#This Row],[Mi supervisor o jefe directo fomenta que nos apoyemos entre todos en el equipo]],#REF!,#REF!)</f>
        <v>#REF!</v>
      </c>
      <c r="N1108" t="s">
        <v>23</v>
      </c>
      <c r="O1108" t="e">
        <f>+_xlfn.XLOOKUP(tbl_encuesta[[#This Row],[Siento que mi trabajo es reconocido por mi supervisor o jefe directo.]],#REF!,#REF!)</f>
        <v>#REF!</v>
      </c>
      <c r="P1108" t="s">
        <v>31</v>
      </c>
      <c r="Q1108" t="e">
        <f xml:space="preserve">
_xlfn.XLOOKUP(
tbl_encuesta[[#This Row],[Mi supervisor o jefe directo nos brinda charlas de 5 minutos y comunica las novedades relevantes a mi puesto de trabajo]],#REF!,#REF!
)</f>
        <v>#REF!</v>
      </c>
      <c r="R1108" t="s">
        <v>17</v>
      </c>
      <c r="U1108" t="s">
        <v>20</v>
      </c>
      <c r="W1108" t="s">
        <v>25</v>
      </c>
      <c r="X1108" t="s">
        <v>23</v>
      </c>
      <c r="Y1108" t="e">
        <f>+_xlfn.XLOOKUP(tbl_encuesta[[#This Row],[Considero a Limtek como un buen lugar para trabajar]],#REF!,#REF!)</f>
        <v>#REF!</v>
      </c>
      <c r="Z1108" t="s">
        <v>2773</v>
      </c>
      <c r="AA1108" t="s">
        <v>2774</v>
      </c>
      <c r="AB1108" t="s">
        <v>28</v>
      </c>
      <c r="AC1108" t="s">
        <v>3744</v>
      </c>
      <c r="AD1108" t="s">
        <v>3744</v>
      </c>
      <c r="AE1108" t="s">
        <v>34</v>
      </c>
    </row>
    <row r="1109" spans="1:31" x14ac:dyDescent="0.25">
      <c r="A1109">
        <v>119025947117</v>
      </c>
      <c r="B1109">
        <v>462598545</v>
      </c>
      <c r="C1109" s="1">
        <v>46014.948194444441</v>
      </c>
      <c r="D1109" s="1">
        <v>46014.949363425927</v>
      </c>
      <c r="E1109" t="s">
        <v>2775</v>
      </c>
      <c r="F1109" t="s">
        <v>22</v>
      </c>
      <c r="G1109" t="e">
        <f>+_xlfn.XLOOKUP(tbl_encuesta[[#This Row],[Me siento a gusto con el ambiente de trabajo que se genera en mi equipo.]],#REF!,#REF!)</f>
        <v>#REF!</v>
      </c>
      <c r="H1109" t="s">
        <v>22</v>
      </c>
      <c r="I1109" t="e">
        <f>+_xlfn.XLOOKUP(tbl_encuesta[[#This Row],[Me siento motivado a dar lo mejor de mí y hacer un buen trabajo]],#REF!,#REF!)</f>
        <v>#REF!</v>
      </c>
      <c r="J1109" t="s">
        <v>22</v>
      </c>
      <c r="K1109" t="e">
        <f>+_xlfn.XLOOKUP(tbl_encuesta[[#This Row],[Mi supervisor o jefe directo me otorga el soporte que necesito para afrontar cualquier problema que afecte mi trabajo]],#REF!,#REF!)</f>
        <v>#REF!</v>
      </c>
      <c r="L1109" t="s">
        <v>22</v>
      </c>
      <c r="M1109" t="e">
        <f>+_xlfn.XLOOKUP(tbl_encuesta[[#This Row],[Mi supervisor o jefe directo fomenta que nos apoyemos entre todos en el equipo]],#REF!,#REF!)</f>
        <v>#REF!</v>
      </c>
      <c r="N1109" t="s">
        <v>22</v>
      </c>
      <c r="O1109" t="e">
        <f>+_xlfn.XLOOKUP(tbl_encuesta[[#This Row],[Siento que mi trabajo es reconocido por mi supervisor o jefe directo.]],#REF!,#REF!)</f>
        <v>#REF!</v>
      </c>
      <c r="P1109" t="s">
        <v>67</v>
      </c>
      <c r="Q1109" t="e">
        <f xml:space="preserve">
_xlfn.XLOOKUP(
tbl_encuesta[[#This Row],[Mi supervisor o jefe directo nos brinda charlas de 5 minutos y comunica las novedades relevantes a mi puesto de trabajo]],#REF!,#REF!
)</f>
        <v>#REF!</v>
      </c>
      <c r="R1109" t="s">
        <v>17</v>
      </c>
      <c r="T1109" t="s">
        <v>19</v>
      </c>
      <c r="W1109" t="s">
        <v>25</v>
      </c>
      <c r="X1109" t="s">
        <v>22</v>
      </c>
      <c r="Y1109" t="e">
        <f>+_xlfn.XLOOKUP(tbl_encuesta[[#This Row],[Considero a Limtek como un buen lugar para trabajar]],#REF!,#REF!)</f>
        <v>#REF!</v>
      </c>
      <c r="Z1109" t="s">
        <v>2771</v>
      </c>
      <c r="AA1109" t="s">
        <v>2776</v>
      </c>
      <c r="AB1109" t="s">
        <v>28</v>
      </c>
      <c r="AC1109" t="s">
        <v>3598</v>
      </c>
      <c r="AD1109" s="3" t="s">
        <v>3605</v>
      </c>
      <c r="AE1109" t="s">
        <v>61</v>
      </c>
    </row>
    <row r="1110" spans="1:31" x14ac:dyDescent="0.25">
      <c r="A1110">
        <v>119025946319</v>
      </c>
      <c r="B1110">
        <v>462598545</v>
      </c>
      <c r="C1110" s="1">
        <v>46014.94017361111</v>
      </c>
      <c r="D1110" s="1">
        <v>46014.946747685186</v>
      </c>
      <c r="E1110" t="s">
        <v>2777</v>
      </c>
      <c r="F1110" t="s">
        <v>23</v>
      </c>
      <c r="G1110" t="e">
        <f>+_xlfn.XLOOKUP(tbl_encuesta[[#This Row],[Me siento a gusto con el ambiente de trabajo que se genera en mi equipo.]],#REF!,#REF!)</f>
        <v>#REF!</v>
      </c>
      <c r="H1110" t="s">
        <v>22</v>
      </c>
      <c r="I1110" t="e">
        <f>+_xlfn.XLOOKUP(tbl_encuesta[[#This Row],[Me siento motivado a dar lo mejor de mí y hacer un buen trabajo]],#REF!,#REF!)</f>
        <v>#REF!</v>
      </c>
      <c r="J1110" t="s">
        <v>22</v>
      </c>
      <c r="K1110" t="e">
        <f>+_xlfn.XLOOKUP(tbl_encuesta[[#This Row],[Mi supervisor o jefe directo me otorga el soporte que necesito para afrontar cualquier problema que afecte mi trabajo]],#REF!,#REF!)</f>
        <v>#REF!</v>
      </c>
      <c r="L1110" t="s">
        <v>23</v>
      </c>
      <c r="M1110" t="e">
        <f>+_xlfn.XLOOKUP(tbl_encuesta[[#This Row],[Mi supervisor o jefe directo fomenta que nos apoyemos entre todos en el equipo]],#REF!,#REF!)</f>
        <v>#REF!</v>
      </c>
      <c r="N1110" t="s">
        <v>22</v>
      </c>
      <c r="O1110" t="e">
        <f>+_xlfn.XLOOKUP(tbl_encuesta[[#This Row],[Siento que mi trabajo es reconocido por mi supervisor o jefe directo.]],#REF!,#REF!)</f>
        <v>#REF!</v>
      </c>
      <c r="P1110" t="s">
        <v>24</v>
      </c>
      <c r="Q1110" t="e">
        <f xml:space="preserve">
_xlfn.XLOOKUP(
tbl_encuesta[[#This Row],[Mi supervisor o jefe directo nos brinda charlas de 5 minutos y comunica las novedades relevantes a mi puesto de trabajo]],#REF!,#REF!
)</f>
        <v>#REF!</v>
      </c>
      <c r="R1110" t="s">
        <v>17</v>
      </c>
      <c r="S1110" t="s">
        <v>18</v>
      </c>
      <c r="W1110" t="s">
        <v>25</v>
      </c>
      <c r="X1110" t="s">
        <v>23</v>
      </c>
      <c r="Y1110" t="e">
        <f>+_xlfn.XLOOKUP(tbl_encuesta[[#This Row],[Considero a Limtek como un buen lugar para trabajar]],#REF!,#REF!)</f>
        <v>#REF!</v>
      </c>
      <c r="Z1110" t="s">
        <v>2778</v>
      </c>
      <c r="AA1110" t="s">
        <v>2779</v>
      </c>
      <c r="AB1110" t="s">
        <v>1902</v>
      </c>
      <c r="AC1110" t="s">
        <v>3744</v>
      </c>
      <c r="AD1110" t="s">
        <v>3744</v>
      </c>
      <c r="AE1110" t="s">
        <v>69</v>
      </c>
    </row>
    <row r="1111" spans="1:31" x14ac:dyDescent="0.25">
      <c r="A1111">
        <v>119025944883</v>
      </c>
      <c r="B1111">
        <v>462598545</v>
      </c>
      <c r="C1111" s="1">
        <v>46014.937581018516</v>
      </c>
      <c r="D1111" s="1">
        <v>46014.941851851851</v>
      </c>
      <c r="E1111" t="s">
        <v>2780</v>
      </c>
      <c r="F1111" t="s">
        <v>22</v>
      </c>
      <c r="G1111" t="e">
        <f>+_xlfn.XLOOKUP(tbl_encuesta[[#This Row],[Me siento a gusto con el ambiente de trabajo que se genera en mi equipo.]],#REF!,#REF!)</f>
        <v>#REF!</v>
      </c>
      <c r="H1111" t="s">
        <v>22</v>
      </c>
      <c r="I1111" t="e">
        <f>+_xlfn.XLOOKUP(tbl_encuesta[[#This Row],[Me siento motivado a dar lo mejor de mí y hacer un buen trabajo]],#REF!,#REF!)</f>
        <v>#REF!</v>
      </c>
      <c r="J1111" t="s">
        <v>22</v>
      </c>
      <c r="K1111" t="e">
        <f>+_xlfn.XLOOKUP(tbl_encuesta[[#This Row],[Mi supervisor o jefe directo me otorga el soporte que necesito para afrontar cualquier problema que afecte mi trabajo]],#REF!,#REF!)</f>
        <v>#REF!</v>
      </c>
      <c r="L1111" t="s">
        <v>22</v>
      </c>
      <c r="M1111" t="e">
        <f>+_xlfn.XLOOKUP(tbl_encuesta[[#This Row],[Mi supervisor o jefe directo fomenta que nos apoyemos entre todos en el equipo]],#REF!,#REF!)</f>
        <v>#REF!</v>
      </c>
      <c r="N1111" t="s">
        <v>22</v>
      </c>
      <c r="O1111" t="e">
        <f>+_xlfn.XLOOKUP(tbl_encuesta[[#This Row],[Siento que mi trabajo es reconocido por mi supervisor o jefe directo.]],#REF!,#REF!)</f>
        <v>#REF!</v>
      </c>
      <c r="P1111" t="s">
        <v>31</v>
      </c>
      <c r="Q1111" t="e">
        <f xml:space="preserve">
_xlfn.XLOOKUP(
tbl_encuesta[[#This Row],[Mi supervisor o jefe directo nos brinda charlas de 5 minutos y comunica las novedades relevantes a mi puesto de trabajo]],#REF!,#REF!
)</f>
        <v>#REF!</v>
      </c>
      <c r="R1111" t="s">
        <v>17</v>
      </c>
      <c r="T1111" t="s">
        <v>19</v>
      </c>
      <c r="W1111" t="s">
        <v>25</v>
      </c>
      <c r="X1111" t="s">
        <v>23</v>
      </c>
      <c r="Y1111" t="e">
        <f>+_xlfn.XLOOKUP(tbl_encuesta[[#This Row],[Considero a Limtek como un buen lugar para trabajar]],#REF!,#REF!)</f>
        <v>#REF!</v>
      </c>
      <c r="Z1111" t="s">
        <v>2781</v>
      </c>
      <c r="AA1111" t="s">
        <v>2782</v>
      </c>
      <c r="AB1111" t="s">
        <v>559</v>
      </c>
      <c r="AC1111" s="3" t="s">
        <v>3766</v>
      </c>
      <c r="AD1111" s="3" t="s">
        <v>3766</v>
      </c>
      <c r="AE1111" t="s">
        <v>34</v>
      </c>
    </row>
    <row r="1112" spans="1:31" x14ac:dyDescent="0.25">
      <c r="A1112">
        <v>119025941747</v>
      </c>
      <c r="B1112">
        <v>462598545</v>
      </c>
      <c r="C1112" s="1">
        <v>46014.915092592593</v>
      </c>
      <c r="D1112" s="1">
        <v>46014.931284722225</v>
      </c>
      <c r="E1112" t="s">
        <v>2391</v>
      </c>
      <c r="F1112" t="s">
        <v>22</v>
      </c>
      <c r="G1112" t="e">
        <f>+_xlfn.XLOOKUP(tbl_encuesta[[#This Row],[Me siento a gusto con el ambiente de trabajo que se genera en mi equipo.]],#REF!,#REF!)</f>
        <v>#REF!</v>
      </c>
      <c r="H1112" t="s">
        <v>23</v>
      </c>
      <c r="I1112" t="e">
        <f>+_xlfn.XLOOKUP(tbl_encuesta[[#This Row],[Me siento motivado a dar lo mejor de mí y hacer un buen trabajo]],#REF!,#REF!)</f>
        <v>#REF!</v>
      </c>
      <c r="J1112" t="s">
        <v>23</v>
      </c>
      <c r="K1112" t="e">
        <f>+_xlfn.XLOOKUP(tbl_encuesta[[#This Row],[Mi supervisor o jefe directo me otorga el soporte que necesito para afrontar cualquier problema que afecte mi trabajo]],#REF!,#REF!)</f>
        <v>#REF!</v>
      </c>
      <c r="L1112" t="s">
        <v>23</v>
      </c>
      <c r="M1112" t="e">
        <f>+_xlfn.XLOOKUP(tbl_encuesta[[#This Row],[Mi supervisor o jefe directo fomenta que nos apoyemos entre todos en el equipo]],#REF!,#REF!)</f>
        <v>#REF!</v>
      </c>
      <c r="N1112" t="s">
        <v>22</v>
      </c>
      <c r="O1112" t="e">
        <f>+_xlfn.XLOOKUP(tbl_encuesta[[#This Row],[Siento que mi trabajo es reconocido por mi supervisor o jefe directo.]],#REF!,#REF!)</f>
        <v>#REF!</v>
      </c>
      <c r="P1112" t="s">
        <v>31</v>
      </c>
      <c r="Q1112" t="e">
        <f xml:space="preserve">
_xlfn.XLOOKUP(
tbl_encuesta[[#This Row],[Mi supervisor o jefe directo nos brinda charlas de 5 minutos y comunica las novedades relevantes a mi puesto de trabajo]],#REF!,#REF!
)</f>
        <v>#REF!</v>
      </c>
      <c r="V1112" t="s">
        <v>2783</v>
      </c>
      <c r="W1112" t="s">
        <v>25</v>
      </c>
      <c r="X1112" t="s">
        <v>22</v>
      </c>
      <c r="Y1112" t="e">
        <f>+_xlfn.XLOOKUP(tbl_encuesta[[#This Row],[Considero a Limtek como un buen lugar para trabajar]],#REF!,#REF!)</f>
        <v>#REF!</v>
      </c>
      <c r="Z1112" t="s">
        <v>2784</v>
      </c>
      <c r="AA1112" t="s">
        <v>2785</v>
      </c>
      <c r="AB1112" t="s">
        <v>28</v>
      </c>
      <c r="AC1112" t="s">
        <v>3598</v>
      </c>
      <c r="AD1112" t="s">
        <v>3598</v>
      </c>
      <c r="AE1112" t="s">
        <v>34</v>
      </c>
    </row>
    <row r="1113" spans="1:31" x14ac:dyDescent="0.25">
      <c r="A1113">
        <v>119025939636</v>
      </c>
      <c r="B1113">
        <v>462598545</v>
      </c>
      <c r="C1113" s="1">
        <v>46014.923483796294</v>
      </c>
      <c r="D1113" s="1">
        <v>46014.924259259256</v>
      </c>
      <c r="E1113" t="s">
        <v>2786</v>
      </c>
      <c r="F1113" t="s">
        <v>22</v>
      </c>
      <c r="G1113" t="e">
        <f>+_xlfn.XLOOKUP(tbl_encuesta[[#This Row],[Me siento a gusto con el ambiente de trabajo que se genera en mi equipo.]],#REF!,#REF!)</f>
        <v>#REF!</v>
      </c>
      <c r="H1113" t="s">
        <v>23</v>
      </c>
      <c r="I1113" t="e">
        <f>+_xlfn.XLOOKUP(tbl_encuesta[[#This Row],[Me siento motivado a dar lo mejor de mí y hacer un buen trabajo]],#REF!,#REF!)</f>
        <v>#REF!</v>
      </c>
      <c r="J1113" t="s">
        <v>22</v>
      </c>
      <c r="K1113" t="e">
        <f>+_xlfn.XLOOKUP(tbl_encuesta[[#This Row],[Mi supervisor o jefe directo me otorga el soporte que necesito para afrontar cualquier problema que afecte mi trabajo]],#REF!,#REF!)</f>
        <v>#REF!</v>
      </c>
      <c r="L1113" t="s">
        <v>97</v>
      </c>
      <c r="M1113" t="e">
        <f>+_xlfn.XLOOKUP(tbl_encuesta[[#This Row],[Mi supervisor o jefe directo fomenta que nos apoyemos entre todos en el equipo]],#REF!,#REF!)</f>
        <v>#REF!</v>
      </c>
      <c r="N1113" t="s">
        <v>22</v>
      </c>
      <c r="O1113" t="e">
        <f>+_xlfn.XLOOKUP(tbl_encuesta[[#This Row],[Siento que mi trabajo es reconocido por mi supervisor o jefe directo.]],#REF!,#REF!)</f>
        <v>#REF!</v>
      </c>
      <c r="P1113" t="s">
        <v>67</v>
      </c>
      <c r="Q1113" t="e">
        <f xml:space="preserve">
_xlfn.XLOOKUP(
tbl_encuesta[[#This Row],[Mi supervisor o jefe directo nos brinda charlas de 5 minutos y comunica las novedades relevantes a mi puesto de trabajo]],#REF!,#REF!
)</f>
        <v>#REF!</v>
      </c>
      <c r="R1113" t="s">
        <v>17</v>
      </c>
      <c r="W1113" t="s">
        <v>25</v>
      </c>
      <c r="X1113" t="s">
        <v>23</v>
      </c>
      <c r="Y1113" t="e">
        <f>+_xlfn.XLOOKUP(tbl_encuesta[[#This Row],[Considero a Limtek como un buen lugar para trabajar]],#REF!,#REF!)</f>
        <v>#REF!</v>
      </c>
      <c r="Z1113" t="s">
        <v>576</v>
      </c>
      <c r="AA1113" t="s">
        <v>44</v>
      </c>
      <c r="AB1113" t="s">
        <v>28</v>
      </c>
      <c r="AC1113" t="s">
        <v>3744</v>
      </c>
      <c r="AD1113" t="s">
        <v>3744</v>
      </c>
      <c r="AE1113" t="s">
        <v>29</v>
      </c>
    </row>
    <row r="1114" spans="1:31" x14ac:dyDescent="0.25">
      <c r="A1114">
        <v>119025939194</v>
      </c>
      <c r="B1114">
        <v>462598545</v>
      </c>
      <c r="C1114" s="1">
        <v>46014.919027777774</v>
      </c>
      <c r="D1114" s="1">
        <v>46014.922789351855</v>
      </c>
      <c r="E1114" t="s">
        <v>2787</v>
      </c>
      <c r="F1114" t="s">
        <v>23</v>
      </c>
      <c r="G1114" t="e">
        <f>+_xlfn.XLOOKUP(tbl_encuesta[[#This Row],[Me siento a gusto con el ambiente de trabajo que se genera en mi equipo.]],#REF!,#REF!)</f>
        <v>#REF!</v>
      </c>
      <c r="H1114" t="s">
        <v>23</v>
      </c>
      <c r="I1114" t="e">
        <f>+_xlfn.XLOOKUP(tbl_encuesta[[#This Row],[Me siento motivado a dar lo mejor de mí y hacer un buen trabajo]],#REF!,#REF!)</f>
        <v>#REF!</v>
      </c>
      <c r="J1114" t="s">
        <v>23</v>
      </c>
      <c r="K1114" t="e">
        <f>+_xlfn.XLOOKUP(tbl_encuesta[[#This Row],[Mi supervisor o jefe directo me otorga el soporte que necesito para afrontar cualquier problema que afecte mi trabajo]],#REF!,#REF!)</f>
        <v>#REF!</v>
      </c>
      <c r="L1114" t="s">
        <v>23</v>
      </c>
      <c r="M1114" t="e">
        <f>+_xlfn.XLOOKUP(tbl_encuesta[[#This Row],[Mi supervisor o jefe directo fomenta que nos apoyemos entre todos en el equipo]],#REF!,#REF!)</f>
        <v>#REF!</v>
      </c>
      <c r="N1114" t="s">
        <v>23</v>
      </c>
      <c r="O1114" t="e">
        <f>+_xlfn.XLOOKUP(tbl_encuesta[[#This Row],[Siento que mi trabajo es reconocido por mi supervisor o jefe directo.]],#REF!,#REF!)</f>
        <v>#REF!</v>
      </c>
      <c r="P1114" t="s">
        <v>31</v>
      </c>
      <c r="Q1114" t="e">
        <f xml:space="preserve">
_xlfn.XLOOKUP(
tbl_encuesta[[#This Row],[Mi supervisor o jefe directo nos brinda charlas de 5 minutos y comunica las novedades relevantes a mi puesto de trabajo]],#REF!,#REF!
)</f>
        <v>#REF!</v>
      </c>
      <c r="S1114" t="s">
        <v>18</v>
      </c>
      <c r="T1114" t="s">
        <v>19</v>
      </c>
      <c r="W1114" t="s">
        <v>25</v>
      </c>
      <c r="X1114" t="s">
        <v>23</v>
      </c>
      <c r="Y1114" t="e">
        <f>+_xlfn.XLOOKUP(tbl_encuesta[[#This Row],[Considero a Limtek como un buen lugar para trabajar]],#REF!,#REF!)</f>
        <v>#REF!</v>
      </c>
      <c r="Z1114" t="s">
        <v>2788</v>
      </c>
      <c r="AA1114" t="s">
        <v>2789</v>
      </c>
      <c r="AB1114" t="s">
        <v>28</v>
      </c>
      <c r="AC1114" s="3" t="s">
        <v>3714</v>
      </c>
      <c r="AD1114" s="3" t="s">
        <v>3724</v>
      </c>
      <c r="AE1114" t="s">
        <v>69</v>
      </c>
    </row>
    <row r="1115" spans="1:31" x14ac:dyDescent="0.25">
      <c r="A1115">
        <v>119025937401</v>
      </c>
      <c r="B1115">
        <v>462598545</v>
      </c>
      <c r="C1115" s="1">
        <v>46014.908032407409</v>
      </c>
      <c r="D1115" s="1">
        <v>46014.916990740741</v>
      </c>
      <c r="E1115" t="s">
        <v>2790</v>
      </c>
      <c r="F1115" t="s">
        <v>23</v>
      </c>
      <c r="G1115" t="e">
        <f>+_xlfn.XLOOKUP(tbl_encuesta[[#This Row],[Me siento a gusto con el ambiente de trabajo que se genera en mi equipo.]],#REF!,#REF!)</f>
        <v>#REF!</v>
      </c>
      <c r="H1115" t="s">
        <v>23</v>
      </c>
      <c r="I1115" t="e">
        <f>+_xlfn.XLOOKUP(tbl_encuesta[[#This Row],[Me siento motivado a dar lo mejor de mí y hacer un buen trabajo]],#REF!,#REF!)</f>
        <v>#REF!</v>
      </c>
      <c r="J1115" t="s">
        <v>23</v>
      </c>
      <c r="K1115" t="e">
        <f>+_xlfn.XLOOKUP(tbl_encuesta[[#This Row],[Mi supervisor o jefe directo me otorga el soporte que necesito para afrontar cualquier problema que afecte mi trabajo]],#REF!,#REF!)</f>
        <v>#REF!</v>
      </c>
      <c r="L1115" t="s">
        <v>23</v>
      </c>
      <c r="M1115" t="e">
        <f>+_xlfn.XLOOKUP(tbl_encuesta[[#This Row],[Mi supervisor o jefe directo fomenta que nos apoyemos entre todos en el equipo]],#REF!,#REF!)</f>
        <v>#REF!</v>
      </c>
      <c r="N1115" t="s">
        <v>23</v>
      </c>
      <c r="O1115" t="e">
        <f>+_xlfn.XLOOKUP(tbl_encuesta[[#This Row],[Siento que mi trabajo es reconocido por mi supervisor o jefe directo.]],#REF!,#REF!)</f>
        <v>#REF!</v>
      </c>
      <c r="P1115" t="s">
        <v>67</v>
      </c>
      <c r="Q1115" t="e">
        <f xml:space="preserve">
_xlfn.XLOOKUP(
tbl_encuesta[[#This Row],[Mi supervisor o jefe directo nos brinda charlas de 5 minutos y comunica las novedades relevantes a mi puesto de trabajo]],#REF!,#REF!
)</f>
        <v>#REF!</v>
      </c>
      <c r="S1115" t="s">
        <v>18</v>
      </c>
      <c r="T1115" t="s">
        <v>19</v>
      </c>
      <c r="W1115" t="s">
        <v>25</v>
      </c>
      <c r="X1115" t="s">
        <v>23</v>
      </c>
      <c r="Y1115" t="e">
        <f>+_xlfn.XLOOKUP(tbl_encuesta[[#This Row],[Considero a Limtek como un buen lugar para trabajar]],#REF!,#REF!)</f>
        <v>#REF!</v>
      </c>
      <c r="Z1115" t="s">
        <v>2791</v>
      </c>
      <c r="AA1115" t="s">
        <v>2792</v>
      </c>
      <c r="AB1115" t="s">
        <v>726</v>
      </c>
      <c r="AC1115" s="3" t="s">
        <v>3716</v>
      </c>
      <c r="AD1115" s="3" t="s">
        <v>3716</v>
      </c>
      <c r="AE1115" t="s">
        <v>69</v>
      </c>
    </row>
    <row r="1116" spans="1:31" x14ac:dyDescent="0.25">
      <c r="A1116">
        <v>119025936877</v>
      </c>
      <c r="B1116">
        <v>462598545</v>
      </c>
      <c r="C1116" s="1">
        <v>46014.907314814816</v>
      </c>
      <c r="D1116" s="1">
        <v>46014.915173611109</v>
      </c>
      <c r="E1116" t="s">
        <v>2793</v>
      </c>
      <c r="F1116" t="s">
        <v>23</v>
      </c>
      <c r="G1116" t="e">
        <f>+_xlfn.XLOOKUP(tbl_encuesta[[#This Row],[Me siento a gusto con el ambiente de trabajo que se genera en mi equipo.]],#REF!,#REF!)</f>
        <v>#REF!</v>
      </c>
      <c r="H1116" t="s">
        <v>23</v>
      </c>
      <c r="I1116" t="e">
        <f>+_xlfn.XLOOKUP(tbl_encuesta[[#This Row],[Me siento motivado a dar lo mejor de mí y hacer un buen trabajo]],#REF!,#REF!)</f>
        <v>#REF!</v>
      </c>
      <c r="J1116" t="s">
        <v>23</v>
      </c>
      <c r="K1116" t="e">
        <f>+_xlfn.XLOOKUP(tbl_encuesta[[#This Row],[Mi supervisor o jefe directo me otorga el soporte que necesito para afrontar cualquier problema que afecte mi trabajo]],#REF!,#REF!)</f>
        <v>#REF!</v>
      </c>
      <c r="L1116" t="s">
        <v>23</v>
      </c>
      <c r="M1116" t="e">
        <f>+_xlfn.XLOOKUP(tbl_encuesta[[#This Row],[Mi supervisor o jefe directo fomenta que nos apoyemos entre todos en el equipo]],#REF!,#REF!)</f>
        <v>#REF!</v>
      </c>
      <c r="N1116" t="s">
        <v>22</v>
      </c>
      <c r="O1116" t="e">
        <f>+_xlfn.XLOOKUP(tbl_encuesta[[#This Row],[Siento que mi trabajo es reconocido por mi supervisor o jefe directo.]],#REF!,#REF!)</f>
        <v>#REF!</v>
      </c>
      <c r="P1116" t="s">
        <v>67</v>
      </c>
      <c r="Q1116" t="e">
        <f xml:space="preserve">
_xlfn.XLOOKUP(
tbl_encuesta[[#This Row],[Mi supervisor o jefe directo nos brinda charlas de 5 minutos y comunica las novedades relevantes a mi puesto de trabajo]],#REF!,#REF!
)</f>
        <v>#REF!</v>
      </c>
      <c r="R1116" t="s">
        <v>17</v>
      </c>
      <c r="T1116" t="s">
        <v>19</v>
      </c>
      <c r="W1116" t="s">
        <v>25</v>
      </c>
      <c r="X1116" t="s">
        <v>23</v>
      </c>
      <c r="Y1116" t="e">
        <f>+_xlfn.XLOOKUP(tbl_encuesta[[#This Row],[Considero a Limtek como un buen lugar para trabajar]],#REF!,#REF!)</f>
        <v>#REF!</v>
      </c>
      <c r="Z1116" t="s">
        <v>2794</v>
      </c>
      <c r="AA1116" t="s">
        <v>2795</v>
      </c>
      <c r="AB1116" t="s">
        <v>559</v>
      </c>
      <c r="AC1116" s="3" t="s">
        <v>3782</v>
      </c>
      <c r="AD1116" s="3" t="s">
        <v>559</v>
      </c>
      <c r="AE1116" t="s">
        <v>29</v>
      </c>
    </row>
    <row r="1117" spans="1:31" x14ac:dyDescent="0.25">
      <c r="A1117">
        <v>119025934798</v>
      </c>
      <c r="B1117">
        <v>462598545</v>
      </c>
      <c r="C1117" s="1">
        <v>46014.905243055553</v>
      </c>
      <c r="D1117" s="1">
        <v>46014.908159722225</v>
      </c>
      <c r="E1117" t="s">
        <v>2796</v>
      </c>
      <c r="F1117" t="s">
        <v>23</v>
      </c>
      <c r="G1117" t="e">
        <f>+_xlfn.XLOOKUP(tbl_encuesta[[#This Row],[Me siento a gusto con el ambiente de trabajo que se genera en mi equipo.]],#REF!,#REF!)</f>
        <v>#REF!</v>
      </c>
      <c r="H1117" t="s">
        <v>23</v>
      </c>
      <c r="I1117" t="e">
        <f>+_xlfn.XLOOKUP(tbl_encuesta[[#This Row],[Me siento motivado a dar lo mejor de mí y hacer un buen trabajo]],#REF!,#REF!)</f>
        <v>#REF!</v>
      </c>
      <c r="J1117" t="s">
        <v>23</v>
      </c>
      <c r="K1117" t="e">
        <f>+_xlfn.XLOOKUP(tbl_encuesta[[#This Row],[Mi supervisor o jefe directo me otorga el soporte que necesito para afrontar cualquier problema que afecte mi trabajo]],#REF!,#REF!)</f>
        <v>#REF!</v>
      </c>
      <c r="L1117" t="s">
        <v>23</v>
      </c>
      <c r="M1117" t="e">
        <f>+_xlfn.XLOOKUP(tbl_encuesta[[#This Row],[Mi supervisor o jefe directo fomenta que nos apoyemos entre todos en el equipo]],#REF!,#REF!)</f>
        <v>#REF!</v>
      </c>
      <c r="N1117" t="s">
        <v>23</v>
      </c>
      <c r="O1117" t="e">
        <f>+_xlfn.XLOOKUP(tbl_encuesta[[#This Row],[Siento que mi trabajo es reconocido por mi supervisor o jefe directo.]],#REF!,#REF!)</f>
        <v>#REF!</v>
      </c>
      <c r="P1117" t="s">
        <v>31</v>
      </c>
      <c r="Q1117" t="e">
        <f xml:space="preserve">
_xlfn.XLOOKUP(
tbl_encuesta[[#This Row],[Mi supervisor o jefe directo nos brinda charlas de 5 minutos y comunica las novedades relevantes a mi puesto de trabajo]],#REF!,#REF!
)</f>
        <v>#REF!</v>
      </c>
      <c r="R1117" t="s">
        <v>17</v>
      </c>
      <c r="S1117" t="s">
        <v>18</v>
      </c>
      <c r="W1117" t="s">
        <v>25</v>
      </c>
      <c r="X1117" t="s">
        <v>23</v>
      </c>
      <c r="Y1117" t="e">
        <f>+_xlfn.XLOOKUP(tbl_encuesta[[#This Row],[Considero a Limtek como un buen lugar para trabajar]],#REF!,#REF!)</f>
        <v>#REF!</v>
      </c>
      <c r="Z1117" t="s">
        <v>638</v>
      </c>
      <c r="AA1117" t="s">
        <v>2797</v>
      </c>
      <c r="AB1117" t="s">
        <v>28</v>
      </c>
      <c r="AC1117" s="3" t="s">
        <v>3716</v>
      </c>
      <c r="AD1117" s="3" t="s">
        <v>3720</v>
      </c>
      <c r="AE1117" t="s">
        <v>29</v>
      </c>
    </row>
    <row r="1118" spans="1:31" x14ac:dyDescent="0.25">
      <c r="A1118">
        <v>119025933156</v>
      </c>
      <c r="B1118">
        <v>462598545</v>
      </c>
      <c r="C1118" s="1">
        <v>46014.897488425922</v>
      </c>
      <c r="D1118" s="1">
        <v>46014.902870370373</v>
      </c>
      <c r="E1118" t="s">
        <v>2798</v>
      </c>
      <c r="F1118" t="s">
        <v>22</v>
      </c>
      <c r="G1118" t="e">
        <f>+_xlfn.XLOOKUP(tbl_encuesta[[#This Row],[Me siento a gusto con el ambiente de trabajo que se genera en mi equipo.]],#REF!,#REF!)</f>
        <v>#REF!</v>
      </c>
      <c r="H1118" t="s">
        <v>23</v>
      </c>
      <c r="I1118" t="e">
        <f>+_xlfn.XLOOKUP(tbl_encuesta[[#This Row],[Me siento motivado a dar lo mejor de mí y hacer un buen trabajo]],#REF!,#REF!)</f>
        <v>#REF!</v>
      </c>
      <c r="J1118" t="s">
        <v>23</v>
      </c>
      <c r="K1118" t="e">
        <f>+_xlfn.XLOOKUP(tbl_encuesta[[#This Row],[Mi supervisor o jefe directo me otorga el soporte que necesito para afrontar cualquier problema que afecte mi trabajo]],#REF!,#REF!)</f>
        <v>#REF!</v>
      </c>
      <c r="L1118" t="s">
        <v>23</v>
      </c>
      <c r="M1118" t="e">
        <f>+_xlfn.XLOOKUP(tbl_encuesta[[#This Row],[Mi supervisor o jefe directo fomenta que nos apoyemos entre todos en el equipo]],#REF!,#REF!)</f>
        <v>#REF!</v>
      </c>
      <c r="N1118" t="s">
        <v>23</v>
      </c>
      <c r="O1118" t="e">
        <f>+_xlfn.XLOOKUP(tbl_encuesta[[#This Row],[Siento que mi trabajo es reconocido por mi supervisor o jefe directo.]],#REF!,#REF!)</f>
        <v>#REF!</v>
      </c>
      <c r="P1118" t="s">
        <v>31</v>
      </c>
      <c r="Q1118" t="e">
        <f xml:space="preserve">
_xlfn.XLOOKUP(
tbl_encuesta[[#This Row],[Mi supervisor o jefe directo nos brinda charlas de 5 minutos y comunica las novedades relevantes a mi puesto de trabajo]],#REF!,#REF!
)</f>
        <v>#REF!</v>
      </c>
      <c r="R1118" t="s">
        <v>17</v>
      </c>
      <c r="W1118" t="s">
        <v>25</v>
      </c>
      <c r="X1118" t="s">
        <v>23</v>
      </c>
      <c r="Y1118" t="e">
        <f>+_xlfn.XLOOKUP(tbl_encuesta[[#This Row],[Considero a Limtek como un buen lugar para trabajar]],#REF!,#REF!)</f>
        <v>#REF!</v>
      </c>
      <c r="Z1118" t="s">
        <v>638</v>
      </c>
      <c r="AA1118" t="s">
        <v>2799</v>
      </c>
      <c r="AB1118" t="s">
        <v>28</v>
      </c>
      <c r="AC1118" s="3" t="s">
        <v>3716</v>
      </c>
      <c r="AD1118" s="3" t="s">
        <v>3720</v>
      </c>
      <c r="AE1118" t="s">
        <v>69</v>
      </c>
    </row>
    <row r="1119" spans="1:31" x14ac:dyDescent="0.25">
      <c r="A1119">
        <v>119025929372</v>
      </c>
      <c r="B1119">
        <v>462598545</v>
      </c>
      <c r="C1119" s="1">
        <v>46014.887141203704</v>
      </c>
      <c r="D1119" s="1">
        <v>46014.890844907408</v>
      </c>
      <c r="E1119" t="s">
        <v>2800</v>
      </c>
      <c r="F1119" t="s">
        <v>23</v>
      </c>
      <c r="G1119" t="e">
        <f>+_xlfn.XLOOKUP(tbl_encuesta[[#This Row],[Me siento a gusto con el ambiente de trabajo que se genera en mi equipo.]],#REF!,#REF!)</f>
        <v>#REF!</v>
      </c>
      <c r="H1119" t="s">
        <v>23</v>
      </c>
      <c r="I1119" t="e">
        <f>+_xlfn.XLOOKUP(tbl_encuesta[[#This Row],[Me siento motivado a dar lo mejor de mí y hacer un buen trabajo]],#REF!,#REF!)</f>
        <v>#REF!</v>
      </c>
      <c r="J1119" t="s">
        <v>23</v>
      </c>
      <c r="K1119" t="e">
        <f>+_xlfn.XLOOKUP(tbl_encuesta[[#This Row],[Mi supervisor o jefe directo me otorga el soporte que necesito para afrontar cualquier problema que afecte mi trabajo]],#REF!,#REF!)</f>
        <v>#REF!</v>
      </c>
      <c r="L1119" t="s">
        <v>23</v>
      </c>
      <c r="M1119" t="e">
        <f>+_xlfn.XLOOKUP(tbl_encuesta[[#This Row],[Mi supervisor o jefe directo fomenta que nos apoyemos entre todos en el equipo]],#REF!,#REF!)</f>
        <v>#REF!</v>
      </c>
      <c r="N1119" t="s">
        <v>22</v>
      </c>
      <c r="O1119" t="e">
        <f>+_xlfn.XLOOKUP(tbl_encuesta[[#This Row],[Siento que mi trabajo es reconocido por mi supervisor o jefe directo.]],#REF!,#REF!)</f>
        <v>#REF!</v>
      </c>
      <c r="P1119" t="s">
        <v>31</v>
      </c>
      <c r="Q1119" t="e">
        <f xml:space="preserve">
_xlfn.XLOOKUP(
tbl_encuesta[[#This Row],[Mi supervisor o jefe directo nos brinda charlas de 5 minutos y comunica las novedades relevantes a mi puesto de trabajo]],#REF!,#REF!
)</f>
        <v>#REF!</v>
      </c>
      <c r="S1119" t="s">
        <v>18</v>
      </c>
      <c r="W1119" t="s">
        <v>25</v>
      </c>
      <c r="X1119" t="s">
        <v>22</v>
      </c>
      <c r="Y1119" t="e">
        <f>+_xlfn.XLOOKUP(tbl_encuesta[[#This Row],[Considero a Limtek como un buen lugar para trabajar]],#REF!,#REF!)</f>
        <v>#REF!</v>
      </c>
      <c r="Z1119" t="s">
        <v>2801</v>
      </c>
      <c r="AA1119" t="s">
        <v>2802</v>
      </c>
      <c r="AB1119" t="s">
        <v>28</v>
      </c>
      <c r="AC1119" s="3" t="s">
        <v>3716</v>
      </c>
      <c r="AD1119" s="3" t="s">
        <v>3721</v>
      </c>
      <c r="AE1119" t="s">
        <v>29</v>
      </c>
    </row>
    <row r="1120" spans="1:31" x14ac:dyDescent="0.25">
      <c r="A1120">
        <v>119025929297</v>
      </c>
      <c r="B1120">
        <v>462598545</v>
      </c>
      <c r="C1120" s="1">
        <v>46014.888761574075</v>
      </c>
      <c r="D1120" s="1">
        <v>46014.890613425923</v>
      </c>
      <c r="E1120" t="s">
        <v>2803</v>
      </c>
      <c r="F1120" t="s">
        <v>23</v>
      </c>
      <c r="G1120" t="e">
        <f>+_xlfn.XLOOKUP(tbl_encuesta[[#This Row],[Me siento a gusto con el ambiente de trabajo que se genera en mi equipo.]],#REF!,#REF!)</f>
        <v>#REF!</v>
      </c>
      <c r="H1120" t="s">
        <v>23</v>
      </c>
      <c r="I1120" t="e">
        <f>+_xlfn.XLOOKUP(tbl_encuesta[[#This Row],[Me siento motivado a dar lo mejor de mí y hacer un buen trabajo]],#REF!,#REF!)</f>
        <v>#REF!</v>
      </c>
      <c r="J1120" t="s">
        <v>23</v>
      </c>
      <c r="K1120" t="e">
        <f>+_xlfn.XLOOKUP(tbl_encuesta[[#This Row],[Mi supervisor o jefe directo me otorga el soporte que necesito para afrontar cualquier problema que afecte mi trabajo]],#REF!,#REF!)</f>
        <v>#REF!</v>
      </c>
      <c r="L1120" t="s">
        <v>23</v>
      </c>
      <c r="M1120" t="e">
        <f>+_xlfn.XLOOKUP(tbl_encuesta[[#This Row],[Mi supervisor o jefe directo fomenta que nos apoyemos entre todos en el equipo]],#REF!,#REF!)</f>
        <v>#REF!</v>
      </c>
      <c r="N1120" t="s">
        <v>23</v>
      </c>
      <c r="O1120" t="e">
        <f>+_xlfn.XLOOKUP(tbl_encuesta[[#This Row],[Siento que mi trabajo es reconocido por mi supervisor o jefe directo.]],#REF!,#REF!)</f>
        <v>#REF!</v>
      </c>
      <c r="P1120" t="s">
        <v>31</v>
      </c>
      <c r="Q1120" t="e">
        <f xml:space="preserve">
_xlfn.XLOOKUP(
tbl_encuesta[[#This Row],[Mi supervisor o jefe directo nos brinda charlas de 5 minutos y comunica las novedades relevantes a mi puesto de trabajo]],#REF!,#REF!
)</f>
        <v>#REF!</v>
      </c>
      <c r="R1120" t="s">
        <v>17</v>
      </c>
      <c r="S1120" t="s">
        <v>18</v>
      </c>
      <c r="W1120" t="s">
        <v>25</v>
      </c>
      <c r="X1120" t="s">
        <v>23</v>
      </c>
      <c r="Y1120" t="e">
        <f>+_xlfn.XLOOKUP(tbl_encuesta[[#This Row],[Considero a Limtek como un buen lugar para trabajar]],#REF!,#REF!)</f>
        <v>#REF!</v>
      </c>
      <c r="Z1120" t="s">
        <v>2804</v>
      </c>
      <c r="AA1120" t="s">
        <v>2805</v>
      </c>
      <c r="AB1120" t="s">
        <v>28</v>
      </c>
      <c r="AC1120" s="3" t="s">
        <v>3716</v>
      </c>
      <c r="AD1120" s="3" t="s">
        <v>3724</v>
      </c>
      <c r="AE1120" t="s">
        <v>29</v>
      </c>
    </row>
    <row r="1121" spans="1:31" x14ac:dyDescent="0.25">
      <c r="A1121">
        <v>119025926600</v>
      </c>
      <c r="B1121">
        <v>462598545</v>
      </c>
      <c r="C1121" s="1">
        <v>46014.871516203704</v>
      </c>
      <c r="D1121" s="1">
        <v>46014.88208333333</v>
      </c>
      <c r="E1121" t="s">
        <v>2806</v>
      </c>
      <c r="F1121" t="s">
        <v>23</v>
      </c>
      <c r="G1121" t="e">
        <f>+_xlfn.XLOOKUP(tbl_encuesta[[#This Row],[Me siento a gusto con el ambiente de trabajo que se genera en mi equipo.]],#REF!,#REF!)</f>
        <v>#REF!</v>
      </c>
      <c r="H1121" t="s">
        <v>23</v>
      </c>
      <c r="I1121" t="e">
        <f>+_xlfn.XLOOKUP(tbl_encuesta[[#This Row],[Me siento motivado a dar lo mejor de mí y hacer un buen trabajo]],#REF!,#REF!)</f>
        <v>#REF!</v>
      </c>
      <c r="J1121" t="s">
        <v>23</v>
      </c>
      <c r="K1121" t="e">
        <f>+_xlfn.XLOOKUP(tbl_encuesta[[#This Row],[Mi supervisor o jefe directo me otorga el soporte que necesito para afrontar cualquier problema que afecte mi trabajo]],#REF!,#REF!)</f>
        <v>#REF!</v>
      </c>
      <c r="L1121" t="s">
        <v>23</v>
      </c>
      <c r="M1121" t="e">
        <f>+_xlfn.XLOOKUP(tbl_encuesta[[#This Row],[Mi supervisor o jefe directo fomenta que nos apoyemos entre todos en el equipo]],#REF!,#REF!)</f>
        <v>#REF!</v>
      </c>
      <c r="N1121" t="s">
        <v>23</v>
      </c>
      <c r="O1121" t="e">
        <f>+_xlfn.XLOOKUP(tbl_encuesta[[#This Row],[Siento que mi trabajo es reconocido por mi supervisor o jefe directo.]],#REF!,#REF!)</f>
        <v>#REF!</v>
      </c>
      <c r="P1121" t="s">
        <v>31</v>
      </c>
      <c r="Q1121" t="e">
        <f xml:space="preserve">
_xlfn.XLOOKUP(
tbl_encuesta[[#This Row],[Mi supervisor o jefe directo nos brinda charlas de 5 minutos y comunica las novedades relevantes a mi puesto de trabajo]],#REF!,#REF!
)</f>
        <v>#REF!</v>
      </c>
      <c r="R1121" t="s">
        <v>17</v>
      </c>
      <c r="S1121" t="s">
        <v>18</v>
      </c>
      <c r="W1121" t="s">
        <v>25</v>
      </c>
      <c r="X1121" t="s">
        <v>23</v>
      </c>
      <c r="Y1121" t="e">
        <f>+_xlfn.XLOOKUP(tbl_encuesta[[#This Row],[Considero a Limtek como un buen lugar para trabajar]],#REF!,#REF!)</f>
        <v>#REF!</v>
      </c>
      <c r="Z1121" t="s">
        <v>407</v>
      </c>
      <c r="AA1121" t="s">
        <v>408</v>
      </c>
      <c r="AB1121" t="s">
        <v>28</v>
      </c>
      <c r="AC1121" t="s">
        <v>3744</v>
      </c>
      <c r="AD1121" t="s">
        <v>3744</v>
      </c>
      <c r="AE1121" t="s">
        <v>34</v>
      </c>
    </row>
    <row r="1122" spans="1:31" x14ac:dyDescent="0.25">
      <c r="A1122">
        <v>119025926176</v>
      </c>
      <c r="B1122">
        <v>462598545</v>
      </c>
      <c r="C1122" s="1">
        <v>46014.878263888888</v>
      </c>
      <c r="D1122" s="1">
        <v>46014.88082175926</v>
      </c>
      <c r="E1122" t="s">
        <v>1842</v>
      </c>
      <c r="F1122" t="s">
        <v>23</v>
      </c>
      <c r="G1122" t="e">
        <f>+_xlfn.XLOOKUP(tbl_encuesta[[#This Row],[Me siento a gusto con el ambiente de trabajo que se genera en mi equipo.]],#REF!,#REF!)</f>
        <v>#REF!</v>
      </c>
      <c r="H1122" t="s">
        <v>23</v>
      </c>
      <c r="I1122" t="e">
        <f>+_xlfn.XLOOKUP(tbl_encuesta[[#This Row],[Me siento motivado a dar lo mejor de mí y hacer un buen trabajo]],#REF!,#REF!)</f>
        <v>#REF!</v>
      </c>
      <c r="J1122" t="s">
        <v>22</v>
      </c>
      <c r="K1122" t="e">
        <f>+_xlfn.XLOOKUP(tbl_encuesta[[#This Row],[Mi supervisor o jefe directo me otorga el soporte que necesito para afrontar cualquier problema que afecte mi trabajo]],#REF!,#REF!)</f>
        <v>#REF!</v>
      </c>
      <c r="L1122" t="s">
        <v>22</v>
      </c>
      <c r="M1122" t="e">
        <f>+_xlfn.XLOOKUP(tbl_encuesta[[#This Row],[Mi supervisor o jefe directo fomenta que nos apoyemos entre todos en el equipo]],#REF!,#REF!)</f>
        <v>#REF!</v>
      </c>
      <c r="N1122" t="s">
        <v>22</v>
      </c>
      <c r="O1122" t="e">
        <f>+_xlfn.XLOOKUP(tbl_encuesta[[#This Row],[Siento que mi trabajo es reconocido por mi supervisor o jefe directo.]],#REF!,#REF!)</f>
        <v>#REF!</v>
      </c>
      <c r="P1122" t="s">
        <v>67</v>
      </c>
      <c r="Q1122" t="e">
        <f xml:space="preserve">
_xlfn.XLOOKUP(
tbl_encuesta[[#This Row],[Mi supervisor o jefe directo nos brinda charlas de 5 minutos y comunica las novedades relevantes a mi puesto de trabajo]],#REF!,#REF!
)</f>
        <v>#REF!</v>
      </c>
      <c r="R1122" t="s">
        <v>17</v>
      </c>
      <c r="U1122" t="s">
        <v>20</v>
      </c>
      <c r="W1122" t="s">
        <v>25</v>
      </c>
      <c r="X1122" t="s">
        <v>23</v>
      </c>
      <c r="Y1122" t="e">
        <f>+_xlfn.XLOOKUP(tbl_encuesta[[#This Row],[Considero a Limtek como un buen lugar para trabajar]],#REF!,#REF!)</f>
        <v>#REF!</v>
      </c>
      <c r="Z1122" t="s">
        <v>145</v>
      </c>
      <c r="AA1122" t="s">
        <v>2807</v>
      </c>
      <c r="AB1122" t="s">
        <v>28</v>
      </c>
      <c r="AC1122" s="3" t="s">
        <v>3716</v>
      </c>
      <c r="AD1122" s="3" t="s">
        <v>3716</v>
      </c>
      <c r="AE1122" t="s">
        <v>34</v>
      </c>
    </row>
    <row r="1123" spans="1:31" x14ac:dyDescent="0.25">
      <c r="A1123">
        <v>119025925936</v>
      </c>
      <c r="B1123">
        <v>462598545</v>
      </c>
      <c r="C1123" s="1">
        <v>46014.463136574072</v>
      </c>
      <c r="D1123" s="1">
        <v>46014.88008101852</v>
      </c>
      <c r="E1123" t="s">
        <v>2808</v>
      </c>
      <c r="F1123" t="s">
        <v>23</v>
      </c>
      <c r="G1123" t="e">
        <f>+_xlfn.XLOOKUP(tbl_encuesta[[#This Row],[Me siento a gusto con el ambiente de trabajo que se genera en mi equipo.]],#REF!,#REF!)</f>
        <v>#REF!</v>
      </c>
      <c r="H1123" t="s">
        <v>23</v>
      </c>
      <c r="I1123" t="e">
        <f>+_xlfn.XLOOKUP(tbl_encuesta[[#This Row],[Me siento motivado a dar lo mejor de mí y hacer un buen trabajo]],#REF!,#REF!)</f>
        <v>#REF!</v>
      </c>
      <c r="J1123" t="s">
        <v>23</v>
      </c>
      <c r="K1123" t="e">
        <f>+_xlfn.XLOOKUP(tbl_encuesta[[#This Row],[Mi supervisor o jefe directo me otorga el soporte que necesito para afrontar cualquier problema que afecte mi trabajo]],#REF!,#REF!)</f>
        <v>#REF!</v>
      </c>
      <c r="L1123" t="s">
        <v>23</v>
      </c>
      <c r="M1123" t="e">
        <f>+_xlfn.XLOOKUP(tbl_encuesta[[#This Row],[Mi supervisor o jefe directo fomenta que nos apoyemos entre todos en el equipo]],#REF!,#REF!)</f>
        <v>#REF!</v>
      </c>
      <c r="N1123" t="s">
        <v>23</v>
      </c>
      <c r="O1123" t="e">
        <f>+_xlfn.XLOOKUP(tbl_encuesta[[#This Row],[Siento que mi trabajo es reconocido por mi supervisor o jefe directo.]],#REF!,#REF!)</f>
        <v>#REF!</v>
      </c>
      <c r="P1123" t="s">
        <v>31</v>
      </c>
      <c r="Q1123" t="e">
        <f xml:space="preserve">
_xlfn.XLOOKUP(
tbl_encuesta[[#This Row],[Mi supervisor o jefe directo nos brinda charlas de 5 minutos y comunica las novedades relevantes a mi puesto de trabajo]],#REF!,#REF!
)</f>
        <v>#REF!</v>
      </c>
      <c r="R1123" t="s">
        <v>17</v>
      </c>
      <c r="S1123" t="s">
        <v>18</v>
      </c>
      <c r="W1123" t="s">
        <v>25</v>
      </c>
      <c r="X1123" t="s">
        <v>23</v>
      </c>
      <c r="Y1123" t="e">
        <f>+_xlfn.XLOOKUP(tbl_encuesta[[#This Row],[Considero a Limtek como un buen lugar para trabajar]],#REF!,#REF!)</f>
        <v>#REF!</v>
      </c>
      <c r="Z1123" t="s">
        <v>190</v>
      </c>
      <c r="AA1123" t="s">
        <v>122</v>
      </c>
      <c r="AB1123" t="s">
        <v>38</v>
      </c>
      <c r="AC1123" s="3" t="s">
        <v>3610</v>
      </c>
      <c r="AD1123" s="3" t="s">
        <v>3616</v>
      </c>
      <c r="AE1123" t="s">
        <v>34</v>
      </c>
    </row>
    <row r="1124" spans="1:31" x14ac:dyDescent="0.25">
      <c r="A1124">
        <v>119025925837</v>
      </c>
      <c r="B1124">
        <v>462598545</v>
      </c>
      <c r="C1124" s="1">
        <v>46014.877210648148</v>
      </c>
      <c r="D1124" s="1">
        <v>46014.879803240743</v>
      </c>
      <c r="E1124" t="s">
        <v>2809</v>
      </c>
      <c r="F1124" t="s">
        <v>23</v>
      </c>
      <c r="G1124" t="e">
        <f>+_xlfn.XLOOKUP(tbl_encuesta[[#This Row],[Me siento a gusto con el ambiente de trabajo que se genera en mi equipo.]],#REF!,#REF!)</f>
        <v>#REF!</v>
      </c>
      <c r="H1124" t="s">
        <v>23</v>
      </c>
      <c r="I1124" t="e">
        <f>+_xlfn.XLOOKUP(tbl_encuesta[[#This Row],[Me siento motivado a dar lo mejor de mí y hacer un buen trabajo]],#REF!,#REF!)</f>
        <v>#REF!</v>
      </c>
      <c r="J1124" t="s">
        <v>23</v>
      </c>
      <c r="K1124" t="e">
        <f>+_xlfn.XLOOKUP(tbl_encuesta[[#This Row],[Mi supervisor o jefe directo me otorga el soporte que necesito para afrontar cualquier problema que afecte mi trabajo]],#REF!,#REF!)</f>
        <v>#REF!</v>
      </c>
      <c r="L1124" t="s">
        <v>23</v>
      </c>
      <c r="M1124" t="e">
        <f>+_xlfn.XLOOKUP(tbl_encuesta[[#This Row],[Mi supervisor o jefe directo fomenta que nos apoyemos entre todos en el equipo]],#REF!,#REF!)</f>
        <v>#REF!</v>
      </c>
      <c r="N1124" t="s">
        <v>22</v>
      </c>
      <c r="O1124" t="e">
        <f>+_xlfn.XLOOKUP(tbl_encuesta[[#This Row],[Siento que mi trabajo es reconocido por mi supervisor o jefe directo.]],#REF!,#REF!)</f>
        <v>#REF!</v>
      </c>
      <c r="P1124" t="s">
        <v>67</v>
      </c>
      <c r="Q1124" t="e">
        <f xml:space="preserve">
_xlfn.XLOOKUP(
tbl_encuesta[[#This Row],[Mi supervisor o jefe directo nos brinda charlas de 5 minutos y comunica las novedades relevantes a mi puesto de trabajo]],#REF!,#REF!
)</f>
        <v>#REF!</v>
      </c>
      <c r="R1124" t="s">
        <v>17</v>
      </c>
      <c r="S1124" t="s">
        <v>18</v>
      </c>
      <c r="W1124" t="s">
        <v>25</v>
      </c>
      <c r="X1124" t="s">
        <v>22</v>
      </c>
      <c r="Y1124" t="e">
        <f>+_xlfn.XLOOKUP(tbl_encuesta[[#This Row],[Considero a Limtek como un buen lugar para trabajar]],#REF!,#REF!)</f>
        <v>#REF!</v>
      </c>
      <c r="Z1124" t="s">
        <v>2466</v>
      </c>
      <c r="AA1124" t="s">
        <v>2365</v>
      </c>
      <c r="AB1124" t="s">
        <v>559</v>
      </c>
      <c r="AC1124" t="s">
        <v>3610</v>
      </c>
      <c r="AD1124" t="s">
        <v>3610</v>
      </c>
      <c r="AE1124" t="s">
        <v>29</v>
      </c>
    </row>
    <row r="1125" spans="1:31" x14ac:dyDescent="0.25">
      <c r="A1125">
        <v>119025925810</v>
      </c>
      <c r="B1125">
        <v>462598545</v>
      </c>
      <c r="C1125" s="1">
        <v>46014.876446759263</v>
      </c>
      <c r="D1125" s="1">
        <v>46014.879710648151</v>
      </c>
      <c r="E1125" t="s">
        <v>2810</v>
      </c>
      <c r="F1125" t="s">
        <v>23</v>
      </c>
      <c r="G1125" t="e">
        <f>+_xlfn.XLOOKUP(tbl_encuesta[[#This Row],[Me siento a gusto con el ambiente de trabajo que se genera en mi equipo.]],#REF!,#REF!)</f>
        <v>#REF!</v>
      </c>
      <c r="H1125" t="s">
        <v>23</v>
      </c>
      <c r="I1125" t="e">
        <f>+_xlfn.XLOOKUP(tbl_encuesta[[#This Row],[Me siento motivado a dar lo mejor de mí y hacer un buen trabajo]],#REF!,#REF!)</f>
        <v>#REF!</v>
      </c>
      <c r="J1125" t="s">
        <v>23</v>
      </c>
      <c r="K1125" t="e">
        <f>+_xlfn.XLOOKUP(tbl_encuesta[[#This Row],[Mi supervisor o jefe directo me otorga el soporte que necesito para afrontar cualquier problema que afecte mi trabajo]],#REF!,#REF!)</f>
        <v>#REF!</v>
      </c>
      <c r="L1125" t="s">
        <v>23</v>
      </c>
      <c r="M1125" t="e">
        <f>+_xlfn.XLOOKUP(tbl_encuesta[[#This Row],[Mi supervisor o jefe directo fomenta que nos apoyemos entre todos en el equipo]],#REF!,#REF!)</f>
        <v>#REF!</v>
      </c>
      <c r="N1125" t="s">
        <v>23</v>
      </c>
      <c r="O1125" t="e">
        <f>+_xlfn.XLOOKUP(tbl_encuesta[[#This Row],[Siento que mi trabajo es reconocido por mi supervisor o jefe directo.]],#REF!,#REF!)</f>
        <v>#REF!</v>
      </c>
      <c r="P1125" t="s">
        <v>31</v>
      </c>
      <c r="Q1125" t="e">
        <f xml:space="preserve">
_xlfn.XLOOKUP(
tbl_encuesta[[#This Row],[Mi supervisor o jefe directo nos brinda charlas de 5 minutos y comunica las novedades relevantes a mi puesto de trabajo]],#REF!,#REF!
)</f>
        <v>#REF!</v>
      </c>
      <c r="R1125" t="s">
        <v>17</v>
      </c>
      <c r="T1125" t="s">
        <v>19</v>
      </c>
      <c r="W1125" t="s">
        <v>25</v>
      </c>
      <c r="X1125" t="s">
        <v>23</v>
      </c>
      <c r="Y1125" t="e">
        <f>+_xlfn.XLOOKUP(tbl_encuesta[[#This Row],[Considero a Limtek como un buen lugar para trabajar]],#REF!,#REF!)</f>
        <v>#REF!</v>
      </c>
      <c r="Z1125" t="s">
        <v>2811</v>
      </c>
      <c r="AA1125" t="s">
        <v>122</v>
      </c>
      <c r="AB1125" t="s">
        <v>28</v>
      </c>
      <c r="AC1125" s="3" t="s">
        <v>3729</v>
      </c>
      <c r="AD1125" s="3" t="s">
        <v>3730</v>
      </c>
      <c r="AE1125" t="s">
        <v>55</v>
      </c>
    </row>
    <row r="1126" spans="1:31" x14ac:dyDescent="0.25">
      <c r="A1126">
        <v>119025924605</v>
      </c>
      <c r="B1126">
        <v>462598545</v>
      </c>
      <c r="C1126" s="1">
        <v>46014.868622685186</v>
      </c>
      <c r="D1126" s="1">
        <v>46014.876168981478</v>
      </c>
      <c r="E1126" t="s">
        <v>2809</v>
      </c>
      <c r="F1126" t="s">
        <v>23</v>
      </c>
      <c r="G1126" t="e">
        <f>+_xlfn.XLOOKUP(tbl_encuesta[[#This Row],[Me siento a gusto con el ambiente de trabajo que se genera en mi equipo.]],#REF!,#REF!)</f>
        <v>#REF!</v>
      </c>
      <c r="H1126" t="s">
        <v>23</v>
      </c>
      <c r="I1126" t="e">
        <f>+_xlfn.XLOOKUP(tbl_encuesta[[#This Row],[Me siento motivado a dar lo mejor de mí y hacer un buen trabajo]],#REF!,#REF!)</f>
        <v>#REF!</v>
      </c>
      <c r="J1126" t="s">
        <v>22</v>
      </c>
      <c r="K1126" t="e">
        <f>+_xlfn.XLOOKUP(tbl_encuesta[[#This Row],[Mi supervisor o jefe directo me otorga el soporte que necesito para afrontar cualquier problema que afecte mi trabajo]],#REF!,#REF!)</f>
        <v>#REF!</v>
      </c>
      <c r="L1126" t="s">
        <v>22</v>
      </c>
      <c r="M1126" t="e">
        <f>+_xlfn.XLOOKUP(tbl_encuesta[[#This Row],[Mi supervisor o jefe directo fomenta que nos apoyemos entre todos en el equipo]],#REF!,#REF!)</f>
        <v>#REF!</v>
      </c>
      <c r="N1126" t="s">
        <v>23</v>
      </c>
      <c r="O1126" t="e">
        <f>+_xlfn.XLOOKUP(tbl_encuesta[[#This Row],[Siento que mi trabajo es reconocido por mi supervisor o jefe directo.]],#REF!,#REF!)</f>
        <v>#REF!</v>
      </c>
      <c r="P1126" t="s">
        <v>31</v>
      </c>
      <c r="Q1126" t="e">
        <f xml:space="preserve">
_xlfn.XLOOKUP(
tbl_encuesta[[#This Row],[Mi supervisor o jefe directo nos brinda charlas de 5 minutos y comunica las novedades relevantes a mi puesto de trabajo]],#REF!,#REF!
)</f>
        <v>#REF!</v>
      </c>
      <c r="R1126" t="s">
        <v>17</v>
      </c>
      <c r="S1126" t="s">
        <v>18</v>
      </c>
      <c r="W1126" t="s">
        <v>25</v>
      </c>
      <c r="X1126" t="s">
        <v>23</v>
      </c>
      <c r="Y1126" t="e">
        <f>+_xlfn.XLOOKUP(tbl_encuesta[[#This Row],[Considero a Limtek como un buen lugar para trabajar]],#REF!,#REF!)</f>
        <v>#REF!</v>
      </c>
      <c r="Z1126" t="s">
        <v>2812</v>
      </c>
      <c r="AA1126" t="s">
        <v>2813</v>
      </c>
      <c r="AB1126" t="s">
        <v>559</v>
      </c>
      <c r="AC1126" t="s">
        <v>3610</v>
      </c>
      <c r="AD1126" t="s">
        <v>3610</v>
      </c>
      <c r="AE1126" t="s">
        <v>29</v>
      </c>
    </row>
    <row r="1127" spans="1:31" x14ac:dyDescent="0.25">
      <c r="A1127">
        <v>119025922890</v>
      </c>
      <c r="B1127">
        <v>462598545</v>
      </c>
      <c r="C1127" s="1">
        <v>46014.86277777778</v>
      </c>
      <c r="D1127" s="1">
        <v>46014.871249999997</v>
      </c>
      <c r="E1127" t="s">
        <v>2814</v>
      </c>
      <c r="F1127" t="s">
        <v>23</v>
      </c>
      <c r="G1127" t="e">
        <f>+_xlfn.XLOOKUP(tbl_encuesta[[#This Row],[Me siento a gusto con el ambiente de trabajo que se genera en mi equipo.]],#REF!,#REF!)</f>
        <v>#REF!</v>
      </c>
      <c r="H1127" t="s">
        <v>23</v>
      </c>
      <c r="I1127" t="e">
        <f>+_xlfn.XLOOKUP(tbl_encuesta[[#This Row],[Me siento motivado a dar lo mejor de mí y hacer un buen trabajo]],#REF!,#REF!)</f>
        <v>#REF!</v>
      </c>
      <c r="J1127" t="s">
        <v>22</v>
      </c>
      <c r="K1127" t="e">
        <f>+_xlfn.XLOOKUP(tbl_encuesta[[#This Row],[Mi supervisor o jefe directo me otorga el soporte que necesito para afrontar cualquier problema que afecte mi trabajo]],#REF!,#REF!)</f>
        <v>#REF!</v>
      </c>
      <c r="L1127" t="s">
        <v>22</v>
      </c>
      <c r="M1127" t="e">
        <f>+_xlfn.XLOOKUP(tbl_encuesta[[#This Row],[Mi supervisor o jefe directo fomenta que nos apoyemos entre todos en el equipo]],#REF!,#REF!)</f>
        <v>#REF!</v>
      </c>
      <c r="N1127" t="s">
        <v>23</v>
      </c>
      <c r="O1127" t="e">
        <f>+_xlfn.XLOOKUP(tbl_encuesta[[#This Row],[Siento que mi trabajo es reconocido por mi supervisor o jefe directo.]],#REF!,#REF!)</f>
        <v>#REF!</v>
      </c>
      <c r="P1127" t="s">
        <v>31</v>
      </c>
      <c r="Q1127" t="e">
        <f xml:space="preserve">
_xlfn.XLOOKUP(
tbl_encuesta[[#This Row],[Mi supervisor o jefe directo nos brinda charlas de 5 minutos y comunica las novedades relevantes a mi puesto de trabajo]],#REF!,#REF!
)</f>
        <v>#REF!</v>
      </c>
      <c r="R1127" t="s">
        <v>17</v>
      </c>
      <c r="S1127" t="s">
        <v>18</v>
      </c>
      <c r="W1127" t="s">
        <v>25</v>
      </c>
      <c r="X1127" t="s">
        <v>23</v>
      </c>
      <c r="Y1127" t="e">
        <f>+_xlfn.XLOOKUP(tbl_encuesta[[#This Row],[Considero a Limtek como un buen lugar para trabajar]],#REF!,#REF!)</f>
        <v>#REF!</v>
      </c>
      <c r="Z1127" t="s">
        <v>2815</v>
      </c>
      <c r="AA1127" t="s">
        <v>2816</v>
      </c>
      <c r="AB1127" t="s">
        <v>28</v>
      </c>
      <c r="AC1127" s="3" t="s">
        <v>3716</v>
      </c>
      <c r="AD1127" s="3" t="s">
        <v>3721</v>
      </c>
      <c r="AE1127" t="s">
        <v>29</v>
      </c>
    </row>
    <row r="1128" spans="1:31" x14ac:dyDescent="0.25">
      <c r="A1128">
        <v>119025922611</v>
      </c>
      <c r="B1128">
        <v>462598545</v>
      </c>
      <c r="C1128" s="1">
        <v>46014.865023148152</v>
      </c>
      <c r="D1128" s="1">
        <v>46014.870439814818</v>
      </c>
      <c r="E1128" t="s">
        <v>2817</v>
      </c>
      <c r="F1128" t="s">
        <v>23</v>
      </c>
      <c r="G1128" t="e">
        <f>+_xlfn.XLOOKUP(tbl_encuesta[[#This Row],[Me siento a gusto con el ambiente de trabajo que se genera en mi equipo.]],#REF!,#REF!)</f>
        <v>#REF!</v>
      </c>
      <c r="H1128" t="s">
        <v>23</v>
      </c>
      <c r="I1128" t="e">
        <f>+_xlfn.XLOOKUP(tbl_encuesta[[#This Row],[Me siento motivado a dar lo mejor de mí y hacer un buen trabajo]],#REF!,#REF!)</f>
        <v>#REF!</v>
      </c>
      <c r="J1128" t="s">
        <v>23</v>
      </c>
      <c r="K1128" t="e">
        <f>+_xlfn.XLOOKUP(tbl_encuesta[[#This Row],[Mi supervisor o jefe directo me otorga el soporte que necesito para afrontar cualquier problema que afecte mi trabajo]],#REF!,#REF!)</f>
        <v>#REF!</v>
      </c>
      <c r="L1128" t="s">
        <v>23</v>
      </c>
      <c r="M1128" t="e">
        <f>+_xlfn.XLOOKUP(tbl_encuesta[[#This Row],[Mi supervisor o jefe directo fomenta que nos apoyemos entre todos en el equipo]],#REF!,#REF!)</f>
        <v>#REF!</v>
      </c>
      <c r="N1128" t="s">
        <v>23</v>
      </c>
      <c r="O1128" t="e">
        <f>+_xlfn.XLOOKUP(tbl_encuesta[[#This Row],[Siento que mi trabajo es reconocido por mi supervisor o jefe directo.]],#REF!,#REF!)</f>
        <v>#REF!</v>
      </c>
      <c r="P1128" t="s">
        <v>31</v>
      </c>
      <c r="Q1128" t="e">
        <f xml:space="preserve">
_xlfn.XLOOKUP(
tbl_encuesta[[#This Row],[Mi supervisor o jefe directo nos brinda charlas de 5 minutos y comunica las novedades relevantes a mi puesto de trabajo]],#REF!,#REF!
)</f>
        <v>#REF!</v>
      </c>
      <c r="R1128" t="s">
        <v>17</v>
      </c>
      <c r="T1128" t="s">
        <v>19</v>
      </c>
      <c r="W1128" t="s">
        <v>25</v>
      </c>
      <c r="X1128" t="s">
        <v>23</v>
      </c>
      <c r="Y1128" t="e">
        <f>+_xlfn.XLOOKUP(tbl_encuesta[[#This Row],[Considero a Limtek como un buen lugar para trabajar]],#REF!,#REF!)</f>
        <v>#REF!</v>
      </c>
      <c r="Z1128" t="s">
        <v>2818</v>
      </c>
      <c r="AA1128" t="s">
        <v>1982</v>
      </c>
      <c r="AB1128" t="s">
        <v>28</v>
      </c>
      <c r="AC1128" s="3" t="s">
        <v>3716</v>
      </c>
      <c r="AD1128" s="3" t="s">
        <v>3727</v>
      </c>
      <c r="AE1128" t="s">
        <v>29</v>
      </c>
    </row>
    <row r="1129" spans="1:31" x14ac:dyDescent="0.25">
      <c r="A1129">
        <v>119025921623</v>
      </c>
      <c r="B1129">
        <v>462598545</v>
      </c>
      <c r="C1129" s="1">
        <v>46014.853020833332</v>
      </c>
      <c r="D1129" s="1">
        <v>46014.867465277777</v>
      </c>
      <c r="E1129" t="s">
        <v>2819</v>
      </c>
      <c r="F1129" t="s">
        <v>22</v>
      </c>
      <c r="G1129" t="e">
        <f>+_xlfn.XLOOKUP(tbl_encuesta[[#This Row],[Me siento a gusto con el ambiente de trabajo que se genera en mi equipo.]],#REF!,#REF!)</f>
        <v>#REF!</v>
      </c>
      <c r="H1129" t="s">
        <v>23</v>
      </c>
      <c r="I1129" t="e">
        <f>+_xlfn.XLOOKUP(tbl_encuesta[[#This Row],[Me siento motivado a dar lo mejor de mí y hacer un buen trabajo]],#REF!,#REF!)</f>
        <v>#REF!</v>
      </c>
      <c r="J1129" t="s">
        <v>97</v>
      </c>
      <c r="K1129" t="e">
        <f>+_xlfn.XLOOKUP(tbl_encuesta[[#This Row],[Mi supervisor o jefe directo me otorga el soporte que necesito para afrontar cualquier problema que afecte mi trabajo]],#REF!,#REF!)</f>
        <v>#REF!</v>
      </c>
      <c r="L1129" t="s">
        <v>97</v>
      </c>
      <c r="M1129" t="e">
        <f>+_xlfn.XLOOKUP(tbl_encuesta[[#This Row],[Mi supervisor o jefe directo fomenta que nos apoyemos entre todos en el equipo]],#REF!,#REF!)</f>
        <v>#REF!</v>
      </c>
      <c r="N1129" t="s">
        <v>43</v>
      </c>
      <c r="O1129" t="e">
        <f>+_xlfn.XLOOKUP(tbl_encuesta[[#This Row],[Siento que mi trabajo es reconocido por mi supervisor o jefe directo.]],#REF!,#REF!)</f>
        <v>#REF!</v>
      </c>
      <c r="P1129" t="s">
        <v>24</v>
      </c>
      <c r="Q1129" t="e">
        <f xml:space="preserve">
_xlfn.XLOOKUP(
tbl_encuesta[[#This Row],[Mi supervisor o jefe directo nos brinda charlas de 5 minutos y comunica las novedades relevantes a mi puesto de trabajo]],#REF!,#REF!
)</f>
        <v>#REF!</v>
      </c>
      <c r="R1129" t="s">
        <v>17</v>
      </c>
      <c r="U1129" t="s">
        <v>20</v>
      </c>
      <c r="W1129" t="s">
        <v>25</v>
      </c>
      <c r="X1129" t="s">
        <v>23</v>
      </c>
      <c r="Y1129" t="e">
        <f>+_xlfn.XLOOKUP(tbl_encuesta[[#This Row],[Considero a Limtek como un buen lugar para trabajar]],#REF!,#REF!)</f>
        <v>#REF!</v>
      </c>
      <c r="Z1129" t="s">
        <v>2820</v>
      </c>
      <c r="AA1129" t="s">
        <v>2821</v>
      </c>
      <c r="AB1129" t="s">
        <v>28</v>
      </c>
      <c r="AC1129" s="3" t="s">
        <v>3716</v>
      </c>
      <c r="AD1129" s="3" t="s">
        <v>3721</v>
      </c>
      <c r="AE1129" t="s">
        <v>29</v>
      </c>
    </row>
    <row r="1130" spans="1:31" x14ac:dyDescent="0.25">
      <c r="A1130">
        <v>119025921203</v>
      </c>
      <c r="B1130">
        <v>462598545</v>
      </c>
      <c r="C1130" s="1">
        <v>46014.86314814815</v>
      </c>
      <c r="D1130" s="1">
        <v>46014.866215277776</v>
      </c>
      <c r="E1130" t="s">
        <v>2822</v>
      </c>
      <c r="F1130" t="s">
        <v>97</v>
      </c>
      <c r="G1130" t="e">
        <f>+_xlfn.XLOOKUP(tbl_encuesta[[#This Row],[Me siento a gusto con el ambiente de trabajo que se genera en mi equipo.]],#REF!,#REF!)</f>
        <v>#REF!</v>
      </c>
      <c r="H1130" t="s">
        <v>23</v>
      </c>
      <c r="I1130" t="e">
        <f>+_xlfn.XLOOKUP(tbl_encuesta[[#This Row],[Me siento motivado a dar lo mejor de mí y hacer un buen trabajo]],#REF!,#REF!)</f>
        <v>#REF!</v>
      </c>
      <c r="J1130" t="s">
        <v>97</v>
      </c>
      <c r="K1130" t="e">
        <f>+_xlfn.XLOOKUP(tbl_encuesta[[#This Row],[Mi supervisor o jefe directo me otorga el soporte que necesito para afrontar cualquier problema que afecte mi trabajo]],#REF!,#REF!)</f>
        <v>#REF!</v>
      </c>
      <c r="L1130" t="s">
        <v>97</v>
      </c>
      <c r="M1130" t="e">
        <f>+_xlfn.XLOOKUP(tbl_encuesta[[#This Row],[Mi supervisor o jefe directo fomenta que nos apoyemos entre todos en el equipo]],#REF!,#REF!)</f>
        <v>#REF!</v>
      </c>
      <c r="N1130" t="s">
        <v>97</v>
      </c>
      <c r="O1130" t="e">
        <f>+_xlfn.XLOOKUP(tbl_encuesta[[#This Row],[Siento que mi trabajo es reconocido por mi supervisor o jefe directo.]],#REF!,#REF!)</f>
        <v>#REF!</v>
      </c>
      <c r="P1130" t="s">
        <v>67</v>
      </c>
      <c r="Q1130" t="e">
        <f xml:space="preserve">
_xlfn.XLOOKUP(
tbl_encuesta[[#This Row],[Mi supervisor o jefe directo nos brinda charlas de 5 minutos y comunica las novedades relevantes a mi puesto de trabajo]],#REF!,#REF!
)</f>
        <v>#REF!</v>
      </c>
      <c r="R1130" t="s">
        <v>17</v>
      </c>
      <c r="W1130" t="s">
        <v>25</v>
      </c>
      <c r="X1130" t="s">
        <v>23</v>
      </c>
      <c r="Y1130" t="e">
        <f>+_xlfn.XLOOKUP(tbl_encuesta[[#This Row],[Considero a Limtek como un buen lugar para trabajar]],#REF!,#REF!)</f>
        <v>#REF!</v>
      </c>
      <c r="Z1130" t="s">
        <v>2823</v>
      </c>
      <c r="AA1130" t="s">
        <v>2824</v>
      </c>
      <c r="AB1130" t="s">
        <v>28</v>
      </c>
      <c r="AC1130" s="3" t="s">
        <v>3716</v>
      </c>
      <c r="AD1130" s="3" t="s">
        <v>3721</v>
      </c>
      <c r="AE1130" t="s">
        <v>29</v>
      </c>
    </row>
    <row r="1131" spans="1:31" x14ac:dyDescent="0.25">
      <c r="A1131">
        <v>119025921002</v>
      </c>
      <c r="B1131">
        <v>462598545</v>
      </c>
      <c r="C1131" s="1">
        <v>46014.859872685185</v>
      </c>
      <c r="D1131" s="1">
        <v>46014.865648148145</v>
      </c>
      <c r="E1131" t="s">
        <v>2825</v>
      </c>
      <c r="F1131" t="s">
        <v>22</v>
      </c>
      <c r="G1131" t="e">
        <f>+_xlfn.XLOOKUP(tbl_encuesta[[#This Row],[Me siento a gusto con el ambiente de trabajo que se genera en mi equipo.]],#REF!,#REF!)</f>
        <v>#REF!</v>
      </c>
      <c r="H1131" t="s">
        <v>23</v>
      </c>
      <c r="I1131" t="e">
        <f>+_xlfn.XLOOKUP(tbl_encuesta[[#This Row],[Me siento motivado a dar lo mejor de mí y hacer un buen trabajo]],#REF!,#REF!)</f>
        <v>#REF!</v>
      </c>
      <c r="J1131" t="s">
        <v>22</v>
      </c>
      <c r="K1131" t="e">
        <f>+_xlfn.XLOOKUP(tbl_encuesta[[#This Row],[Mi supervisor o jefe directo me otorga el soporte que necesito para afrontar cualquier problema que afecte mi trabajo]],#REF!,#REF!)</f>
        <v>#REF!</v>
      </c>
      <c r="L1131" t="s">
        <v>23</v>
      </c>
      <c r="M1131" t="e">
        <f>+_xlfn.XLOOKUP(tbl_encuesta[[#This Row],[Mi supervisor o jefe directo fomenta que nos apoyemos entre todos en el equipo]],#REF!,#REF!)</f>
        <v>#REF!</v>
      </c>
      <c r="N1131" t="s">
        <v>22</v>
      </c>
      <c r="O1131" t="e">
        <f>+_xlfn.XLOOKUP(tbl_encuesta[[#This Row],[Siento que mi trabajo es reconocido por mi supervisor o jefe directo.]],#REF!,#REF!)</f>
        <v>#REF!</v>
      </c>
      <c r="P1131" t="s">
        <v>67</v>
      </c>
      <c r="Q1131" t="e">
        <f xml:space="preserve">
_xlfn.XLOOKUP(
tbl_encuesta[[#This Row],[Mi supervisor o jefe directo nos brinda charlas de 5 minutos y comunica las novedades relevantes a mi puesto de trabajo]],#REF!,#REF!
)</f>
        <v>#REF!</v>
      </c>
      <c r="R1131" t="s">
        <v>17</v>
      </c>
      <c r="W1131" t="s">
        <v>25</v>
      </c>
      <c r="X1131" t="s">
        <v>22</v>
      </c>
      <c r="Y1131" t="e">
        <f>+_xlfn.XLOOKUP(tbl_encuesta[[#This Row],[Considero a Limtek como un buen lugar para trabajar]],#REF!,#REF!)</f>
        <v>#REF!</v>
      </c>
      <c r="Z1131" t="s">
        <v>2826</v>
      </c>
      <c r="AA1131" t="s">
        <v>2827</v>
      </c>
      <c r="AB1131" t="s">
        <v>559</v>
      </c>
      <c r="AC1131" s="3" t="s">
        <v>3782</v>
      </c>
      <c r="AD1131" s="3" t="s">
        <v>559</v>
      </c>
      <c r="AE1131" t="s">
        <v>29</v>
      </c>
    </row>
    <row r="1132" spans="1:31" x14ac:dyDescent="0.25">
      <c r="A1132">
        <v>119025920583</v>
      </c>
      <c r="B1132">
        <v>462598545</v>
      </c>
      <c r="C1132" s="1">
        <v>46014.853761574072</v>
      </c>
      <c r="D1132" s="1">
        <v>46014.864444444444</v>
      </c>
      <c r="E1132" t="s">
        <v>2817</v>
      </c>
      <c r="F1132" t="s">
        <v>23</v>
      </c>
      <c r="G1132" t="e">
        <f>+_xlfn.XLOOKUP(tbl_encuesta[[#This Row],[Me siento a gusto con el ambiente de trabajo que se genera en mi equipo.]],#REF!,#REF!)</f>
        <v>#REF!</v>
      </c>
      <c r="H1132" t="s">
        <v>23</v>
      </c>
      <c r="I1132" t="e">
        <f>+_xlfn.XLOOKUP(tbl_encuesta[[#This Row],[Me siento motivado a dar lo mejor de mí y hacer un buen trabajo]],#REF!,#REF!)</f>
        <v>#REF!</v>
      </c>
      <c r="J1132" t="s">
        <v>23</v>
      </c>
      <c r="K1132" t="e">
        <f>+_xlfn.XLOOKUP(tbl_encuesta[[#This Row],[Mi supervisor o jefe directo me otorga el soporte que necesito para afrontar cualquier problema que afecte mi trabajo]],#REF!,#REF!)</f>
        <v>#REF!</v>
      </c>
      <c r="L1132" t="s">
        <v>23</v>
      </c>
      <c r="M1132" t="e">
        <f>+_xlfn.XLOOKUP(tbl_encuesta[[#This Row],[Mi supervisor o jefe directo fomenta que nos apoyemos entre todos en el equipo]],#REF!,#REF!)</f>
        <v>#REF!</v>
      </c>
      <c r="N1132" t="s">
        <v>23</v>
      </c>
      <c r="O1132" t="e">
        <f>+_xlfn.XLOOKUP(tbl_encuesta[[#This Row],[Siento que mi trabajo es reconocido por mi supervisor o jefe directo.]],#REF!,#REF!)</f>
        <v>#REF!</v>
      </c>
      <c r="P1132" t="s">
        <v>31</v>
      </c>
      <c r="Q1132" t="e">
        <f xml:space="preserve">
_xlfn.XLOOKUP(
tbl_encuesta[[#This Row],[Mi supervisor o jefe directo nos brinda charlas de 5 minutos y comunica las novedades relevantes a mi puesto de trabajo]],#REF!,#REF!
)</f>
        <v>#REF!</v>
      </c>
      <c r="R1132" t="s">
        <v>17</v>
      </c>
      <c r="W1132" t="s">
        <v>25</v>
      </c>
      <c r="X1132" t="s">
        <v>23</v>
      </c>
      <c r="Y1132" t="e">
        <f>+_xlfn.XLOOKUP(tbl_encuesta[[#This Row],[Considero a Limtek como un buen lugar para trabajar]],#REF!,#REF!)</f>
        <v>#REF!</v>
      </c>
      <c r="Z1132" t="s">
        <v>2818</v>
      </c>
      <c r="AA1132" t="s">
        <v>2828</v>
      </c>
      <c r="AB1132" t="s">
        <v>28</v>
      </c>
      <c r="AC1132" s="3" t="s">
        <v>3716</v>
      </c>
      <c r="AD1132" s="3" t="s">
        <v>3727</v>
      </c>
      <c r="AE1132" t="s">
        <v>29</v>
      </c>
    </row>
    <row r="1133" spans="1:31" x14ac:dyDescent="0.25">
      <c r="A1133">
        <v>119025920354</v>
      </c>
      <c r="B1133">
        <v>462598545</v>
      </c>
      <c r="C1133" s="1">
        <v>46014.857754629629</v>
      </c>
      <c r="D1133" s="1">
        <v>46014.863738425927</v>
      </c>
      <c r="E1133" t="s">
        <v>2829</v>
      </c>
      <c r="F1133" t="s">
        <v>23</v>
      </c>
      <c r="G1133" t="e">
        <f>+_xlfn.XLOOKUP(tbl_encuesta[[#This Row],[Me siento a gusto con el ambiente de trabajo que se genera en mi equipo.]],#REF!,#REF!)</f>
        <v>#REF!</v>
      </c>
      <c r="H1133" t="s">
        <v>23</v>
      </c>
      <c r="I1133" t="e">
        <f>+_xlfn.XLOOKUP(tbl_encuesta[[#This Row],[Me siento motivado a dar lo mejor de mí y hacer un buen trabajo]],#REF!,#REF!)</f>
        <v>#REF!</v>
      </c>
      <c r="J1133" t="s">
        <v>23</v>
      </c>
      <c r="K1133" t="e">
        <f>+_xlfn.XLOOKUP(tbl_encuesta[[#This Row],[Mi supervisor o jefe directo me otorga el soporte que necesito para afrontar cualquier problema que afecte mi trabajo]],#REF!,#REF!)</f>
        <v>#REF!</v>
      </c>
      <c r="L1133" t="s">
        <v>23</v>
      </c>
      <c r="M1133" t="e">
        <f>+_xlfn.XLOOKUP(tbl_encuesta[[#This Row],[Mi supervisor o jefe directo fomenta que nos apoyemos entre todos en el equipo]],#REF!,#REF!)</f>
        <v>#REF!</v>
      </c>
      <c r="N1133" t="s">
        <v>23</v>
      </c>
      <c r="O1133" t="e">
        <f>+_xlfn.XLOOKUP(tbl_encuesta[[#This Row],[Siento que mi trabajo es reconocido por mi supervisor o jefe directo.]],#REF!,#REF!)</f>
        <v>#REF!</v>
      </c>
      <c r="P1133" t="s">
        <v>31</v>
      </c>
      <c r="Q1133" t="e">
        <f xml:space="preserve">
_xlfn.XLOOKUP(
tbl_encuesta[[#This Row],[Mi supervisor o jefe directo nos brinda charlas de 5 minutos y comunica las novedades relevantes a mi puesto de trabajo]],#REF!,#REF!
)</f>
        <v>#REF!</v>
      </c>
      <c r="R1133" t="s">
        <v>17</v>
      </c>
      <c r="T1133" t="s">
        <v>19</v>
      </c>
      <c r="W1133" t="s">
        <v>25</v>
      </c>
      <c r="X1133" t="s">
        <v>23</v>
      </c>
      <c r="Y1133" t="e">
        <f>+_xlfn.XLOOKUP(tbl_encuesta[[#This Row],[Considero a Limtek como un buen lugar para trabajar]],#REF!,#REF!)</f>
        <v>#REF!</v>
      </c>
      <c r="Z1133" t="s">
        <v>304</v>
      </c>
      <c r="AA1133" t="s">
        <v>2830</v>
      </c>
      <c r="AB1133" t="s">
        <v>559</v>
      </c>
      <c r="AC1133" s="3" t="s">
        <v>3610</v>
      </c>
      <c r="AD1133" s="3" t="s">
        <v>3610</v>
      </c>
      <c r="AE1133" t="s">
        <v>55</v>
      </c>
    </row>
    <row r="1134" spans="1:31" x14ac:dyDescent="0.25">
      <c r="A1134">
        <v>119025920183</v>
      </c>
      <c r="B1134">
        <v>462598545</v>
      </c>
      <c r="C1134" s="1">
        <v>46014.860381944447</v>
      </c>
      <c r="D1134" s="1">
        <v>46014.863252314812</v>
      </c>
      <c r="E1134" t="s">
        <v>2831</v>
      </c>
      <c r="F1134" t="s">
        <v>23</v>
      </c>
      <c r="G1134" t="e">
        <f>+_xlfn.XLOOKUP(tbl_encuesta[[#This Row],[Me siento a gusto con el ambiente de trabajo que se genera en mi equipo.]],#REF!,#REF!)</f>
        <v>#REF!</v>
      </c>
      <c r="H1134" t="s">
        <v>23</v>
      </c>
      <c r="I1134" t="e">
        <f>+_xlfn.XLOOKUP(tbl_encuesta[[#This Row],[Me siento motivado a dar lo mejor de mí y hacer un buen trabajo]],#REF!,#REF!)</f>
        <v>#REF!</v>
      </c>
      <c r="J1134" t="s">
        <v>23</v>
      </c>
      <c r="K1134" t="e">
        <f>+_xlfn.XLOOKUP(tbl_encuesta[[#This Row],[Mi supervisor o jefe directo me otorga el soporte que necesito para afrontar cualquier problema que afecte mi trabajo]],#REF!,#REF!)</f>
        <v>#REF!</v>
      </c>
      <c r="L1134" t="s">
        <v>23</v>
      </c>
      <c r="M1134" t="e">
        <f>+_xlfn.XLOOKUP(tbl_encuesta[[#This Row],[Mi supervisor o jefe directo fomenta que nos apoyemos entre todos en el equipo]],#REF!,#REF!)</f>
        <v>#REF!</v>
      </c>
      <c r="N1134" t="s">
        <v>23</v>
      </c>
      <c r="O1134" t="e">
        <f>+_xlfn.XLOOKUP(tbl_encuesta[[#This Row],[Siento que mi trabajo es reconocido por mi supervisor o jefe directo.]],#REF!,#REF!)</f>
        <v>#REF!</v>
      </c>
      <c r="P1134" t="s">
        <v>31</v>
      </c>
      <c r="Q1134" t="e">
        <f xml:space="preserve">
_xlfn.XLOOKUP(
tbl_encuesta[[#This Row],[Mi supervisor o jefe directo nos brinda charlas de 5 minutos y comunica las novedades relevantes a mi puesto de trabajo]],#REF!,#REF!
)</f>
        <v>#REF!</v>
      </c>
      <c r="U1134" t="s">
        <v>20</v>
      </c>
      <c r="V1134" t="s">
        <v>50</v>
      </c>
      <c r="W1134" t="s">
        <v>25</v>
      </c>
      <c r="X1134" t="s">
        <v>23</v>
      </c>
      <c r="Y1134" t="e">
        <f>+_xlfn.XLOOKUP(tbl_encuesta[[#This Row],[Considero a Limtek como un buen lugar para trabajar]],#REF!,#REF!)</f>
        <v>#REF!</v>
      </c>
      <c r="Z1134" t="s">
        <v>2832</v>
      </c>
      <c r="AA1134" t="s">
        <v>2833</v>
      </c>
      <c r="AB1134" t="s">
        <v>28</v>
      </c>
      <c r="AC1134" s="3" t="s">
        <v>3705</v>
      </c>
      <c r="AD1134" s="3" t="s">
        <v>3712</v>
      </c>
      <c r="AE1134" t="s">
        <v>34</v>
      </c>
    </row>
    <row r="1135" spans="1:31" x14ac:dyDescent="0.25">
      <c r="A1135">
        <v>119025920026</v>
      </c>
      <c r="B1135">
        <v>462598545</v>
      </c>
      <c r="C1135" s="1">
        <v>46014.860347222224</v>
      </c>
      <c r="D1135" s="1">
        <v>46014.862824074073</v>
      </c>
      <c r="E1135" t="s">
        <v>2834</v>
      </c>
      <c r="F1135" t="s">
        <v>22</v>
      </c>
      <c r="G1135" t="e">
        <f>+_xlfn.XLOOKUP(tbl_encuesta[[#This Row],[Me siento a gusto con el ambiente de trabajo que se genera en mi equipo.]],#REF!,#REF!)</f>
        <v>#REF!</v>
      </c>
      <c r="H1135" t="s">
        <v>22</v>
      </c>
      <c r="I1135" t="e">
        <f>+_xlfn.XLOOKUP(tbl_encuesta[[#This Row],[Me siento motivado a dar lo mejor de mí y hacer un buen trabajo]],#REF!,#REF!)</f>
        <v>#REF!</v>
      </c>
      <c r="J1135" t="s">
        <v>22</v>
      </c>
      <c r="K1135" t="e">
        <f>+_xlfn.XLOOKUP(tbl_encuesta[[#This Row],[Mi supervisor o jefe directo me otorga el soporte que necesito para afrontar cualquier problema que afecte mi trabajo]],#REF!,#REF!)</f>
        <v>#REF!</v>
      </c>
      <c r="L1135" t="s">
        <v>22</v>
      </c>
      <c r="M1135" t="e">
        <f>+_xlfn.XLOOKUP(tbl_encuesta[[#This Row],[Mi supervisor o jefe directo fomenta que nos apoyemos entre todos en el equipo]],#REF!,#REF!)</f>
        <v>#REF!</v>
      </c>
      <c r="N1135" t="s">
        <v>22</v>
      </c>
      <c r="O1135" t="e">
        <f>+_xlfn.XLOOKUP(tbl_encuesta[[#This Row],[Siento que mi trabajo es reconocido por mi supervisor o jefe directo.]],#REF!,#REF!)</f>
        <v>#REF!</v>
      </c>
      <c r="P1135" t="s">
        <v>67</v>
      </c>
      <c r="Q1135" t="e">
        <f xml:space="preserve">
_xlfn.XLOOKUP(
tbl_encuesta[[#This Row],[Mi supervisor o jefe directo nos brinda charlas de 5 minutos y comunica las novedades relevantes a mi puesto de trabajo]],#REF!,#REF!
)</f>
        <v>#REF!</v>
      </c>
      <c r="R1135" t="s">
        <v>17</v>
      </c>
      <c r="W1135" t="s">
        <v>25</v>
      </c>
      <c r="X1135" t="s">
        <v>22</v>
      </c>
      <c r="Y1135" t="e">
        <f>+_xlfn.XLOOKUP(tbl_encuesta[[#This Row],[Considero a Limtek como un buen lugar para trabajar]],#REF!,#REF!)</f>
        <v>#REF!</v>
      </c>
      <c r="Z1135" t="s">
        <v>2835</v>
      </c>
      <c r="AA1135" t="s">
        <v>2836</v>
      </c>
      <c r="AB1135" t="s">
        <v>559</v>
      </c>
      <c r="AC1135" t="s">
        <v>3744</v>
      </c>
      <c r="AD1135" t="s">
        <v>3744</v>
      </c>
      <c r="AE1135" t="s">
        <v>69</v>
      </c>
    </row>
    <row r="1136" spans="1:31" x14ac:dyDescent="0.25">
      <c r="A1136">
        <v>119025918693</v>
      </c>
      <c r="B1136">
        <v>462598545</v>
      </c>
      <c r="C1136" s="1">
        <v>46014.856180555558</v>
      </c>
      <c r="D1136" s="1">
        <v>46014.859398148146</v>
      </c>
      <c r="E1136" t="s">
        <v>2837</v>
      </c>
      <c r="F1136" t="s">
        <v>43</v>
      </c>
      <c r="G1136" t="e">
        <f>+_xlfn.XLOOKUP(tbl_encuesta[[#This Row],[Me siento a gusto con el ambiente de trabajo que se genera en mi equipo.]],#REF!,#REF!)</f>
        <v>#REF!</v>
      </c>
      <c r="H1136" t="s">
        <v>97</v>
      </c>
      <c r="I1136" t="e">
        <f>+_xlfn.XLOOKUP(tbl_encuesta[[#This Row],[Me siento motivado a dar lo mejor de mí y hacer un buen trabajo]],#REF!,#REF!)</f>
        <v>#REF!</v>
      </c>
      <c r="J1136" t="s">
        <v>43</v>
      </c>
      <c r="K1136" t="e">
        <f>+_xlfn.XLOOKUP(tbl_encuesta[[#This Row],[Mi supervisor o jefe directo me otorga el soporte que necesito para afrontar cualquier problema que afecte mi trabajo]],#REF!,#REF!)</f>
        <v>#REF!</v>
      </c>
      <c r="L1136" t="s">
        <v>43</v>
      </c>
      <c r="M1136" t="e">
        <f>+_xlfn.XLOOKUP(tbl_encuesta[[#This Row],[Mi supervisor o jefe directo fomenta que nos apoyemos entre todos en el equipo]],#REF!,#REF!)</f>
        <v>#REF!</v>
      </c>
      <c r="N1136" t="s">
        <v>43</v>
      </c>
      <c r="O1136" t="e">
        <f>+_xlfn.XLOOKUP(tbl_encuesta[[#This Row],[Siento que mi trabajo es reconocido por mi supervisor o jefe directo.]],#REF!,#REF!)</f>
        <v>#REF!</v>
      </c>
      <c r="P1136" t="s">
        <v>24</v>
      </c>
      <c r="Q1136" t="e">
        <f xml:space="preserve">
_xlfn.XLOOKUP(
tbl_encuesta[[#This Row],[Mi supervisor o jefe directo nos brinda charlas de 5 minutos y comunica las novedades relevantes a mi puesto de trabajo]],#REF!,#REF!
)</f>
        <v>#REF!</v>
      </c>
      <c r="R1136" t="s">
        <v>17</v>
      </c>
      <c r="S1136" t="s">
        <v>18</v>
      </c>
      <c r="W1136" t="s">
        <v>25</v>
      </c>
      <c r="X1136" t="s">
        <v>23</v>
      </c>
      <c r="Y1136" t="e">
        <f>+_xlfn.XLOOKUP(tbl_encuesta[[#This Row],[Considero a Limtek como un buen lugar para trabajar]],#REF!,#REF!)</f>
        <v>#REF!</v>
      </c>
      <c r="Z1136" t="s">
        <v>2838</v>
      </c>
      <c r="AA1136" t="s">
        <v>2839</v>
      </c>
      <c r="AB1136" t="s">
        <v>559</v>
      </c>
      <c r="AC1136" s="3" t="s">
        <v>3748</v>
      </c>
      <c r="AD1136" s="3" t="s">
        <v>3748</v>
      </c>
      <c r="AE1136" t="s">
        <v>69</v>
      </c>
    </row>
    <row r="1137" spans="1:31" x14ac:dyDescent="0.25">
      <c r="A1137">
        <v>119025918503</v>
      </c>
      <c r="B1137">
        <v>462598545</v>
      </c>
      <c r="C1137" s="1">
        <v>46014.855613425927</v>
      </c>
      <c r="D1137" s="1">
        <v>46014.858831018515</v>
      </c>
      <c r="E1137" t="s">
        <v>2840</v>
      </c>
      <c r="F1137" t="s">
        <v>23</v>
      </c>
      <c r="G1137" t="e">
        <f>+_xlfn.XLOOKUP(tbl_encuesta[[#This Row],[Me siento a gusto con el ambiente de trabajo que se genera en mi equipo.]],#REF!,#REF!)</f>
        <v>#REF!</v>
      </c>
      <c r="H1137" t="s">
        <v>23</v>
      </c>
      <c r="I1137" t="e">
        <f>+_xlfn.XLOOKUP(tbl_encuesta[[#This Row],[Me siento motivado a dar lo mejor de mí y hacer un buen trabajo]],#REF!,#REF!)</f>
        <v>#REF!</v>
      </c>
      <c r="J1137" t="s">
        <v>23</v>
      </c>
      <c r="K1137" t="e">
        <f>+_xlfn.XLOOKUP(tbl_encuesta[[#This Row],[Mi supervisor o jefe directo me otorga el soporte que necesito para afrontar cualquier problema que afecte mi trabajo]],#REF!,#REF!)</f>
        <v>#REF!</v>
      </c>
      <c r="L1137" t="s">
        <v>23</v>
      </c>
      <c r="M1137" t="e">
        <f>+_xlfn.XLOOKUP(tbl_encuesta[[#This Row],[Mi supervisor o jefe directo fomenta que nos apoyemos entre todos en el equipo]],#REF!,#REF!)</f>
        <v>#REF!</v>
      </c>
      <c r="N1137" t="s">
        <v>23</v>
      </c>
      <c r="O1137" t="e">
        <f>+_xlfn.XLOOKUP(tbl_encuesta[[#This Row],[Siento que mi trabajo es reconocido por mi supervisor o jefe directo.]],#REF!,#REF!)</f>
        <v>#REF!</v>
      </c>
      <c r="P1137" t="s">
        <v>31</v>
      </c>
      <c r="Q1137" t="e">
        <f xml:space="preserve">
_xlfn.XLOOKUP(
tbl_encuesta[[#This Row],[Mi supervisor o jefe directo nos brinda charlas de 5 minutos y comunica las novedades relevantes a mi puesto de trabajo]],#REF!,#REF!
)</f>
        <v>#REF!</v>
      </c>
      <c r="S1137" t="s">
        <v>18</v>
      </c>
      <c r="T1137" t="s">
        <v>19</v>
      </c>
      <c r="W1137" t="s">
        <v>25</v>
      </c>
      <c r="X1137" t="s">
        <v>23</v>
      </c>
      <c r="Y1137" t="e">
        <f>+_xlfn.XLOOKUP(tbl_encuesta[[#This Row],[Considero a Limtek como un buen lugar para trabajar]],#REF!,#REF!)</f>
        <v>#REF!</v>
      </c>
      <c r="Z1137" t="s">
        <v>2841</v>
      </c>
      <c r="AA1137" t="s">
        <v>2842</v>
      </c>
      <c r="AB1137" t="s">
        <v>28</v>
      </c>
      <c r="AC1137" s="3" t="s">
        <v>3716</v>
      </c>
      <c r="AD1137" s="3" t="s">
        <v>3721</v>
      </c>
      <c r="AE1137" t="s">
        <v>29</v>
      </c>
    </row>
    <row r="1138" spans="1:31" x14ac:dyDescent="0.25">
      <c r="A1138">
        <v>119025918234</v>
      </c>
      <c r="B1138">
        <v>462598545</v>
      </c>
      <c r="C1138" s="1">
        <v>46014.854421296295</v>
      </c>
      <c r="D1138" s="1">
        <v>46014.858182870368</v>
      </c>
      <c r="E1138" t="s">
        <v>2843</v>
      </c>
      <c r="F1138" t="s">
        <v>22</v>
      </c>
      <c r="G1138" t="e">
        <f>+_xlfn.XLOOKUP(tbl_encuesta[[#This Row],[Me siento a gusto con el ambiente de trabajo que se genera en mi equipo.]],#REF!,#REF!)</f>
        <v>#REF!</v>
      </c>
      <c r="H1138" t="s">
        <v>23</v>
      </c>
      <c r="I1138" t="e">
        <f>+_xlfn.XLOOKUP(tbl_encuesta[[#This Row],[Me siento motivado a dar lo mejor de mí y hacer un buen trabajo]],#REF!,#REF!)</f>
        <v>#REF!</v>
      </c>
      <c r="J1138" t="s">
        <v>22</v>
      </c>
      <c r="K1138" t="e">
        <f>+_xlfn.XLOOKUP(tbl_encuesta[[#This Row],[Mi supervisor o jefe directo me otorga el soporte que necesito para afrontar cualquier problema que afecte mi trabajo]],#REF!,#REF!)</f>
        <v>#REF!</v>
      </c>
      <c r="L1138" t="s">
        <v>22</v>
      </c>
      <c r="M1138" t="e">
        <f>+_xlfn.XLOOKUP(tbl_encuesta[[#This Row],[Mi supervisor o jefe directo fomenta que nos apoyemos entre todos en el equipo]],#REF!,#REF!)</f>
        <v>#REF!</v>
      </c>
      <c r="N1138" t="s">
        <v>22</v>
      </c>
      <c r="O1138" t="e">
        <f>+_xlfn.XLOOKUP(tbl_encuesta[[#This Row],[Siento que mi trabajo es reconocido por mi supervisor o jefe directo.]],#REF!,#REF!)</f>
        <v>#REF!</v>
      </c>
      <c r="P1138" t="s">
        <v>31</v>
      </c>
      <c r="Q1138" t="e">
        <f xml:space="preserve">
_xlfn.XLOOKUP(
tbl_encuesta[[#This Row],[Mi supervisor o jefe directo nos brinda charlas de 5 minutos y comunica las novedades relevantes a mi puesto de trabajo]],#REF!,#REF!
)</f>
        <v>#REF!</v>
      </c>
      <c r="R1138" t="s">
        <v>17</v>
      </c>
      <c r="W1138" t="s">
        <v>46</v>
      </c>
      <c r="X1138" t="s">
        <v>23</v>
      </c>
      <c r="Y1138" t="e">
        <f>+_xlfn.XLOOKUP(tbl_encuesta[[#This Row],[Considero a Limtek como un buen lugar para trabajar]],#REF!,#REF!)</f>
        <v>#REF!</v>
      </c>
      <c r="Z1138" t="s">
        <v>2844</v>
      </c>
      <c r="AA1138" t="s">
        <v>2845</v>
      </c>
      <c r="AB1138" t="s">
        <v>559</v>
      </c>
      <c r="AC1138" t="s">
        <v>3744</v>
      </c>
      <c r="AD1138" t="s">
        <v>3744</v>
      </c>
      <c r="AE1138" t="s">
        <v>69</v>
      </c>
    </row>
    <row r="1139" spans="1:31" x14ac:dyDescent="0.25">
      <c r="A1139">
        <v>119025916285</v>
      </c>
      <c r="B1139">
        <v>462598545</v>
      </c>
      <c r="C1139" s="1">
        <v>46014.85050925926</v>
      </c>
      <c r="D1139" s="1">
        <v>46014.854988425926</v>
      </c>
      <c r="E1139" t="s">
        <v>2846</v>
      </c>
      <c r="F1139" t="s">
        <v>23</v>
      </c>
      <c r="G1139" t="e">
        <f>+_xlfn.XLOOKUP(tbl_encuesta[[#This Row],[Me siento a gusto con el ambiente de trabajo que se genera en mi equipo.]],#REF!,#REF!)</f>
        <v>#REF!</v>
      </c>
      <c r="H1139" t="s">
        <v>23</v>
      </c>
      <c r="I1139" t="e">
        <f>+_xlfn.XLOOKUP(tbl_encuesta[[#This Row],[Me siento motivado a dar lo mejor de mí y hacer un buen trabajo]],#REF!,#REF!)</f>
        <v>#REF!</v>
      </c>
      <c r="J1139" t="s">
        <v>22</v>
      </c>
      <c r="K1139" t="e">
        <f>+_xlfn.XLOOKUP(tbl_encuesta[[#This Row],[Mi supervisor o jefe directo me otorga el soporte que necesito para afrontar cualquier problema que afecte mi trabajo]],#REF!,#REF!)</f>
        <v>#REF!</v>
      </c>
      <c r="L1139" t="s">
        <v>22</v>
      </c>
      <c r="M1139" t="e">
        <f>+_xlfn.XLOOKUP(tbl_encuesta[[#This Row],[Mi supervisor o jefe directo fomenta que nos apoyemos entre todos en el equipo]],#REF!,#REF!)</f>
        <v>#REF!</v>
      </c>
      <c r="N1139" t="s">
        <v>22</v>
      </c>
      <c r="O1139" t="e">
        <f>+_xlfn.XLOOKUP(tbl_encuesta[[#This Row],[Siento que mi trabajo es reconocido por mi supervisor o jefe directo.]],#REF!,#REF!)</f>
        <v>#REF!</v>
      </c>
      <c r="P1139" t="s">
        <v>67</v>
      </c>
      <c r="Q1139" t="e">
        <f xml:space="preserve">
_xlfn.XLOOKUP(
tbl_encuesta[[#This Row],[Mi supervisor o jefe directo nos brinda charlas de 5 minutos y comunica las novedades relevantes a mi puesto de trabajo]],#REF!,#REF!
)</f>
        <v>#REF!</v>
      </c>
      <c r="R1139" t="s">
        <v>17</v>
      </c>
      <c r="S1139" t="s">
        <v>18</v>
      </c>
      <c r="W1139" t="s">
        <v>25</v>
      </c>
      <c r="X1139" t="s">
        <v>22</v>
      </c>
      <c r="Y1139" t="e">
        <f>+_xlfn.XLOOKUP(tbl_encuesta[[#This Row],[Considero a Limtek como un buen lugar para trabajar]],#REF!,#REF!)</f>
        <v>#REF!</v>
      </c>
      <c r="Z1139" t="s">
        <v>2847</v>
      </c>
      <c r="AA1139" t="s">
        <v>1229</v>
      </c>
      <c r="AB1139" t="s">
        <v>559</v>
      </c>
      <c r="AC1139" s="3" t="s">
        <v>3610</v>
      </c>
      <c r="AD1139" s="3" t="s">
        <v>3689</v>
      </c>
      <c r="AE1139" t="s">
        <v>34</v>
      </c>
    </row>
    <row r="1140" spans="1:31" x14ac:dyDescent="0.25">
      <c r="A1140">
        <v>119025914588</v>
      </c>
      <c r="B1140">
        <v>462598545</v>
      </c>
      <c r="C1140" s="1">
        <v>46014.847037037034</v>
      </c>
      <c r="D1140" s="1">
        <v>46014.852627314816</v>
      </c>
      <c r="E1140" t="s">
        <v>463</v>
      </c>
      <c r="F1140" t="s">
        <v>22</v>
      </c>
      <c r="G1140" t="e">
        <f>+_xlfn.XLOOKUP(tbl_encuesta[[#This Row],[Me siento a gusto con el ambiente de trabajo que se genera en mi equipo.]],#REF!,#REF!)</f>
        <v>#REF!</v>
      </c>
      <c r="H1140" t="s">
        <v>23</v>
      </c>
      <c r="I1140" t="e">
        <f>+_xlfn.XLOOKUP(tbl_encuesta[[#This Row],[Me siento motivado a dar lo mejor de mí y hacer un buen trabajo]],#REF!,#REF!)</f>
        <v>#REF!</v>
      </c>
      <c r="J1140" t="s">
        <v>43</v>
      </c>
      <c r="K1140" t="e">
        <f>+_xlfn.XLOOKUP(tbl_encuesta[[#This Row],[Mi supervisor o jefe directo me otorga el soporte que necesito para afrontar cualquier problema que afecte mi trabajo]],#REF!,#REF!)</f>
        <v>#REF!</v>
      </c>
      <c r="L1140" t="s">
        <v>23</v>
      </c>
      <c r="M1140" t="e">
        <f>+_xlfn.XLOOKUP(tbl_encuesta[[#This Row],[Mi supervisor o jefe directo fomenta que nos apoyemos entre todos en el equipo]],#REF!,#REF!)</f>
        <v>#REF!</v>
      </c>
      <c r="N1140" t="s">
        <v>43</v>
      </c>
      <c r="O1140" t="e">
        <f>+_xlfn.XLOOKUP(tbl_encuesta[[#This Row],[Siento que mi trabajo es reconocido por mi supervisor o jefe directo.]],#REF!,#REF!)</f>
        <v>#REF!</v>
      </c>
      <c r="P1140" t="s">
        <v>31</v>
      </c>
      <c r="Q1140" t="e">
        <f xml:space="preserve">
_xlfn.XLOOKUP(
tbl_encuesta[[#This Row],[Mi supervisor o jefe directo nos brinda charlas de 5 minutos y comunica las novedades relevantes a mi puesto de trabajo]],#REF!,#REF!
)</f>
        <v>#REF!</v>
      </c>
      <c r="R1140" t="s">
        <v>17</v>
      </c>
      <c r="W1140" t="s">
        <v>25</v>
      </c>
      <c r="X1140" t="s">
        <v>22</v>
      </c>
      <c r="Y1140" t="e">
        <f>+_xlfn.XLOOKUP(tbl_encuesta[[#This Row],[Considero a Limtek como un buen lugar para trabajar]],#REF!,#REF!)</f>
        <v>#REF!</v>
      </c>
      <c r="Z1140" t="s">
        <v>464</v>
      </c>
      <c r="AA1140" t="s">
        <v>3600</v>
      </c>
      <c r="AB1140" t="s">
        <v>28</v>
      </c>
      <c r="AC1140" t="s">
        <v>3598</v>
      </c>
      <c r="AD1140" s="3" t="s">
        <v>3604</v>
      </c>
      <c r="AE1140" t="s">
        <v>34</v>
      </c>
    </row>
    <row r="1141" spans="1:31" x14ac:dyDescent="0.25">
      <c r="A1141">
        <v>119025914468</v>
      </c>
      <c r="B1141">
        <v>462598545</v>
      </c>
      <c r="C1141" s="1">
        <v>46014.846932870372</v>
      </c>
      <c r="D1141" s="1">
        <v>46014.852326388886</v>
      </c>
      <c r="E1141" t="s">
        <v>2689</v>
      </c>
      <c r="F1141" t="s">
        <v>22</v>
      </c>
      <c r="G1141" t="e">
        <f>+_xlfn.XLOOKUP(tbl_encuesta[[#This Row],[Me siento a gusto con el ambiente de trabajo que se genera en mi equipo.]],#REF!,#REF!)</f>
        <v>#REF!</v>
      </c>
      <c r="H1141" t="s">
        <v>23</v>
      </c>
      <c r="I1141" t="e">
        <f>+_xlfn.XLOOKUP(tbl_encuesta[[#This Row],[Me siento motivado a dar lo mejor de mí y hacer un buen trabajo]],#REF!,#REF!)</f>
        <v>#REF!</v>
      </c>
      <c r="J1141" t="s">
        <v>22</v>
      </c>
      <c r="K1141" t="e">
        <f>+_xlfn.XLOOKUP(tbl_encuesta[[#This Row],[Mi supervisor o jefe directo me otorga el soporte que necesito para afrontar cualquier problema que afecte mi trabajo]],#REF!,#REF!)</f>
        <v>#REF!</v>
      </c>
      <c r="L1141" t="s">
        <v>23</v>
      </c>
      <c r="M1141" t="e">
        <f>+_xlfn.XLOOKUP(tbl_encuesta[[#This Row],[Mi supervisor o jefe directo fomenta que nos apoyemos entre todos en el equipo]],#REF!,#REF!)</f>
        <v>#REF!</v>
      </c>
      <c r="N1141" t="s">
        <v>23</v>
      </c>
      <c r="O1141" t="e">
        <f>+_xlfn.XLOOKUP(tbl_encuesta[[#This Row],[Siento que mi trabajo es reconocido por mi supervisor o jefe directo.]],#REF!,#REF!)</f>
        <v>#REF!</v>
      </c>
      <c r="P1141" t="s">
        <v>31</v>
      </c>
      <c r="Q1141" t="e">
        <f xml:space="preserve">
_xlfn.XLOOKUP(
tbl_encuesta[[#This Row],[Mi supervisor o jefe directo nos brinda charlas de 5 minutos y comunica las novedades relevantes a mi puesto de trabajo]],#REF!,#REF!
)</f>
        <v>#REF!</v>
      </c>
      <c r="R1141" t="s">
        <v>17</v>
      </c>
      <c r="T1141" t="s">
        <v>19</v>
      </c>
      <c r="W1141" t="s">
        <v>46</v>
      </c>
      <c r="X1141" t="s">
        <v>23</v>
      </c>
      <c r="Y1141" t="e">
        <f>+_xlfn.XLOOKUP(tbl_encuesta[[#This Row],[Considero a Limtek como un buen lugar para trabajar]],#REF!,#REF!)</f>
        <v>#REF!</v>
      </c>
      <c r="Z1141" t="s">
        <v>2848</v>
      </c>
      <c r="AA1141" t="s">
        <v>2849</v>
      </c>
      <c r="AB1141" t="s">
        <v>559</v>
      </c>
      <c r="AC1141" s="3" t="s">
        <v>3746</v>
      </c>
      <c r="AD1141" s="3" t="s">
        <v>3747</v>
      </c>
      <c r="AE1141" t="s">
        <v>61</v>
      </c>
    </row>
    <row r="1142" spans="1:31" x14ac:dyDescent="0.25">
      <c r="A1142">
        <v>119025913847</v>
      </c>
      <c r="B1142">
        <v>462598545</v>
      </c>
      <c r="C1142" s="1">
        <v>46014.839687500003</v>
      </c>
      <c r="D1142" s="1">
        <v>46014.85052083333</v>
      </c>
      <c r="E1142" t="s">
        <v>2850</v>
      </c>
      <c r="F1142" t="s">
        <v>22</v>
      </c>
      <c r="G1142" t="e">
        <f>+_xlfn.XLOOKUP(tbl_encuesta[[#This Row],[Me siento a gusto con el ambiente de trabajo que se genera en mi equipo.]],#REF!,#REF!)</f>
        <v>#REF!</v>
      </c>
      <c r="H1142" t="s">
        <v>23</v>
      </c>
      <c r="I1142" t="e">
        <f>+_xlfn.XLOOKUP(tbl_encuesta[[#This Row],[Me siento motivado a dar lo mejor de mí y hacer un buen trabajo]],#REF!,#REF!)</f>
        <v>#REF!</v>
      </c>
      <c r="J1142" t="s">
        <v>22</v>
      </c>
      <c r="K1142" t="e">
        <f>+_xlfn.XLOOKUP(tbl_encuesta[[#This Row],[Mi supervisor o jefe directo me otorga el soporte que necesito para afrontar cualquier problema que afecte mi trabajo]],#REF!,#REF!)</f>
        <v>#REF!</v>
      </c>
      <c r="L1142" t="s">
        <v>22</v>
      </c>
      <c r="M1142" t="e">
        <f>+_xlfn.XLOOKUP(tbl_encuesta[[#This Row],[Mi supervisor o jefe directo fomenta que nos apoyemos entre todos en el equipo]],#REF!,#REF!)</f>
        <v>#REF!</v>
      </c>
      <c r="N1142" t="s">
        <v>97</v>
      </c>
      <c r="O1142" t="e">
        <f>+_xlfn.XLOOKUP(tbl_encuesta[[#This Row],[Siento que mi trabajo es reconocido por mi supervisor o jefe directo.]],#REF!,#REF!)</f>
        <v>#REF!</v>
      </c>
      <c r="P1142" t="s">
        <v>31</v>
      </c>
      <c r="Q1142" t="e">
        <f xml:space="preserve">
_xlfn.XLOOKUP(
tbl_encuesta[[#This Row],[Mi supervisor o jefe directo nos brinda charlas de 5 minutos y comunica las novedades relevantes a mi puesto de trabajo]],#REF!,#REF!
)</f>
        <v>#REF!</v>
      </c>
      <c r="R1142" t="s">
        <v>17</v>
      </c>
      <c r="V1142" t="s">
        <v>2851</v>
      </c>
      <c r="W1142" t="s">
        <v>25</v>
      </c>
      <c r="X1142" t="s">
        <v>22</v>
      </c>
      <c r="Y1142" t="e">
        <f>+_xlfn.XLOOKUP(tbl_encuesta[[#This Row],[Considero a Limtek como un buen lugar para trabajar]],#REF!,#REF!)</f>
        <v>#REF!</v>
      </c>
      <c r="Z1142" t="s">
        <v>2852</v>
      </c>
      <c r="AA1142" t="s">
        <v>2853</v>
      </c>
      <c r="AB1142" t="s">
        <v>28</v>
      </c>
      <c r="AC1142" s="3" t="s">
        <v>3716</v>
      </c>
      <c r="AD1142" s="3" t="s">
        <v>3721</v>
      </c>
      <c r="AE1142" t="s">
        <v>29</v>
      </c>
    </row>
    <row r="1143" spans="1:31" x14ac:dyDescent="0.25">
      <c r="A1143">
        <v>119025913697</v>
      </c>
      <c r="B1143">
        <v>462598545</v>
      </c>
      <c r="C1143" s="1">
        <v>46014.846736111111</v>
      </c>
      <c r="D1143" s="1">
        <v>46014.850069444445</v>
      </c>
      <c r="E1143" t="s">
        <v>2854</v>
      </c>
      <c r="F1143" t="s">
        <v>23</v>
      </c>
      <c r="G1143" t="e">
        <f>+_xlfn.XLOOKUP(tbl_encuesta[[#This Row],[Me siento a gusto con el ambiente de trabajo que se genera en mi equipo.]],#REF!,#REF!)</f>
        <v>#REF!</v>
      </c>
      <c r="H1143" t="s">
        <v>23</v>
      </c>
      <c r="I1143" t="e">
        <f>+_xlfn.XLOOKUP(tbl_encuesta[[#This Row],[Me siento motivado a dar lo mejor de mí y hacer un buen trabajo]],#REF!,#REF!)</f>
        <v>#REF!</v>
      </c>
      <c r="J1143" t="s">
        <v>23</v>
      </c>
      <c r="K1143" t="e">
        <f>+_xlfn.XLOOKUP(tbl_encuesta[[#This Row],[Mi supervisor o jefe directo me otorga el soporte que necesito para afrontar cualquier problema que afecte mi trabajo]],#REF!,#REF!)</f>
        <v>#REF!</v>
      </c>
      <c r="L1143" t="s">
        <v>23</v>
      </c>
      <c r="M1143" t="e">
        <f>+_xlfn.XLOOKUP(tbl_encuesta[[#This Row],[Mi supervisor o jefe directo fomenta que nos apoyemos entre todos en el equipo]],#REF!,#REF!)</f>
        <v>#REF!</v>
      </c>
      <c r="N1143" t="s">
        <v>23</v>
      </c>
      <c r="O1143" t="e">
        <f>+_xlfn.XLOOKUP(tbl_encuesta[[#This Row],[Siento que mi trabajo es reconocido por mi supervisor o jefe directo.]],#REF!,#REF!)</f>
        <v>#REF!</v>
      </c>
      <c r="P1143" t="s">
        <v>31</v>
      </c>
      <c r="Q1143" t="e">
        <f xml:space="preserve">
_xlfn.XLOOKUP(
tbl_encuesta[[#This Row],[Mi supervisor o jefe directo nos brinda charlas de 5 minutos y comunica las novedades relevantes a mi puesto de trabajo]],#REF!,#REF!
)</f>
        <v>#REF!</v>
      </c>
      <c r="R1143" t="s">
        <v>17</v>
      </c>
      <c r="S1143" t="s">
        <v>18</v>
      </c>
      <c r="W1143" t="s">
        <v>25</v>
      </c>
      <c r="X1143" t="s">
        <v>23</v>
      </c>
      <c r="Y1143" t="e">
        <f>+_xlfn.XLOOKUP(tbl_encuesta[[#This Row],[Considero a Limtek como un buen lugar para trabajar]],#REF!,#REF!)</f>
        <v>#REF!</v>
      </c>
      <c r="Z1143" t="s">
        <v>2855</v>
      </c>
      <c r="AA1143" t="s">
        <v>2856</v>
      </c>
      <c r="AB1143" t="s">
        <v>559</v>
      </c>
      <c r="AC1143" s="3" t="s">
        <v>3748</v>
      </c>
      <c r="AD1143" s="3" t="s">
        <v>3748</v>
      </c>
      <c r="AE1143" t="s">
        <v>61</v>
      </c>
    </row>
    <row r="1144" spans="1:31" x14ac:dyDescent="0.25">
      <c r="A1144">
        <v>119025911917</v>
      </c>
      <c r="B1144">
        <v>462598545</v>
      </c>
      <c r="C1144" s="1">
        <v>46014.843587962961</v>
      </c>
      <c r="D1144" s="1">
        <v>46014.844953703701</v>
      </c>
      <c r="E1144" t="s">
        <v>2857</v>
      </c>
      <c r="F1144" t="s">
        <v>22</v>
      </c>
      <c r="G1144" t="e">
        <f>+_xlfn.XLOOKUP(tbl_encuesta[[#This Row],[Me siento a gusto con el ambiente de trabajo que se genera en mi equipo.]],#REF!,#REF!)</f>
        <v>#REF!</v>
      </c>
      <c r="H1144" t="s">
        <v>23</v>
      </c>
      <c r="I1144" t="e">
        <f>+_xlfn.XLOOKUP(tbl_encuesta[[#This Row],[Me siento motivado a dar lo mejor de mí y hacer un buen trabajo]],#REF!,#REF!)</f>
        <v>#REF!</v>
      </c>
      <c r="J1144" t="s">
        <v>23</v>
      </c>
      <c r="K1144" t="e">
        <f>+_xlfn.XLOOKUP(tbl_encuesta[[#This Row],[Mi supervisor o jefe directo me otorga el soporte que necesito para afrontar cualquier problema que afecte mi trabajo]],#REF!,#REF!)</f>
        <v>#REF!</v>
      </c>
      <c r="L1144" t="s">
        <v>23</v>
      </c>
      <c r="M1144" t="e">
        <f>+_xlfn.XLOOKUP(tbl_encuesta[[#This Row],[Mi supervisor o jefe directo fomenta que nos apoyemos entre todos en el equipo]],#REF!,#REF!)</f>
        <v>#REF!</v>
      </c>
      <c r="N1144" t="s">
        <v>23</v>
      </c>
      <c r="O1144" t="e">
        <f>+_xlfn.XLOOKUP(tbl_encuesta[[#This Row],[Siento que mi trabajo es reconocido por mi supervisor o jefe directo.]],#REF!,#REF!)</f>
        <v>#REF!</v>
      </c>
      <c r="P1144" t="s">
        <v>31</v>
      </c>
      <c r="Q1144" t="e">
        <f xml:space="preserve">
_xlfn.XLOOKUP(
tbl_encuesta[[#This Row],[Mi supervisor o jefe directo nos brinda charlas de 5 minutos y comunica las novedades relevantes a mi puesto de trabajo]],#REF!,#REF!
)</f>
        <v>#REF!</v>
      </c>
      <c r="S1144" t="s">
        <v>18</v>
      </c>
      <c r="W1144" t="s">
        <v>25</v>
      </c>
      <c r="X1144" t="s">
        <v>22</v>
      </c>
      <c r="Y1144" t="e">
        <f>+_xlfn.XLOOKUP(tbl_encuesta[[#This Row],[Considero a Limtek como un buen lugar para trabajar]],#REF!,#REF!)</f>
        <v>#REF!</v>
      </c>
      <c r="Z1144" t="s">
        <v>2858</v>
      </c>
      <c r="AA1144" t="s">
        <v>2859</v>
      </c>
      <c r="AB1144" t="s">
        <v>28</v>
      </c>
      <c r="AC1144" s="3" t="s">
        <v>3705</v>
      </c>
      <c r="AD1144" s="3" t="s">
        <v>3712</v>
      </c>
      <c r="AE1144" t="s">
        <v>61</v>
      </c>
    </row>
    <row r="1145" spans="1:31" x14ac:dyDescent="0.25">
      <c r="A1145">
        <v>119025911246</v>
      </c>
      <c r="B1145">
        <v>462598545</v>
      </c>
      <c r="C1145" s="1">
        <v>46014.838483796295</v>
      </c>
      <c r="D1145" s="1">
        <v>46014.843124999999</v>
      </c>
      <c r="E1145" t="s">
        <v>141</v>
      </c>
      <c r="F1145" t="s">
        <v>23</v>
      </c>
      <c r="G1145" t="e">
        <f>+_xlfn.XLOOKUP(tbl_encuesta[[#This Row],[Me siento a gusto con el ambiente de trabajo que se genera en mi equipo.]],#REF!,#REF!)</f>
        <v>#REF!</v>
      </c>
      <c r="H1145" t="s">
        <v>23</v>
      </c>
      <c r="I1145" t="e">
        <f>+_xlfn.XLOOKUP(tbl_encuesta[[#This Row],[Me siento motivado a dar lo mejor de mí y hacer un buen trabajo]],#REF!,#REF!)</f>
        <v>#REF!</v>
      </c>
      <c r="J1145" t="s">
        <v>23</v>
      </c>
      <c r="K1145" t="e">
        <f>+_xlfn.XLOOKUP(tbl_encuesta[[#This Row],[Mi supervisor o jefe directo me otorga el soporte que necesito para afrontar cualquier problema que afecte mi trabajo]],#REF!,#REF!)</f>
        <v>#REF!</v>
      </c>
      <c r="L1145" t="s">
        <v>23</v>
      </c>
      <c r="M1145" t="e">
        <f>+_xlfn.XLOOKUP(tbl_encuesta[[#This Row],[Mi supervisor o jefe directo fomenta que nos apoyemos entre todos en el equipo]],#REF!,#REF!)</f>
        <v>#REF!</v>
      </c>
      <c r="N1145" t="s">
        <v>23</v>
      </c>
      <c r="O1145" t="e">
        <f>+_xlfn.XLOOKUP(tbl_encuesta[[#This Row],[Siento que mi trabajo es reconocido por mi supervisor o jefe directo.]],#REF!,#REF!)</f>
        <v>#REF!</v>
      </c>
      <c r="P1145" t="s">
        <v>31</v>
      </c>
      <c r="Q1145" t="e">
        <f xml:space="preserve">
_xlfn.XLOOKUP(
tbl_encuesta[[#This Row],[Mi supervisor o jefe directo nos brinda charlas de 5 minutos y comunica las novedades relevantes a mi puesto de trabajo]],#REF!,#REF!
)</f>
        <v>#REF!</v>
      </c>
      <c r="R1145" t="s">
        <v>17</v>
      </c>
      <c r="T1145" t="s">
        <v>19</v>
      </c>
      <c r="W1145" t="s">
        <v>25</v>
      </c>
      <c r="X1145" t="s">
        <v>23</v>
      </c>
      <c r="Y1145" t="e">
        <f>+_xlfn.XLOOKUP(tbl_encuesta[[#This Row],[Considero a Limtek como un buen lugar para trabajar]],#REF!,#REF!)</f>
        <v>#REF!</v>
      </c>
      <c r="Z1145" t="s">
        <v>2860</v>
      </c>
      <c r="AA1145" t="s">
        <v>122</v>
      </c>
      <c r="AB1145" t="s">
        <v>65</v>
      </c>
      <c r="AC1145" s="3" t="s">
        <v>3610</v>
      </c>
      <c r="AD1145" s="3" t="s">
        <v>3610</v>
      </c>
      <c r="AE1145" t="s">
        <v>34</v>
      </c>
    </row>
    <row r="1146" spans="1:31" x14ac:dyDescent="0.25">
      <c r="A1146">
        <v>119025909400</v>
      </c>
      <c r="B1146">
        <v>462598545</v>
      </c>
      <c r="C1146" s="1">
        <v>46014.835034722222</v>
      </c>
      <c r="D1146" s="1">
        <v>46014.838252314818</v>
      </c>
      <c r="E1146" t="s">
        <v>2861</v>
      </c>
      <c r="F1146" t="s">
        <v>23</v>
      </c>
      <c r="G1146" t="e">
        <f>+_xlfn.XLOOKUP(tbl_encuesta[[#This Row],[Me siento a gusto con el ambiente de trabajo que se genera en mi equipo.]],#REF!,#REF!)</f>
        <v>#REF!</v>
      </c>
      <c r="H1146" t="s">
        <v>23</v>
      </c>
      <c r="I1146" t="e">
        <f>+_xlfn.XLOOKUP(tbl_encuesta[[#This Row],[Me siento motivado a dar lo mejor de mí y hacer un buen trabajo]],#REF!,#REF!)</f>
        <v>#REF!</v>
      </c>
      <c r="J1146" t="s">
        <v>23</v>
      </c>
      <c r="K1146" t="e">
        <f>+_xlfn.XLOOKUP(tbl_encuesta[[#This Row],[Mi supervisor o jefe directo me otorga el soporte que necesito para afrontar cualquier problema que afecte mi trabajo]],#REF!,#REF!)</f>
        <v>#REF!</v>
      </c>
      <c r="L1146" t="s">
        <v>23</v>
      </c>
      <c r="M1146" t="e">
        <f>+_xlfn.XLOOKUP(tbl_encuesta[[#This Row],[Mi supervisor o jefe directo fomenta que nos apoyemos entre todos en el equipo]],#REF!,#REF!)</f>
        <v>#REF!</v>
      </c>
      <c r="N1146" t="s">
        <v>23</v>
      </c>
      <c r="O1146" t="e">
        <f>+_xlfn.XLOOKUP(tbl_encuesta[[#This Row],[Siento que mi trabajo es reconocido por mi supervisor o jefe directo.]],#REF!,#REF!)</f>
        <v>#REF!</v>
      </c>
      <c r="P1146" t="s">
        <v>31</v>
      </c>
      <c r="Q1146" t="e">
        <f xml:space="preserve">
_xlfn.XLOOKUP(
tbl_encuesta[[#This Row],[Mi supervisor o jefe directo nos brinda charlas de 5 minutos y comunica las novedades relevantes a mi puesto de trabajo]],#REF!,#REF!
)</f>
        <v>#REF!</v>
      </c>
      <c r="R1146" t="s">
        <v>17</v>
      </c>
      <c r="S1146" t="s">
        <v>18</v>
      </c>
      <c r="W1146" t="s">
        <v>25</v>
      </c>
      <c r="X1146" t="s">
        <v>23</v>
      </c>
      <c r="Y1146" t="e">
        <f>+_xlfn.XLOOKUP(tbl_encuesta[[#This Row],[Considero a Limtek como un buen lugar para trabajar]],#REF!,#REF!)</f>
        <v>#REF!</v>
      </c>
      <c r="Z1146" t="s">
        <v>576</v>
      </c>
      <c r="AA1146" t="s">
        <v>2862</v>
      </c>
      <c r="AB1146" t="s">
        <v>28</v>
      </c>
      <c r="AC1146" t="s">
        <v>3744</v>
      </c>
      <c r="AD1146" t="s">
        <v>3744</v>
      </c>
      <c r="AE1146" t="s">
        <v>69</v>
      </c>
    </row>
    <row r="1147" spans="1:31" x14ac:dyDescent="0.25">
      <c r="A1147">
        <v>119025906295</v>
      </c>
      <c r="B1147">
        <v>462598545</v>
      </c>
      <c r="C1147" s="1">
        <v>46014.826458333337</v>
      </c>
      <c r="D1147" s="1">
        <v>46014.829710648148</v>
      </c>
      <c r="E1147" t="s">
        <v>2863</v>
      </c>
      <c r="F1147" t="s">
        <v>22</v>
      </c>
      <c r="G1147" t="e">
        <f>+_xlfn.XLOOKUP(tbl_encuesta[[#This Row],[Me siento a gusto con el ambiente de trabajo que se genera en mi equipo.]],#REF!,#REF!)</f>
        <v>#REF!</v>
      </c>
      <c r="H1147" t="s">
        <v>22</v>
      </c>
      <c r="I1147" t="e">
        <f>+_xlfn.XLOOKUP(tbl_encuesta[[#This Row],[Me siento motivado a dar lo mejor de mí y hacer un buen trabajo]],#REF!,#REF!)</f>
        <v>#REF!</v>
      </c>
      <c r="J1147" t="s">
        <v>22</v>
      </c>
      <c r="K1147" t="e">
        <f>+_xlfn.XLOOKUP(tbl_encuesta[[#This Row],[Mi supervisor o jefe directo me otorga el soporte que necesito para afrontar cualquier problema que afecte mi trabajo]],#REF!,#REF!)</f>
        <v>#REF!</v>
      </c>
      <c r="L1147" t="s">
        <v>22</v>
      </c>
      <c r="M1147" t="e">
        <f>+_xlfn.XLOOKUP(tbl_encuesta[[#This Row],[Mi supervisor o jefe directo fomenta que nos apoyemos entre todos en el equipo]],#REF!,#REF!)</f>
        <v>#REF!</v>
      </c>
      <c r="N1147" t="s">
        <v>97</v>
      </c>
      <c r="O1147" t="e">
        <f>+_xlfn.XLOOKUP(tbl_encuesta[[#This Row],[Siento que mi trabajo es reconocido por mi supervisor o jefe directo.]],#REF!,#REF!)</f>
        <v>#REF!</v>
      </c>
      <c r="P1147" t="s">
        <v>67</v>
      </c>
      <c r="Q1147" t="e">
        <f xml:space="preserve">
_xlfn.XLOOKUP(
tbl_encuesta[[#This Row],[Mi supervisor o jefe directo nos brinda charlas de 5 minutos y comunica las novedades relevantes a mi puesto de trabajo]],#REF!,#REF!
)</f>
        <v>#REF!</v>
      </c>
      <c r="R1147" t="s">
        <v>17</v>
      </c>
      <c r="U1147" t="s">
        <v>20</v>
      </c>
      <c r="W1147" t="s">
        <v>25</v>
      </c>
      <c r="X1147" t="s">
        <v>22</v>
      </c>
      <c r="Y1147" t="e">
        <f>+_xlfn.XLOOKUP(tbl_encuesta[[#This Row],[Considero a Limtek como un buen lugar para trabajar]],#REF!,#REF!)</f>
        <v>#REF!</v>
      </c>
      <c r="Z1147" t="s">
        <v>2864</v>
      </c>
      <c r="AA1147" t="s">
        <v>2865</v>
      </c>
      <c r="AB1147" t="s">
        <v>28</v>
      </c>
      <c r="AC1147" s="3" t="s">
        <v>3716</v>
      </c>
      <c r="AD1147" s="3" t="s">
        <v>3716</v>
      </c>
      <c r="AE1147" t="s">
        <v>29</v>
      </c>
    </row>
    <row r="1148" spans="1:31" x14ac:dyDescent="0.25">
      <c r="A1148">
        <v>119025905361</v>
      </c>
      <c r="B1148">
        <v>462598545</v>
      </c>
      <c r="C1148" s="1">
        <v>46014.824803240743</v>
      </c>
      <c r="D1148" s="1">
        <v>46014.827199074076</v>
      </c>
      <c r="E1148" t="s">
        <v>2866</v>
      </c>
      <c r="F1148" t="s">
        <v>23</v>
      </c>
      <c r="G1148" t="e">
        <f>+_xlfn.XLOOKUP(tbl_encuesta[[#This Row],[Me siento a gusto con el ambiente de trabajo que se genera en mi equipo.]],#REF!,#REF!)</f>
        <v>#REF!</v>
      </c>
      <c r="H1148" t="s">
        <v>23</v>
      </c>
      <c r="I1148" t="e">
        <f>+_xlfn.XLOOKUP(tbl_encuesta[[#This Row],[Me siento motivado a dar lo mejor de mí y hacer un buen trabajo]],#REF!,#REF!)</f>
        <v>#REF!</v>
      </c>
      <c r="J1148" t="s">
        <v>23</v>
      </c>
      <c r="K1148" t="e">
        <f>+_xlfn.XLOOKUP(tbl_encuesta[[#This Row],[Mi supervisor o jefe directo me otorga el soporte que necesito para afrontar cualquier problema que afecte mi trabajo]],#REF!,#REF!)</f>
        <v>#REF!</v>
      </c>
      <c r="L1148" t="s">
        <v>23</v>
      </c>
      <c r="M1148" t="e">
        <f>+_xlfn.XLOOKUP(tbl_encuesta[[#This Row],[Mi supervisor o jefe directo fomenta que nos apoyemos entre todos en el equipo]],#REF!,#REF!)</f>
        <v>#REF!</v>
      </c>
      <c r="N1148" t="s">
        <v>23</v>
      </c>
      <c r="O1148" t="e">
        <f>+_xlfn.XLOOKUP(tbl_encuesta[[#This Row],[Siento que mi trabajo es reconocido por mi supervisor o jefe directo.]],#REF!,#REF!)</f>
        <v>#REF!</v>
      </c>
      <c r="P1148" t="s">
        <v>31</v>
      </c>
      <c r="Q1148" t="e">
        <f xml:space="preserve">
_xlfn.XLOOKUP(
tbl_encuesta[[#This Row],[Mi supervisor o jefe directo nos brinda charlas de 5 minutos y comunica las novedades relevantes a mi puesto de trabajo]],#REF!,#REF!
)</f>
        <v>#REF!</v>
      </c>
      <c r="R1148" t="s">
        <v>17</v>
      </c>
      <c r="T1148" t="s">
        <v>19</v>
      </c>
      <c r="W1148" t="s">
        <v>25</v>
      </c>
      <c r="X1148" t="s">
        <v>23</v>
      </c>
      <c r="Y1148" t="e">
        <f>+_xlfn.XLOOKUP(tbl_encuesta[[#This Row],[Considero a Limtek como un buen lugar para trabajar]],#REF!,#REF!)</f>
        <v>#REF!</v>
      </c>
      <c r="Z1148" t="s">
        <v>122</v>
      </c>
      <c r="AA1148" t="s">
        <v>122</v>
      </c>
      <c r="AB1148" t="s">
        <v>38</v>
      </c>
      <c r="AC1148" t="s">
        <v>3744</v>
      </c>
      <c r="AD1148" t="s">
        <v>3744</v>
      </c>
      <c r="AE1148" t="s">
        <v>29</v>
      </c>
    </row>
    <row r="1149" spans="1:31" x14ac:dyDescent="0.25">
      <c r="A1149">
        <v>119025904997</v>
      </c>
      <c r="B1149">
        <v>462598545</v>
      </c>
      <c r="C1149" s="1">
        <v>46014.823287037034</v>
      </c>
      <c r="D1149" s="1">
        <v>46014.826157407406</v>
      </c>
      <c r="E1149" t="s">
        <v>2867</v>
      </c>
      <c r="F1149" t="s">
        <v>22</v>
      </c>
      <c r="G1149" t="e">
        <f>+_xlfn.XLOOKUP(tbl_encuesta[[#This Row],[Me siento a gusto con el ambiente de trabajo que se genera en mi equipo.]],#REF!,#REF!)</f>
        <v>#REF!</v>
      </c>
      <c r="H1149" t="s">
        <v>23</v>
      </c>
      <c r="I1149" t="e">
        <f>+_xlfn.XLOOKUP(tbl_encuesta[[#This Row],[Me siento motivado a dar lo mejor de mí y hacer un buen trabajo]],#REF!,#REF!)</f>
        <v>#REF!</v>
      </c>
      <c r="J1149" t="s">
        <v>97</v>
      </c>
      <c r="K1149" t="e">
        <f>+_xlfn.XLOOKUP(tbl_encuesta[[#This Row],[Mi supervisor o jefe directo me otorga el soporte que necesito para afrontar cualquier problema que afecte mi trabajo]],#REF!,#REF!)</f>
        <v>#REF!</v>
      </c>
      <c r="L1149" t="s">
        <v>22</v>
      </c>
      <c r="M1149" t="e">
        <f>+_xlfn.XLOOKUP(tbl_encuesta[[#This Row],[Mi supervisor o jefe directo fomenta que nos apoyemos entre todos en el equipo]],#REF!,#REF!)</f>
        <v>#REF!</v>
      </c>
      <c r="N1149" t="s">
        <v>22</v>
      </c>
      <c r="O1149" t="e">
        <f>+_xlfn.XLOOKUP(tbl_encuesta[[#This Row],[Siento que mi trabajo es reconocido por mi supervisor o jefe directo.]],#REF!,#REF!)</f>
        <v>#REF!</v>
      </c>
      <c r="P1149" t="s">
        <v>67</v>
      </c>
      <c r="Q1149" t="e">
        <f xml:space="preserve">
_xlfn.XLOOKUP(
tbl_encuesta[[#This Row],[Mi supervisor o jefe directo nos brinda charlas de 5 minutos y comunica las novedades relevantes a mi puesto de trabajo]],#REF!,#REF!
)</f>
        <v>#REF!</v>
      </c>
      <c r="R1149" t="s">
        <v>17</v>
      </c>
      <c r="S1149" t="s">
        <v>18</v>
      </c>
      <c r="W1149" t="s">
        <v>25</v>
      </c>
      <c r="X1149" t="s">
        <v>22</v>
      </c>
      <c r="Y1149" t="e">
        <f>+_xlfn.XLOOKUP(tbl_encuesta[[#This Row],[Considero a Limtek como un buen lugar para trabajar]],#REF!,#REF!)</f>
        <v>#REF!</v>
      </c>
      <c r="Z1149" t="s">
        <v>576</v>
      </c>
      <c r="AA1149" t="s">
        <v>2868</v>
      </c>
      <c r="AB1149" t="s">
        <v>28</v>
      </c>
      <c r="AC1149" s="3" t="s">
        <v>3716</v>
      </c>
      <c r="AD1149" s="3" t="s">
        <v>3721</v>
      </c>
      <c r="AE1149" t="s">
        <v>29</v>
      </c>
    </row>
    <row r="1150" spans="1:31" x14ac:dyDescent="0.25">
      <c r="A1150">
        <v>119025904703</v>
      </c>
      <c r="B1150">
        <v>462598545</v>
      </c>
      <c r="C1150" s="1">
        <v>46014.609907407408</v>
      </c>
      <c r="D1150" s="1">
        <v>46014.825312499997</v>
      </c>
      <c r="E1150" t="s">
        <v>2869</v>
      </c>
      <c r="F1150" t="s">
        <v>23</v>
      </c>
      <c r="G1150" t="e">
        <f>+_xlfn.XLOOKUP(tbl_encuesta[[#This Row],[Me siento a gusto con el ambiente de trabajo que se genera en mi equipo.]],#REF!,#REF!)</f>
        <v>#REF!</v>
      </c>
      <c r="H1150" t="s">
        <v>23</v>
      </c>
      <c r="I1150" t="e">
        <f>+_xlfn.XLOOKUP(tbl_encuesta[[#This Row],[Me siento motivado a dar lo mejor de mí y hacer un buen trabajo]],#REF!,#REF!)</f>
        <v>#REF!</v>
      </c>
      <c r="J1150" t="s">
        <v>23</v>
      </c>
      <c r="K1150" t="e">
        <f>+_xlfn.XLOOKUP(tbl_encuesta[[#This Row],[Mi supervisor o jefe directo me otorga el soporte que necesito para afrontar cualquier problema que afecte mi trabajo]],#REF!,#REF!)</f>
        <v>#REF!</v>
      </c>
      <c r="L1150" t="s">
        <v>23</v>
      </c>
      <c r="M1150" t="e">
        <f>+_xlfn.XLOOKUP(tbl_encuesta[[#This Row],[Mi supervisor o jefe directo fomenta que nos apoyemos entre todos en el equipo]],#REF!,#REF!)</f>
        <v>#REF!</v>
      </c>
      <c r="N1150" t="s">
        <v>23</v>
      </c>
      <c r="O1150" t="e">
        <f>+_xlfn.XLOOKUP(tbl_encuesta[[#This Row],[Siento que mi trabajo es reconocido por mi supervisor o jefe directo.]],#REF!,#REF!)</f>
        <v>#REF!</v>
      </c>
      <c r="P1150" t="s">
        <v>31</v>
      </c>
      <c r="Q1150" t="e">
        <f xml:space="preserve">
_xlfn.XLOOKUP(
tbl_encuesta[[#This Row],[Mi supervisor o jefe directo nos brinda charlas de 5 minutos y comunica las novedades relevantes a mi puesto de trabajo]],#REF!,#REF!
)</f>
        <v>#REF!</v>
      </c>
      <c r="R1150" t="s">
        <v>17</v>
      </c>
      <c r="W1150" t="s">
        <v>25</v>
      </c>
      <c r="X1150" t="s">
        <v>23</v>
      </c>
      <c r="Y1150" t="e">
        <f>+_xlfn.XLOOKUP(tbl_encuesta[[#This Row],[Considero a Limtek como un buen lugar para trabajar]],#REF!,#REF!)</f>
        <v>#REF!</v>
      </c>
      <c r="Z1150" t="s">
        <v>2870</v>
      </c>
      <c r="AA1150" t="s">
        <v>2871</v>
      </c>
      <c r="AB1150" t="s">
        <v>28</v>
      </c>
      <c r="AC1150" s="3" t="s">
        <v>3716</v>
      </c>
      <c r="AD1150" s="3" t="s">
        <v>3721</v>
      </c>
      <c r="AE1150" t="s">
        <v>69</v>
      </c>
    </row>
    <row r="1151" spans="1:31" x14ac:dyDescent="0.25">
      <c r="A1151">
        <v>119025903560</v>
      </c>
      <c r="B1151">
        <v>462598545</v>
      </c>
      <c r="C1151" s="1">
        <v>46014.820173611108</v>
      </c>
      <c r="D1151" s="1">
        <v>46014.822187500002</v>
      </c>
      <c r="E1151" t="s">
        <v>2872</v>
      </c>
      <c r="F1151" t="s">
        <v>23</v>
      </c>
      <c r="G1151" t="e">
        <f>+_xlfn.XLOOKUP(tbl_encuesta[[#This Row],[Me siento a gusto con el ambiente de trabajo que se genera en mi equipo.]],#REF!,#REF!)</f>
        <v>#REF!</v>
      </c>
      <c r="H1151" t="s">
        <v>23</v>
      </c>
      <c r="I1151" t="e">
        <f>+_xlfn.XLOOKUP(tbl_encuesta[[#This Row],[Me siento motivado a dar lo mejor de mí y hacer un buen trabajo]],#REF!,#REF!)</f>
        <v>#REF!</v>
      </c>
      <c r="J1151" t="s">
        <v>23</v>
      </c>
      <c r="K1151" t="e">
        <f>+_xlfn.XLOOKUP(tbl_encuesta[[#This Row],[Mi supervisor o jefe directo me otorga el soporte que necesito para afrontar cualquier problema que afecte mi trabajo]],#REF!,#REF!)</f>
        <v>#REF!</v>
      </c>
      <c r="L1151" t="s">
        <v>23</v>
      </c>
      <c r="M1151" t="e">
        <f>+_xlfn.XLOOKUP(tbl_encuesta[[#This Row],[Mi supervisor o jefe directo fomenta que nos apoyemos entre todos en el equipo]],#REF!,#REF!)</f>
        <v>#REF!</v>
      </c>
      <c r="N1151" t="s">
        <v>22</v>
      </c>
      <c r="O1151" t="e">
        <f>+_xlfn.XLOOKUP(tbl_encuesta[[#This Row],[Siento que mi trabajo es reconocido por mi supervisor o jefe directo.]],#REF!,#REF!)</f>
        <v>#REF!</v>
      </c>
      <c r="P1151" t="s">
        <v>67</v>
      </c>
      <c r="Q1151" t="e">
        <f xml:space="preserve">
_xlfn.XLOOKUP(
tbl_encuesta[[#This Row],[Mi supervisor o jefe directo nos brinda charlas de 5 minutos y comunica las novedades relevantes a mi puesto de trabajo]],#REF!,#REF!
)</f>
        <v>#REF!</v>
      </c>
      <c r="R1151" t="s">
        <v>17</v>
      </c>
      <c r="S1151" t="s">
        <v>18</v>
      </c>
      <c r="W1151" t="s">
        <v>25</v>
      </c>
      <c r="X1151" t="s">
        <v>23</v>
      </c>
      <c r="Y1151" t="e">
        <f>+_xlfn.XLOOKUP(tbl_encuesta[[#This Row],[Considero a Limtek como un buen lugar para trabajar]],#REF!,#REF!)</f>
        <v>#REF!</v>
      </c>
      <c r="Z1151" t="s">
        <v>437</v>
      </c>
      <c r="AA1151" t="s">
        <v>1155</v>
      </c>
      <c r="AB1151" t="s">
        <v>28</v>
      </c>
      <c r="AC1151" s="3" t="s">
        <v>3716</v>
      </c>
      <c r="AD1151" s="3" t="s">
        <v>3716</v>
      </c>
      <c r="AE1151" t="s">
        <v>29</v>
      </c>
    </row>
    <row r="1152" spans="1:31" x14ac:dyDescent="0.25">
      <c r="A1152">
        <v>119025892735</v>
      </c>
      <c r="B1152">
        <v>462598545</v>
      </c>
      <c r="C1152" s="1">
        <v>46014.785219907404</v>
      </c>
      <c r="D1152" s="1">
        <v>46014.796099537038</v>
      </c>
      <c r="E1152" t="s">
        <v>2873</v>
      </c>
      <c r="F1152" t="s">
        <v>23</v>
      </c>
      <c r="G1152" t="e">
        <f>+_xlfn.XLOOKUP(tbl_encuesta[[#This Row],[Me siento a gusto con el ambiente de trabajo que se genera en mi equipo.]],#REF!,#REF!)</f>
        <v>#REF!</v>
      </c>
      <c r="H1152" t="s">
        <v>23</v>
      </c>
      <c r="I1152" t="e">
        <f>+_xlfn.XLOOKUP(tbl_encuesta[[#This Row],[Me siento motivado a dar lo mejor de mí y hacer un buen trabajo]],#REF!,#REF!)</f>
        <v>#REF!</v>
      </c>
      <c r="J1152" t="s">
        <v>23</v>
      </c>
      <c r="K1152" t="e">
        <f>+_xlfn.XLOOKUP(tbl_encuesta[[#This Row],[Mi supervisor o jefe directo me otorga el soporte que necesito para afrontar cualquier problema que afecte mi trabajo]],#REF!,#REF!)</f>
        <v>#REF!</v>
      </c>
      <c r="L1152" t="s">
        <v>23</v>
      </c>
      <c r="M1152" t="e">
        <f>+_xlfn.XLOOKUP(tbl_encuesta[[#This Row],[Mi supervisor o jefe directo fomenta que nos apoyemos entre todos en el equipo]],#REF!,#REF!)</f>
        <v>#REF!</v>
      </c>
      <c r="N1152" t="s">
        <v>23</v>
      </c>
      <c r="O1152" t="e">
        <f>+_xlfn.XLOOKUP(tbl_encuesta[[#This Row],[Siento que mi trabajo es reconocido por mi supervisor o jefe directo.]],#REF!,#REF!)</f>
        <v>#REF!</v>
      </c>
      <c r="P1152" t="s">
        <v>31</v>
      </c>
      <c r="Q1152" t="e">
        <f xml:space="preserve">
_xlfn.XLOOKUP(
tbl_encuesta[[#This Row],[Mi supervisor o jefe directo nos brinda charlas de 5 minutos y comunica las novedades relevantes a mi puesto de trabajo]],#REF!,#REF!
)</f>
        <v>#REF!</v>
      </c>
      <c r="R1152" t="s">
        <v>17</v>
      </c>
      <c r="W1152" t="s">
        <v>25</v>
      </c>
      <c r="X1152" t="s">
        <v>23</v>
      </c>
      <c r="Y1152" t="e">
        <f>+_xlfn.XLOOKUP(tbl_encuesta[[#This Row],[Considero a Limtek como un buen lugar para trabajar]],#REF!,#REF!)</f>
        <v>#REF!</v>
      </c>
      <c r="Z1152" t="s">
        <v>2874</v>
      </c>
      <c r="AA1152" t="s">
        <v>2875</v>
      </c>
      <c r="AB1152" t="s">
        <v>28</v>
      </c>
      <c r="AC1152" s="3" t="s">
        <v>3705</v>
      </c>
      <c r="AD1152" s="3" t="s">
        <v>3712</v>
      </c>
      <c r="AE1152" t="s">
        <v>34</v>
      </c>
    </row>
    <row r="1153" spans="1:31" x14ac:dyDescent="0.25">
      <c r="A1153">
        <v>119025891122</v>
      </c>
      <c r="B1153">
        <v>462598545</v>
      </c>
      <c r="C1153" s="1">
        <v>46014.788344907407</v>
      </c>
      <c r="D1153" s="1">
        <v>46014.792824074073</v>
      </c>
      <c r="E1153" t="s">
        <v>2876</v>
      </c>
      <c r="F1153" t="s">
        <v>23</v>
      </c>
      <c r="G1153" t="e">
        <f>+_xlfn.XLOOKUP(tbl_encuesta[[#This Row],[Me siento a gusto con el ambiente de trabajo que se genera en mi equipo.]],#REF!,#REF!)</f>
        <v>#REF!</v>
      </c>
      <c r="H1153" t="s">
        <v>23</v>
      </c>
      <c r="I1153" t="e">
        <f>+_xlfn.XLOOKUP(tbl_encuesta[[#This Row],[Me siento motivado a dar lo mejor de mí y hacer un buen trabajo]],#REF!,#REF!)</f>
        <v>#REF!</v>
      </c>
      <c r="J1153" t="s">
        <v>23</v>
      </c>
      <c r="K1153" t="e">
        <f>+_xlfn.XLOOKUP(tbl_encuesta[[#This Row],[Mi supervisor o jefe directo me otorga el soporte que necesito para afrontar cualquier problema que afecte mi trabajo]],#REF!,#REF!)</f>
        <v>#REF!</v>
      </c>
      <c r="L1153" t="s">
        <v>23</v>
      </c>
      <c r="M1153" t="e">
        <f>+_xlfn.XLOOKUP(tbl_encuesta[[#This Row],[Mi supervisor o jefe directo fomenta que nos apoyemos entre todos en el equipo]],#REF!,#REF!)</f>
        <v>#REF!</v>
      </c>
      <c r="N1153" t="s">
        <v>23</v>
      </c>
      <c r="O1153" t="e">
        <f>+_xlfn.XLOOKUP(tbl_encuesta[[#This Row],[Siento que mi trabajo es reconocido por mi supervisor o jefe directo.]],#REF!,#REF!)</f>
        <v>#REF!</v>
      </c>
      <c r="P1153" t="s">
        <v>31</v>
      </c>
      <c r="Q1153" t="e">
        <f xml:space="preserve">
_xlfn.XLOOKUP(
tbl_encuesta[[#This Row],[Mi supervisor o jefe directo nos brinda charlas de 5 minutos y comunica las novedades relevantes a mi puesto de trabajo]],#REF!,#REF!
)</f>
        <v>#REF!</v>
      </c>
      <c r="R1153" t="s">
        <v>17</v>
      </c>
      <c r="U1153" t="s">
        <v>20</v>
      </c>
      <c r="W1153" t="s">
        <v>25</v>
      </c>
      <c r="X1153" t="s">
        <v>23</v>
      </c>
      <c r="Y1153" t="e">
        <f>+_xlfn.XLOOKUP(tbl_encuesta[[#This Row],[Considero a Limtek como un buen lugar para trabajar]],#REF!,#REF!)</f>
        <v>#REF!</v>
      </c>
      <c r="Z1153" t="s">
        <v>2877</v>
      </c>
      <c r="AA1153" t="s">
        <v>2536</v>
      </c>
      <c r="AB1153" t="s">
        <v>28</v>
      </c>
      <c r="AC1153" s="3" t="s">
        <v>3705</v>
      </c>
      <c r="AD1153" s="3" t="s">
        <v>3713</v>
      </c>
      <c r="AE1153" t="s">
        <v>34</v>
      </c>
    </row>
    <row r="1154" spans="1:31" x14ac:dyDescent="0.25">
      <c r="A1154">
        <v>119025888932</v>
      </c>
      <c r="B1154">
        <v>462598545</v>
      </c>
      <c r="C1154" s="1">
        <v>46014.77685185185</v>
      </c>
      <c r="D1154" s="1">
        <v>46014.788194444445</v>
      </c>
      <c r="E1154" t="s">
        <v>2878</v>
      </c>
      <c r="F1154" t="s">
        <v>23</v>
      </c>
      <c r="G1154" t="e">
        <f>+_xlfn.XLOOKUP(tbl_encuesta[[#This Row],[Me siento a gusto con el ambiente de trabajo que se genera en mi equipo.]],#REF!,#REF!)</f>
        <v>#REF!</v>
      </c>
      <c r="H1154" t="s">
        <v>23</v>
      </c>
      <c r="I1154" t="e">
        <f>+_xlfn.XLOOKUP(tbl_encuesta[[#This Row],[Me siento motivado a dar lo mejor de mí y hacer un buen trabajo]],#REF!,#REF!)</f>
        <v>#REF!</v>
      </c>
      <c r="J1154" t="s">
        <v>23</v>
      </c>
      <c r="K1154" t="e">
        <f>+_xlfn.XLOOKUP(tbl_encuesta[[#This Row],[Mi supervisor o jefe directo me otorga el soporte que necesito para afrontar cualquier problema que afecte mi trabajo]],#REF!,#REF!)</f>
        <v>#REF!</v>
      </c>
      <c r="L1154" t="s">
        <v>23</v>
      </c>
      <c r="M1154" t="e">
        <f>+_xlfn.XLOOKUP(tbl_encuesta[[#This Row],[Mi supervisor o jefe directo fomenta que nos apoyemos entre todos en el equipo]],#REF!,#REF!)</f>
        <v>#REF!</v>
      </c>
      <c r="N1154" t="s">
        <v>23</v>
      </c>
      <c r="O1154" t="e">
        <f>+_xlfn.XLOOKUP(tbl_encuesta[[#This Row],[Siento que mi trabajo es reconocido por mi supervisor o jefe directo.]],#REF!,#REF!)</f>
        <v>#REF!</v>
      </c>
      <c r="P1154" t="s">
        <v>67</v>
      </c>
      <c r="Q1154" t="e">
        <f xml:space="preserve">
_xlfn.XLOOKUP(
tbl_encuesta[[#This Row],[Mi supervisor o jefe directo nos brinda charlas de 5 minutos y comunica las novedades relevantes a mi puesto de trabajo]],#REF!,#REF!
)</f>
        <v>#REF!</v>
      </c>
      <c r="S1154" t="s">
        <v>18</v>
      </c>
      <c r="T1154" t="s">
        <v>19</v>
      </c>
      <c r="W1154" t="s">
        <v>25</v>
      </c>
      <c r="X1154" t="s">
        <v>23</v>
      </c>
      <c r="Y1154" t="e">
        <f>+_xlfn.XLOOKUP(tbl_encuesta[[#This Row],[Considero a Limtek como un buen lugar para trabajar]],#REF!,#REF!)</f>
        <v>#REF!</v>
      </c>
      <c r="Z1154" t="s">
        <v>2879</v>
      </c>
      <c r="AA1154" t="s">
        <v>122</v>
      </c>
      <c r="AB1154" t="s">
        <v>28</v>
      </c>
      <c r="AC1154" s="3" t="s">
        <v>3705</v>
      </c>
      <c r="AD1154" s="3" t="s">
        <v>3712</v>
      </c>
      <c r="AE1154" t="s">
        <v>34</v>
      </c>
    </row>
    <row r="1155" spans="1:31" x14ac:dyDescent="0.25">
      <c r="A1155">
        <v>119025888755</v>
      </c>
      <c r="B1155">
        <v>462598545</v>
      </c>
      <c r="C1155" s="1">
        <v>46014.782314814816</v>
      </c>
      <c r="D1155" s="1">
        <v>46014.787800925929</v>
      </c>
      <c r="E1155" t="s">
        <v>2880</v>
      </c>
      <c r="F1155" t="s">
        <v>23</v>
      </c>
      <c r="G1155" t="e">
        <f>+_xlfn.XLOOKUP(tbl_encuesta[[#This Row],[Me siento a gusto con el ambiente de trabajo que se genera en mi equipo.]],#REF!,#REF!)</f>
        <v>#REF!</v>
      </c>
      <c r="H1155" t="s">
        <v>23</v>
      </c>
      <c r="I1155" t="e">
        <f>+_xlfn.XLOOKUP(tbl_encuesta[[#This Row],[Me siento motivado a dar lo mejor de mí y hacer un buen trabajo]],#REF!,#REF!)</f>
        <v>#REF!</v>
      </c>
      <c r="J1155" t="s">
        <v>23</v>
      </c>
      <c r="K1155" t="e">
        <f>+_xlfn.XLOOKUP(tbl_encuesta[[#This Row],[Mi supervisor o jefe directo me otorga el soporte que necesito para afrontar cualquier problema que afecte mi trabajo]],#REF!,#REF!)</f>
        <v>#REF!</v>
      </c>
      <c r="L1155" t="s">
        <v>23</v>
      </c>
      <c r="M1155" t="e">
        <f>+_xlfn.XLOOKUP(tbl_encuesta[[#This Row],[Mi supervisor o jefe directo fomenta que nos apoyemos entre todos en el equipo]],#REF!,#REF!)</f>
        <v>#REF!</v>
      </c>
      <c r="N1155" t="s">
        <v>23</v>
      </c>
      <c r="O1155" t="e">
        <f>+_xlfn.XLOOKUP(tbl_encuesta[[#This Row],[Siento que mi trabajo es reconocido por mi supervisor o jefe directo.]],#REF!,#REF!)</f>
        <v>#REF!</v>
      </c>
      <c r="P1155" t="s">
        <v>31</v>
      </c>
      <c r="Q1155" t="e">
        <f xml:space="preserve">
_xlfn.XLOOKUP(
tbl_encuesta[[#This Row],[Mi supervisor o jefe directo nos brinda charlas de 5 minutos y comunica las novedades relevantes a mi puesto de trabajo]],#REF!,#REF!
)</f>
        <v>#REF!</v>
      </c>
      <c r="R1155" t="s">
        <v>17</v>
      </c>
      <c r="W1155" t="s">
        <v>25</v>
      </c>
      <c r="X1155" t="s">
        <v>23</v>
      </c>
      <c r="Y1155" t="e">
        <f>+_xlfn.XLOOKUP(tbl_encuesta[[#This Row],[Considero a Limtek como un buen lugar para trabajar]],#REF!,#REF!)</f>
        <v>#REF!</v>
      </c>
      <c r="Z1155" t="s">
        <v>2881</v>
      </c>
      <c r="AA1155" t="s">
        <v>2882</v>
      </c>
      <c r="AB1155" t="s">
        <v>28</v>
      </c>
      <c r="AC1155" s="3" t="s">
        <v>3716</v>
      </c>
      <c r="AD1155" s="3" t="s">
        <v>3721</v>
      </c>
      <c r="AE1155" t="s">
        <v>29</v>
      </c>
    </row>
    <row r="1156" spans="1:31" x14ac:dyDescent="0.25">
      <c r="A1156">
        <v>119025882674</v>
      </c>
      <c r="B1156">
        <v>462598545</v>
      </c>
      <c r="C1156" s="1">
        <v>46014.771365740744</v>
      </c>
      <c r="D1156" s="1">
        <v>46014.773784722223</v>
      </c>
      <c r="E1156" t="s">
        <v>2883</v>
      </c>
      <c r="F1156" t="s">
        <v>23</v>
      </c>
      <c r="G1156" t="e">
        <f>+_xlfn.XLOOKUP(tbl_encuesta[[#This Row],[Me siento a gusto con el ambiente de trabajo que se genera en mi equipo.]],#REF!,#REF!)</f>
        <v>#REF!</v>
      </c>
      <c r="H1156" t="s">
        <v>23</v>
      </c>
      <c r="I1156" t="e">
        <f>+_xlfn.XLOOKUP(tbl_encuesta[[#This Row],[Me siento motivado a dar lo mejor de mí y hacer un buen trabajo]],#REF!,#REF!)</f>
        <v>#REF!</v>
      </c>
      <c r="J1156" t="s">
        <v>23</v>
      </c>
      <c r="K1156" t="e">
        <f>+_xlfn.XLOOKUP(tbl_encuesta[[#This Row],[Mi supervisor o jefe directo me otorga el soporte que necesito para afrontar cualquier problema que afecte mi trabajo]],#REF!,#REF!)</f>
        <v>#REF!</v>
      </c>
      <c r="L1156" t="s">
        <v>23</v>
      </c>
      <c r="M1156" t="e">
        <f>+_xlfn.XLOOKUP(tbl_encuesta[[#This Row],[Mi supervisor o jefe directo fomenta que nos apoyemos entre todos en el equipo]],#REF!,#REF!)</f>
        <v>#REF!</v>
      </c>
      <c r="N1156" t="s">
        <v>23</v>
      </c>
      <c r="O1156" t="e">
        <f>+_xlfn.XLOOKUP(tbl_encuesta[[#This Row],[Siento que mi trabajo es reconocido por mi supervisor o jefe directo.]],#REF!,#REF!)</f>
        <v>#REF!</v>
      </c>
      <c r="P1156" t="s">
        <v>31</v>
      </c>
      <c r="Q1156" t="e">
        <f xml:space="preserve">
_xlfn.XLOOKUP(
tbl_encuesta[[#This Row],[Mi supervisor o jefe directo nos brinda charlas de 5 minutos y comunica las novedades relevantes a mi puesto de trabajo]],#REF!,#REF!
)</f>
        <v>#REF!</v>
      </c>
      <c r="S1156" t="s">
        <v>18</v>
      </c>
      <c r="T1156" t="s">
        <v>19</v>
      </c>
      <c r="W1156" t="s">
        <v>46</v>
      </c>
      <c r="X1156" t="s">
        <v>23</v>
      </c>
      <c r="Y1156" t="e">
        <f>+_xlfn.XLOOKUP(tbl_encuesta[[#This Row],[Considero a Limtek como un buen lugar para trabajar]],#REF!,#REF!)</f>
        <v>#REF!</v>
      </c>
      <c r="Z1156" t="s">
        <v>1505</v>
      </c>
      <c r="AA1156" t="s">
        <v>122</v>
      </c>
      <c r="AB1156" t="s">
        <v>38</v>
      </c>
      <c r="AC1156" t="s">
        <v>3610</v>
      </c>
      <c r="AD1156" t="s">
        <v>3610</v>
      </c>
      <c r="AE1156" t="s">
        <v>61</v>
      </c>
    </row>
    <row r="1157" spans="1:31" x14ac:dyDescent="0.25">
      <c r="A1157">
        <v>119025882667</v>
      </c>
      <c r="B1157">
        <v>462598545</v>
      </c>
      <c r="C1157" s="1">
        <v>46014.766192129631</v>
      </c>
      <c r="D1157" s="1">
        <v>46014.773773148147</v>
      </c>
      <c r="E1157" t="s">
        <v>2884</v>
      </c>
      <c r="F1157" t="s">
        <v>23</v>
      </c>
      <c r="G1157" t="e">
        <f>+_xlfn.XLOOKUP(tbl_encuesta[[#This Row],[Me siento a gusto con el ambiente de trabajo que se genera en mi equipo.]],#REF!,#REF!)</f>
        <v>#REF!</v>
      </c>
      <c r="H1157" t="s">
        <v>23</v>
      </c>
      <c r="I1157" t="e">
        <f>+_xlfn.XLOOKUP(tbl_encuesta[[#This Row],[Me siento motivado a dar lo mejor de mí y hacer un buen trabajo]],#REF!,#REF!)</f>
        <v>#REF!</v>
      </c>
      <c r="J1157" t="s">
        <v>23</v>
      </c>
      <c r="K1157" t="e">
        <f>+_xlfn.XLOOKUP(tbl_encuesta[[#This Row],[Mi supervisor o jefe directo me otorga el soporte que necesito para afrontar cualquier problema que afecte mi trabajo]],#REF!,#REF!)</f>
        <v>#REF!</v>
      </c>
      <c r="L1157" t="s">
        <v>23</v>
      </c>
      <c r="M1157" t="e">
        <f>+_xlfn.XLOOKUP(tbl_encuesta[[#This Row],[Mi supervisor o jefe directo fomenta que nos apoyemos entre todos en el equipo]],#REF!,#REF!)</f>
        <v>#REF!</v>
      </c>
      <c r="N1157" t="s">
        <v>23</v>
      </c>
      <c r="O1157" t="e">
        <f>+_xlfn.XLOOKUP(tbl_encuesta[[#This Row],[Siento que mi trabajo es reconocido por mi supervisor o jefe directo.]],#REF!,#REF!)</f>
        <v>#REF!</v>
      </c>
      <c r="P1157" t="s">
        <v>31</v>
      </c>
      <c r="Q1157" t="e">
        <f xml:space="preserve">
_xlfn.XLOOKUP(
tbl_encuesta[[#This Row],[Mi supervisor o jefe directo nos brinda charlas de 5 minutos y comunica las novedades relevantes a mi puesto de trabajo]],#REF!,#REF!
)</f>
        <v>#REF!</v>
      </c>
      <c r="R1157" t="s">
        <v>17</v>
      </c>
      <c r="S1157" t="s">
        <v>18</v>
      </c>
      <c r="W1157" t="s">
        <v>25</v>
      </c>
      <c r="X1157" t="s">
        <v>23</v>
      </c>
      <c r="Y1157" t="e">
        <f>+_xlfn.XLOOKUP(tbl_encuesta[[#This Row],[Considero a Limtek como un buen lugar para trabajar]],#REF!,#REF!)</f>
        <v>#REF!</v>
      </c>
      <c r="Z1157" t="s">
        <v>2885</v>
      </c>
      <c r="AA1157" t="s">
        <v>2886</v>
      </c>
      <c r="AB1157" t="s">
        <v>28</v>
      </c>
      <c r="AC1157" s="3" t="s">
        <v>3598</v>
      </c>
      <c r="AD1157" s="3" t="s">
        <v>3604</v>
      </c>
      <c r="AE1157" t="s">
        <v>34</v>
      </c>
    </row>
    <row r="1158" spans="1:31" x14ac:dyDescent="0.25">
      <c r="A1158">
        <v>119025881029</v>
      </c>
      <c r="B1158">
        <v>462598545</v>
      </c>
      <c r="C1158" s="1">
        <v>46014.766817129632</v>
      </c>
      <c r="D1158" s="1">
        <v>46014.770405092589</v>
      </c>
      <c r="E1158" t="s">
        <v>2887</v>
      </c>
      <c r="F1158" t="s">
        <v>22</v>
      </c>
      <c r="G1158" t="e">
        <f>+_xlfn.XLOOKUP(tbl_encuesta[[#This Row],[Me siento a gusto con el ambiente de trabajo que se genera en mi equipo.]],#REF!,#REF!)</f>
        <v>#REF!</v>
      </c>
      <c r="H1158" t="s">
        <v>23</v>
      </c>
      <c r="I1158" t="e">
        <f>+_xlfn.XLOOKUP(tbl_encuesta[[#This Row],[Me siento motivado a dar lo mejor de mí y hacer un buen trabajo]],#REF!,#REF!)</f>
        <v>#REF!</v>
      </c>
      <c r="J1158" t="s">
        <v>22</v>
      </c>
      <c r="K1158" t="e">
        <f>+_xlfn.XLOOKUP(tbl_encuesta[[#This Row],[Mi supervisor o jefe directo me otorga el soporte que necesito para afrontar cualquier problema que afecte mi trabajo]],#REF!,#REF!)</f>
        <v>#REF!</v>
      </c>
      <c r="L1158" t="s">
        <v>23</v>
      </c>
      <c r="M1158" t="e">
        <f>+_xlfn.XLOOKUP(tbl_encuesta[[#This Row],[Mi supervisor o jefe directo fomenta que nos apoyemos entre todos en el equipo]],#REF!,#REF!)</f>
        <v>#REF!</v>
      </c>
      <c r="N1158" t="s">
        <v>22</v>
      </c>
      <c r="O1158" t="e">
        <f>+_xlfn.XLOOKUP(tbl_encuesta[[#This Row],[Siento que mi trabajo es reconocido por mi supervisor o jefe directo.]],#REF!,#REF!)</f>
        <v>#REF!</v>
      </c>
      <c r="P1158" t="s">
        <v>31</v>
      </c>
      <c r="Q1158" t="e">
        <f xml:space="preserve">
_xlfn.XLOOKUP(
tbl_encuesta[[#This Row],[Mi supervisor o jefe directo nos brinda charlas de 5 minutos y comunica las novedades relevantes a mi puesto de trabajo]],#REF!,#REF!
)</f>
        <v>#REF!</v>
      </c>
      <c r="V1158" t="s">
        <v>2888</v>
      </c>
      <c r="W1158" t="s">
        <v>25</v>
      </c>
      <c r="X1158" t="s">
        <v>23</v>
      </c>
      <c r="Y1158" t="e">
        <f>+_xlfn.XLOOKUP(tbl_encuesta[[#This Row],[Considero a Limtek como un buen lugar para trabajar]],#REF!,#REF!)</f>
        <v>#REF!</v>
      </c>
      <c r="Z1158" t="s">
        <v>2889</v>
      </c>
      <c r="AA1158" t="s">
        <v>2890</v>
      </c>
      <c r="AB1158" t="s">
        <v>559</v>
      </c>
      <c r="AC1158" s="3" t="s">
        <v>3782</v>
      </c>
      <c r="AD1158" s="3" t="s">
        <v>559</v>
      </c>
      <c r="AE1158" t="s">
        <v>69</v>
      </c>
    </row>
    <row r="1159" spans="1:31" x14ac:dyDescent="0.25">
      <c r="A1159">
        <v>119025880124</v>
      </c>
      <c r="B1159">
        <v>462598545</v>
      </c>
      <c r="C1159" s="1">
        <v>46014.763958333337</v>
      </c>
      <c r="D1159" s="1">
        <v>46014.768310185187</v>
      </c>
      <c r="E1159" t="s">
        <v>2891</v>
      </c>
      <c r="F1159" t="s">
        <v>23</v>
      </c>
      <c r="G1159" t="e">
        <f>+_xlfn.XLOOKUP(tbl_encuesta[[#This Row],[Me siento a gusto con el ambiente de trabajo que se genera en mi equipo.]],#REF!,#REF!)</f>
        <v>#REF!</v>
      </c>
      <c r="H1159" t="s">
        <v>23</v>
      </c>
      <c r="I1159" t="e">
        <f>+_xlfn.XLOOKUP(tbl_encuesta[[#This Row],[Me siento motivado a dar lo mejor de mí y hacer un buen trabajo]],#REF!,#REF!)</f>
        <v>#REF!</v>
      </c>
      <c r="J1159" t="s">
        <v>23</v>
      </c>
      <c r="K1159" t="e">
        <f>+_xlfn.XLOOKUP(tbl_encuesta[[#This Row],[Mi supervisor o jefe directo me otorga el soporte que necesito para afrontar cualquier problema que afecte mi trabajo]],#REF!,#REF!)</f>
        <v>#REF!</v>
      </c>
      <c r="L1159" t="s">
        <v>23</v>
      </c>
      <c r="M1159" t="e">
        <f>+_xlfn.XLOOKUP(tbl_encuesta[[#This Row],[Mi supervisor o jefe directo fomenta que nos apoyemos entre todos en el equipo]],#REF!,#REF!)</f>
        <v>#REF!</v>
      </c>
      <c r="N1159" t="s">
        <v>23</v>
      </c>
      <c r="O1159" t="e">
        <f>+_xlfn.XLOOKUP(tbl_encuesta[[#This Row],[Siento que mi trabajo es reconocido por mi supervisor o jefe directo.]],#REF!,#REF!)</f>
        <v>#REF!</v>
      </c>
      <c r="P1159" t="s">
        <v>31</v>
      </c>
      <c r="Q1159" t="e">
        <f xml:space="preserve">
_xlfn.XLOOKUP(
tbl_encuesta[[#This Row],[Mi supervisor o jefe directo nos brinda charlas de 5 minutos y comunica las novedades relevantes a mi puesto de trabajo]],#REF!,#REF!
)</f>
        <v>#REF!</v>
      </c>
      <c r="S1159" t="s">
        <v>18</v>
      </c>
      <c r="T1159" t="s">
        <v>19</v>
      </c>
      <c r="W1159" t="s">
        <v>25</v>
      </c>
      <c r="X1159" t="s">
        <v>23</v>
      </c>
      <c r="Y1159" t="e">
        <f>+_xlfn.XLOOKUP(tbl_encuesta[[#This Row],[Considero a Limtek como un buen lugar para trabajar]],#REF!,#REF!)</f>
        <v>#REF!</v>
      </c>
      <c r="Z1159" t="s">
        <v>2892</v>
      </c>
      <c r="AA1159" t="s">
        <v>2893</v>
      </c>
      <c r="AB1159" t="s">
        <v>28</v>
      </c>
      <c r="AC1159" s="3" t="s">
        <v>3716</v>
      </c>
      <c r="AD1159" s="3" t="s">
        <v>3721</v>
      </c>
      <c r="AE1159" t="s">
        <v>29</v>
      </c>
    </row>
    <row r="1160" spans="1:31" x14ac:dyDescent="0.25">
      <c r="A1160">
        <v>119025878577</v>
      </c>
      <c r="B1160">
        <v>462598545</v>
      </c>
      <c r="C1160" s="1">
        <v>46014.761874999997</v>
      </c>
      <c r="D1160" s="1">
        <v>46014.76462962963</v>
      </c>
      <c r="E1160" t="s">
        <v>2894</v>
      </c>
      <c r="F1160" t="s">
        <v>23</v>
      </c>
      <c r="G1160" t="e">
        <f>+_xlfn.XLOOKUP(tbl_encuesta[[#This Row],[Me siento a gusto con el ambiente de trabajo que se genera en mi equipo.]],#REF!,#REF!)</f>
        <v>#REF!</v>
      </c>
      <c r="H1160" t="s">
        <v>23</v>
      </c>
      <c r="I1160" t="e">
        <f>+_xlfn.XLOOKUP(tbl_encuesta[[#This Row],[Me siento motivado a dar lo mejor de mí y hacer un buen trabajo]],#REF!,#REF!)</f>
        <v>#REF!</v>
      </c>
      <c r="J1160" t="s">
        <v>23</v>
      </c>
      <c r="K1160" t="e">
        <f>+_xlfn.XLOOKUP(tbl_encuesta[[#This Row],[Mi supervisor o jefe directo me otorga el soporte que necesito para afrontar cualquier problema que afecte mi trabajo]],#REF!,#REF!)</f>
        <v>#REF!</v>
      </c>
      <c r="L1160" t="s">
        <v>23</v>
      </c>
      <c r="M1160" t="e">
        <f>+_xlfn.XLOOKUP(tbl_encuesta[[#This Row],[Mi supervisor o jefe directo fomenta que nos apoyemos entre todos en el equipo]],#REF!,#REF!)</f>
        <v>#REF!</v>
      </c>
      <c r="N1160" t="s">
        <v>23</v>
      </c>
      <c r="O1160" t="e">
        <f>+_xlfn.XLOOKUP(tbl_encuesta[[#This Row],[Siento que mi trabajo es reconocido por mi supervisor o jefe directo.]],#REF!,#REF!)</f>
        <v>#REF!</v>
      </c>
      <c r="P1160" t="s">
        <v>31</v>
      </c>
      <c r="Q1160" t="e">
        <f xml:space="preserve">
_xlfn.XLOOKUP(
tbl_encuesta[[#This Row],[Mi supervisor o jefe directo nos brinda charlas de 5 minutos y comunica las novedades relevantes a mi puesto de trabajo]],#REF!,#REF!
)</f>
        <v>#REF!</v>
      </c>
      <c r="R1160" t="s">
        <v>17</v>
      </c>
      <c r="S1160" t="s">
        <v>18</v>
      </c>
      <c r="W1160" t="s">
        <v>25</v>
      </c>
      <c r="X1160" t="s">
        <v>23</v>
      </c>
      <c r="Y1160" t="e">
        <f>+_xlfn.XLOOKUP(tbl_encuesta[[#This Row],[Considero a Limtek como un buen lugar para trabajar]],#REF!,#REF!)</f>
        <v>#REF!</v>
      </c>
      <c r="Z1160" t="s">
        <v>2895</v>
      </c>
      <c r="AA1160" t="s">
        <v>2896</v>
      </c>
      <c r="AB1160" t="s">
        <v>28</v>
      </c>
      <c r="AC1160" s="3" t="s">
        <v>3716</v>
      </c>
      <c r="AD1160" s="3" t="s">
        <v>3721</v>
      </c>
      <c r="AE1160" t="s">
        <v>69</v>
      </c>
    </row>
    <row r="1161" spans="1:31" x14ac:dyDescent="0.25">
      <c r="A1161">
        <v>119025876861</v>
      </c>
      <c r="B1161">
        <v>462598545</v>
      </c>
      <c r="C1161" s="1">
        <v>46014.757141203707</v>
      </c>
      <c r="D1161" s="1">
        <v>46014.760578703703</v>
      </c>
      <c r="E1161" t="s">
        <v>2897</v>
      </c>
      <c r="F1161" t="s">
        <v>23</v>
      </c>
      <c r="G1161" t="e">
        <f>+_xlfn.XLOOKUP(tbl_encuesta[[#This Row],[Me siento a gusto con el ambiente de trabajo que se genera en mi equipo.]],#REF!,#REF!)</f>
        <v>#REF!</v>
      </c>
      <c r="H1161" t="s">
        <v>22</v>
      </c>
      <c r="I1161" t="e">
        <f>+_xlfn.XLOOKUP(tbl_encuesta[[#This Row],[Me siento motivado a dar lo mejor de mí y hacer un buen trabajo]],#REF!,#REF!)</f>
        <v>#REF!</v>
      </c>
      <c r="J1161" t="s">
        <v>23</v>
      </c>
      <c r="K1161" t="e">
        <f>+_xlfn.XLOOKUP(tbl_encuesta[[#This Row],[Mi supervisor o jefe directo me otorga el soporte que necesito para afrontar cualquier problema que afecte mi trabajo]],#REF!,#REF!)</f>
        <v>#REF!</v>
      </c>
      <c r="L1161" t="s">
        <v>23</v>
      </c>
      <c r="M1161" t="e">
        <f>+_xlfn.XLOOKUP(tbl_encuesta[[#This Row],[Mi supervisor o jefe directo fomenta que nos apoyemos entre todos en el equipo]],#REF!,#REF!)</f>
        <v>#REF!</v>
      </c>
      <c r="N1161" t="s">
        <v>23</v>
      </c>
      <c r="O1161" t="e">
        <f>+_xlfn.XLOOKUP(tbl_encuesta[[#This Row],[Siento que mi trabajo es reconocido por mi supervisor o jefe directo.]],#REF!,#REF!)</f>
        <v>#REF!</v>
      </c>
      <c r="P1161" t="s">
        <v>67</v>
      </c>
      <c r="Q1161" t="e">
        <f xml:space="preserve">
_xlfn.XLOOKUP(
tbl_encuesta[[#This Row],[Mi supervisor o jefe directo nos brinda charlas de 5 minutos y comunica las novedades relevantes a mi puesto de trabajo]],#REF!,#REF!
)</f>
        <v>#REF!</v>
      </c>
      <c r="R1161" t="s">
        <v>17</v>
      </c>
      <c r="S1161" t="s">
        <v>18</v>
      </c>
      <c r="W1161" t="s">
        <v>25</v>
      </c>
      <c r="X1161" t="s">
        <v>22</v>
      </c>
      <c r="Y1161" t="e">
        <f>+_xlfn.XLOOKUP(tbl_encuesta[[#This Row],[Considero a Limtek como un buen lugar para trabajar]],#REF!,#REF!)</f>
        <v>#REF!</v>
      </c>
      <c r="Z1161" t="s">
        <v>2898</v>
      </c>
      <c r="AA1161" t="s">
        <v>2899</v>
      </c>
      <c r="AB1161" t="s">
        <v>559</v>
      </c>
      <c r="AC1161" s="3" t="s">
        <v>3782</v>
      </c>
      <c r="AD1161" s="3" t="s">
        <v>559</v>
      </c>
      <c r="AE1161" t="s">
        <v>29</v>
      </c>
    </row>
    <row r="1162" spans="1:31" x14ac:dyDescent="0.25">
      <c r="A1162">
        <v>119025872223</v>
      </c>
      <c r="B1162">
        <v>462598545</v>
      </c>
      <c r="C1162" s="1">
        <v>46014.745810185188</v>
      </c>
      <c r="D1162" s="1">
        <v>46014.749178240738</v>
      </c>
      <c r="E1162" t="s">
        <v>2900</v>
      </c>
      <c r="F1162" t="s">
        <v>23</v>
      </c>
      <c r="G1162" t="e">
        <f>+_xlfn.XLOOKUP(tbl_encuesta[[#This Row],[Me siento a gusto con el ambiente de trabajo que se genera en mi equipo.]],#REF!,#REF!)</f>
        <v>#REF!</v>
      </c>
      <c r="H1162" t="s">
        <v>23</v>
      </c>
      <c r="I1162" t="e">
        <f>+_xlfn.XLOOKUP(tbl_encuesta[[#This Row],[Me siento motivado a dar lo mejor de mí y hacer un buen trabajo]],#REF!,#REF!)</f>
        <v>#REF!</v>
      </c>
      <c r="J1162" t="s">
        <v>23</v>
      </c>
      <c r="K1162" t="e">
        <f>+_xlfn.XLOOKUP(tbl_encuesta[[#This Row],[Mi supervisor o jefe directo me otorga el soporte que necesito para afrontar cualquier problema que afecte mi trabajo]],#REF!,#REF!)</f>
        <v>#REF!</v>
      </c>
      <c r="L1162" t="s">
        <v>23</v>
      </c>
      <c r="M1162" t="e">
        <f>+_xlfn.XLOOKUP(tbl_encuesta[[#This Row],[Mi supervisor o jefe directo fomenta que nos apoyemos entre todos en el equipo]],#REF!,#REF!)</f>
        <v>#REF!</v>
      </c>
      <c r="N1162" t="s">
        <v>23</v>
      </c>
      <c r="O1162" t="e">
        <f>+_xlfn.XLOOKUP(tbl_encuesta[[#This Row],[Siento que mi trabajo es reconocido por mi supervisor o jefe directo.]],#REF!,#REF!)</f>
        <v>#REF!</v>
      </c>
      <c r="P1162" t="s">
        <v>31</v>
      </c>
      <c r="Q1162" t="e">
        <f xml:space="preserve">
_xlfn.XLOOKUP(
tbl_encuesta[[#This Row],[Mi supervisor o jefe directo nos brinda charlas de 5 minutos y comunica las novedades relevantes a mi puesto de trabajo]],#REF!,#REF!
)</f>
        <v>#REF!</v>
      </c>
      <c r="S1162" t="s">
        <v>18</v>
      </c>
      <c r="U1162" t="s">
        <v>20</v>
      </c>
      <c r="W1162" t="s">
        <v>25</v>
      </c>
      <c r="X1162" t="s">
        <v>23</v>
      </c>
      <c r="Y1162" t="e">
        <f>+_xlfn.XLOOKUP(tbl_encuesta[[#This Row],[Considero a Limtek como un buen lugar para trabajar]],#REF!,#REF!)</f>
        <v>#REF!</v>
      </c>
      <c r="Z1162" t="s">
        <v>2901</v>
      </c>
      <c r="AA1162" t="s">
        <v>380</v>
      </c>
      <c r="AB1162" t="s">
        <v>38</v>
      </c>
      <c r="AC1162" t="s">
        <v>3744</v>
      </c>
      <c r="AD1162" t="s">
        <v>3744</v>
      </c>
      <c r="AE1162" t="s">
        <v>61</v>
      </c>
    </row>
    <row r="1163" spans="1:31" x14ac:dyDescent="0.25">
      <c r="A1163">
        <v>119025871575</v>
      </c>
      <c r="B1163">
        <v>462598545</v>
      </c>
      <c r="C1163" s="1">
        <v>46014.743831018517</v>
      </c>
      <c r="D1163" s="1">
        <v>46014.747662037036</v>
      </c>
      <c r="E1163" t="s">
        <v>2902</v>
      </c>
      <c r="F1163" t="s">
        <v>23</v>
      </c>
      <c r="G1163" t="e">
        <f>+_xlfn.XLOOKUP(tbl_encuesta[[#This Row],[Me siento a gusto con el ambiente de trabajo que se genera en mi equipo.]],#REF!,#REF!)</f>
        <v>#REF!</v>
      </c>
      <c r="H1163" t="s">
        <v>23</v>
      </c>
      <c r="I1163" t="e">
        <f>+_xlfn.XLOOKUP(tbl_encuesta[[#This Row],[Me siento motivado a dar lo mejor de mí y hacer un buen trabajo]],#REF!,#REF!)</f>
        <v>#REF!</v>
      </c>
      <c r="J1163" t="s">
        <v>23</v>
      </c>
      <c r="K1163" t="e">
        <f>+_xlfn.XLOOKUP(tbl_encuesta[[#This Row],[Mi supervisor o jefe directo me otorga el soporte que necesito para afrontar cualquier problema que afecte mi trabajo]],#REF!,#REF!)</f>
        <v>#REF!</v>
      </c>
      <c r="L1163" t="s">
        <v>23</v>
      </c>
      <c r="M1163" t="e">
        <f>+_xlfn.XLOOKUP(tbl_encuesta[[#This Row],[Mi supervisor o jefe directo fomenta que nos apoyemos entre todos en el equipo]],#REF!,#REF!)</f>
        <v>#REF!</v>
      </c>
      <c r="N1163" t="s">
        <v>23</v>
      </c>
      <c r="O1163" t="e">
        <f>+_xlfn.XLOOKUP(tbl_encuesta[[#This Row],[Siento que mi trabajo es reconocido por mi supervisor o jefe directo.]],#REF!,#REF!)</f>
        <v>#REF!</v>
      </c>
      <c r="P1163" t="s">
        <v>31</v>
      </c>
      <c r="Q1163" t="e">
        <f xml:space="preserve">
_xlfn.XLOOKUP(
tbl_encuesta[[#This Row],[Mi supervisor o jefe directo nos brinda charlas de 5 minutos y comunica las novedades relevantes a mi puesto de trabajo]],#REF!,#REF!
)</f>
        <v>#REF!</v>
      </c>
      <c r="R1163" t="s">
        <v>17</v>
      </c>
      <c r="S1163" t="s">
        <v>18</v>
      </c>
      <c r="W1163" t="s">
        <v>25</v>
      </c>
      <c r="X1163" t="s">
        <v>23</v>
      </c>
      <c r="Y1163" t="e">
        <f>+_xlfn.XLOOKUP(tbl_encuesta[[#This Row],[Considero a Limtek como un buen lugar para trabajar]],#REF!,#REF!)</f>
        <v>#REF!</v>
      </c>
      <c r="Z1163" t="s">
        <v>2903</v>
      </c>
      <c r="AA1163" t="s">
        <v>2904</v>
      </c>
      <c r="AB1163" t="s">
        <v>28</v>
      </c>
      <c r="AC1163" s="3" t="s">
        <v>3705</v>
      </c>
      <c r="AD1163" s="3" t="s">
        <v>3712</v>
      </c>
      <c r="AE1163" t="s">
        <v>69</v>
      </c>
    </row>
    <row r="1164" spans="1:31" x14ac:dyDescent="0.25">
      <c r="A1164">
        <v>119025870486</v>
      </c>
      <c r="B1164">
        <v>462598545</v>
      </c>
      <c r="C1164" s="1">
        <v>46014.742662037039</v>
      </c>
      <c r="D1164" s="1">
        <v>46014.744930555556</v>
      </c>
      <c r="E1164" t="s">
        <v>2905</v>
      </c>
      <c r="F1164" t="s">
        <v>23</v>
      </c>
      <c r="G1164" t="e">
        <f>+_xlfn.XLOOKUP(tbl_encuesta[[#This Row],[Me siento a gusto con el ambiente de trabajo que se genera en mi equipo.]],#REF!,#REF!)</f>
        <v>#REF!</v>
      </c>
      <c r="H1164" t="s">
        <v>23</v>
      </c>
      <c r="I1164" t="e">
        <f>+_xlfn.XLOOKUP(tbl_encuesta[[#This Row],[Me siento motivado a dar lo mejor de mí y hacer un buen trabajo]],#REF!,#REF!)</f>
        <v>#REF!</v>
      </c>
      <c r="J1164" t="s">
        <v>23</v>
      </c>
      <c r="K1164" t="e">
        <f>+_xlfn.XLOOKUP(tbl_encuesta[[#This Row],[Mi supervisor o jefe directo me otorga el soporte que necesito para afrontar cualquier problema que afecte mi trabajo]],#REF!,#REF!)</f>
        <v>#REF!</v>
      </c>
      <c r="L1164" t="s">
        <v>23</v>
      </c>
      <c r="M1164" t="e">
        <f>+_xlfn.XLOOKUP(tbl_encuesta[[#This Row],[Mi supervisor o jefe directo fomenta que nos apoyemos entre todos en el equipo]],#REF!,#REF!)</f>
        <v>#REF!</v>
      </c>
      <c r="N1164" t="s">
        <v>23</v>
      </c>
      <c r="O1164" t="e">
        <f>+_xlfn.XLOOKUP(tbl_encuesta[[#This Row],[Siento que mi trabajo es reconocido por mi supervisor o jefe directo.]],#REF!,#REF!)</f>
        <v>#REF!</v>
      </c>
      <c r="P1164" t="s">
        <v>31</v>
      </c>
      <c r="Q1164" t="e">
        <f xml:space="preserve">
_xlfn.XLOOKUP(
tbl_encuesta[[#This Row],[Mi supervisor o jefe directo nos brinda charlas de 5 minutos y comunica las novedades relevantes a mi puesto de trabajo]],#REF!,#REF!
)</f>
        <v>#REF!</v>
      </c>
      <c r="S1164" t="s">
        <v>18</v>
      </c>
      <c r="W1164" t="s">
        <v>25</v>
      </c>
      <c r="X1164" t="s">
        <v>23</v>
      </c>
      <c r="Y1164" t="e">
        <f>+_xlfn.XLOOKUP(tbl_encuesta[[#This Row],[Considero a Limtek como un buen lugar para trabajar]],#REF!,#REF!)</f>
        <v>#REF!</v>
      </c>
      <c r="Z1164" t="s">
        <v>2906</v>
      </c>
      <c r="AA1164" t="s">
        <v>2797</v>
      </c>
      <c r="AB1164" t="s">
        <v>28</v>
      </c>
      <c r="AC1164" s="3" t="s">
        <v>3705</v>
      </c>
      <c r="AD1164" s="3" t="s">
        <v>3712</v>
      </c>
      <c r="AE1164" t="s">
        <v>34</v>
      </c>
    </row>
    <row r="1165" spans="1:31" x14ac:dyDescent="0.25">
      <c r="A1165">
        <v>119025868898</v>
      </c>
      <c r="B1165">
        <v>462598545</v>
      </c>
      <c r="C1165" s="1">
        <v>46014.736932870372</v>
      </c>
      <c r="D1165" s="1">
        <v>46014.741365740738</v>
      </c>
      <c r="E1165" t="s">
        <v>2907</v>
      </c>
      <c r="F1165" t="s">
        <v>23</v>
      </c>
      <c r="G1165" t="e">
        <f>+_xlfn.XLOOKUP(tbl_encuesta[[#This Row],[Me siento a gusto con el ambiente de trabajo que se genera en mi equipo.]],#REF!,#REF!)</f>
        <v>#REF!</v>
      </c>
      <c r="H1165" t="s">
        <v>23</v>
      </c>
      <c r="I1165" t="e">
        <f>+_xlfn.XLOOKUP(tbl_encuesta[[#This Row],[Me siento motivado a dar lo mejor de mí y hacer un buen trabajo]],#REF!,#REF!)</f>
        <v>#REF!</v>
      </c>
      <c r="J1165" t="s">
        <v>23</v>
      </c>
      <c r="K1165" t="e">
        <f>+_xlfn.XLOOKUP(tbl_encuesta[[#This Row],[Mi supervisor o jefe directo me otorga el soporte que necesito para afrontar cualquier problema que afecte mi trabajo]],#REF!,#REF!)</f>
        <v>#REF!</v>
      </c>
      <c r="L1165" t="s">
        <v>23</v>
      </c>
      <c r="M1165" t="e">
        <f>+_xlfn.XLOOKUP(tbl_encuesta[[#This Row],[Mi supervisor o jefe directo fomenta que nos apoyemos entre todos en el equipo]],#REF!,#REF!)</f>
        <v>#REF!</v>
      </c>
      <c r="N1165" t="s">
        <v>23</v>
      </c>
      <c r="O1165" t="e">
        <f>+_xlfn.XLOOKUP(tbl_encuesta[[#This Row],[Siento que mi trabajo es reconocido por mi supervisor o jefe directo.]],#REF!,#REF!)</f>
        <v>#REF!</v>
      </c>
      <c r="P1165" t="s">
        <v>31</v>
      </c>
      <c r="Q1165" t="e">
        <f xml:space="preserve">
_xlfn.XLOOKUP(
tbl_encuesta[[#This Row],[Mi supervisor o jefe directo nos brinda charlas de 5 minutos y comunica las novedades relevantes a mi puesto de trabajo]],#REF!,#REF!
)</f>
        <v>#REF!</v>
      </c>
      <c r="R1165" t="s">
        <v>17</v>
      </c>
      <c r="W1165" t="s">
        <v>25</v>
      </c>
      <c r="X1165" t="s">
        <v>23</v>
      </c>
      <c r="Y1165" t="e">
        <f>+_xlfn.XLOOKUP(tbl_encuesta[[#This Row],[Considero a Limtek como un buen lugar para trabajar]],#REF!,#REF!)</f>
        <v>#REF!</v>
      </c>
      <c r="Z1165" t="s">
        <v>2908</v>
      </c>
      <c r="AA1165" t="s">
        <v>2909</v>
      </c>
      <c r="AB1165" t="s">
        <v>28</v>
      </c>
      <c r="AC1165" s="3" t="s">
        <v>3705</v>
      </c>
      <c r="AD1165" s="3" t="s">
        <v>3712</v>
      </c>
      <c r="AE1165" t="s">
        <v>34</v>
      </c>
    </row>
    <row r="1166" spans="1:31" x14ac:dyDescent="0.25">
      <c r="A1166">
        <v>119025868206</v>
      </c>
      <c r="B1166">
        <v>462598545</v>
      </c>
      <c r="C1166" s="1">
        <v>46014.735046296293</v>
      </c>
      <c r="D1166" s="1">
        <v>46014.73978009259</v>
      </c>
      <c r="E1166" t="s">
        <v>2910</v>
      </c>
      <c r="F1166" t="s">
        <v>23</v>
      </c>
      <c r="G1166" t="e">
        <f>+_xlfn.XLOOKUP(tbl_encuesta[[#This Row],[Me siento a gusto con el ambiente de trabajo que se genera en mi equipo.]],#REF!,#REF!)</f>
        <v>#REF!</v>
      </c>
      <c r="H1166" t="s">
        <v>23</v>
      </c>
      <c r="I1166" t="e">
        <f>+_xlfn.XLOOKUP(tbl_encuesta[[#This Row],[Me siento motivado a dar lo mejor de mí y hacer un buen trabajo]],#REF!,#REF!)</f>
        <v>#REF!</v>
      </c>
      <c r="J1166" t="s">
        <v>23</v>
      </c>
      <c r="K1166" t="e">
        <f>+_xlfn.XLOOKUP(tbl_encuesta[[#This Row],[Mi supervisor o jefe directo me otorga el soporte que necesito para afrontar cualquier problema que afecte mi trabajo]],#REF!,#REF!)</f>
        <v>#REF!</v>
      </c>
      <c r="L1166" t="s">
        <v>23</v>
      </c>
      <c r="M1166" t="e">
        <f>+_xlfn.XLOOKUP(tbl_encuesta[[#This Row],[Mi supervisor o jefe directo fomenta que nos apoyemos entre todos en el equipo]],#REF!,#REF!)</f>
        <v>#REF!</v>
      </c>
      <c r="N1166" t="s">
        <v>22</v>
      </c>
      <c r="O1166" t="e">
        <f>+_xlfn.XLOOKUP(tbl_encuesta[[#This Row],[Siento que mi trabajo es reconocido por mi supervisor o jefe directo.]],#REF!,#REF!)</f>
        <v>#REF!</v>
      </c>
      <c r="P1166" t="s">
        <v>31</v>
      </c>
      <c r="Q1166" t="e">
        <f xml:space="preserve">
_xlfn.XLOOKUP(
tbl_encuesta[[#This Row],[Mi supervisor o jefe directo nos brinda charlas de 5 minutos y comunica las novedades relevantes a mi puesto de trabajo]],#REF!,#REF!
)</f>
        <v>#REF!</v>
      </c>
      <c r="R1166" t="s">
        <v>17</v>
      </c>
      <c r="W1166" t="s">
        <v>25</v>
      </c>
      <c r="X1166" t="s">
        <v>23</v>
      </c>
      <c r="Y1166" t="e">
        <f>+_xlfn.XLOOKUP(tbl_encuesta[[#This Row],[Considero a Limtek como un buen lugar para trabajar]],#REF!,#REF!)</f>
        <v>#REF!</v>
      </c>
      <c r="Z1166" t="s">
        <v>2911</v>
      </c>
      <c r="AA1166" t="s">
        <v>2912</v>
      </c>
      <c r="AB1166" t="s">
        <v>28</v>
      </c>
      <c r="AC1166" s="3" t="s">
        <v>3716</v>
      </c>
      <c r="AD1166" s="3" t="s">
        <v>3721</v>
      </c>
      <c r="AE1166" t="s">
        <v>29</v>
      </c>
    </row>
    <row r="1167" spans="1:31" x14ac:dyDescent="0.25">
      <c r="A1167">
        <v>119025867937</v>
      </c>
      <c r="B1167">
        <v>462598545</v>
      </c>
      <c r="C1167" s="1">
        <v>46014.732222222221</v>
      </c>
      <c r="D1167" s="1">
        <v>46014.739224537036</v>
      </c>
      <c r="E1167" t="s">
        <v>2913</v>
      </c>
      <c r="F1167" t="s">
        <v>23</v>
      </c>
      <c r="G1167" t="e">
        <f>+_xlfn.XLOOKUP(tbl_encuesta[[#This Row],[Me siento a gusto con el ambiente de trabajo que se genera en mi equipo.]],#REF!,#REF!)</f>
        <v>#REF!</v>
      </c>
      <c r="H1167" t="s">
        <v>23</v>
      </c>
      <c r="I1167" t="e">
        <f>+_xlfn.XLOOKUP(tbl_encuesta[[#This Row],[Me siento motivado a dar lo mejor de mí y hacer un buen trabajo]],#REF!,#REF!)</f>
        <v>#REF!</v>
      </c>
      <c r="J1167" t="s">
        <v>23</v>
      </c>
      <c r="K1167" t="e">
        <f>+_xlfn.XLOOKUP(tbl_encuesta[[#This Row],[Mi supervisor o jefe directo me otorga el soporte que necesito para afrontar cualquier problema que afecte mi trabajo]],#REF!,#REF!)</f>
        <v>#REF!</v>
      </c>
      <c r="L1167" t="s">
        <v>23</v>
      </c>
      <c r="M1167" t="e">
        <f>+_xlfn.XLOOKUP(tbl_encuesta[[#This Row],[Mi supervisor o jefe directo fomenta que nos apoyemos entre todos en el equipo]],#REF!,#REF!)</f>
        <v>#REF!</v>
      </c>
      <c r="N1167" t="s">
        <v>43</v>
      </c>
      <c r="O1167" t="e">
        <f>+_xlfn.XLOOKUP(tbl_encuesta[[#This Row],[Siento que mi trabajo es reconocido por mi supervisor o jefe directo.]],#REF!,#REF!)</f>
        <v>#REF!</v>
      </c>
      <c r="P1167" t="s">
        <v>31</v>
      </c>
      <c r="Q1167" t="e">
        <f xml:space="preserve">
_xlfn.XLOOKUP(
tbl_encuesta[[#This Row],[Mi supervisor o jefe directo nos brinda charlas de 5 minutos y comunica las novedades relevantes a mi puesto de trabajo]],#REF!,#REF!
)</f>
        <v>#REF!</v>
      </c>
      <c r="S1167" t="s">
        <v>18</v>
      </c>
      <c r="W1167" t="s">
        <v>46</v>
      </c>
      <c r="X1167" t="s">
        <v>23</v>
      </c>
      <c r="Y1167" t="e">
        <f>+_xlfn.XLOOKUP(tbl_encuesta[[#This Row],[Considero a Limtek como un buen lugar para trabajar]],#REF!,#REF!)</f>
        <v>#REF!</v>
      </c>
      <c r="Z1167" t="s">
        <v>2914</v>
      </c>
      <c r="AA1167" t="s">
        <v>2915</v>
      </c>
      <c r="AB1167" t="s">
        <v>28</v>
      </c>
      <c r="AC1167" s="3" t="s">
        <v>3769</v>
      </c>
      <c r="AD1167" s="3" t="s">
        <v>3776</v>
      </c>
      <c r="AE1167" t="s">
        <v>34</v>
      </c>
    </row>
    <row r="1168" spans="1:31" x14ac:dyDescent="0.25">
      <c r="A1168">
        <v>119025867075</v>
      </c>
      <c r="B1168">
        <v>462598545</v>
      </c>
      <c r="C1168" s="1">
        <v>46014.733067129629</v>
      </c>
      <c r="D1168" s="1">
        <v>46014.737372685187</v>
      </c>
      <c r="E1168" t="s">
        <v>2916</v>
      </c>
      <c r="F1168" t="s">
        <v>23</v>
      </c>
      <c r="G1168" t="e">
        <f>+_xlfn.XLOOKUP(tbl_encuesta[[#This Row],[Me siento a gusto con el ambiente de trabajo que se genera en mi equipo.]],#REF!,#REF!)</f>
        <v>#REF!</v>
      </c>
      <c r="H1168" t="s">
        <v>23</v>
      </c>
      <c r="I1168" t="e">
        <f>+_xlfn.XLOOKUP(tbl_encuesta[[#This Row],[Me siento motivado a dar lo mejor de mí y hacer un buen trabajo]],#REF!,#REF!)</f>
        <v>#REF!</v>
      </c>
      <c r="J1168" t="s">
        <v>23</v>
      </c>
      <c r="K1168" t="e">
        <f>+_xlfn.XLOOKUP(tbl_encuesta[[#This Row],[Mi supervisor o jefe directo me otorga el soporte que necesito para afrontar cualquier problema que afecte mi trabajo]],#REF!,#REF!)</f>
        <v>#REF!</v>
      </c>
      <c r="L1168" t="s">
        <v>23</v>
      </c>
      <c r="M1168" t="e">
        <f>+_xlfn.XLOOKUP(tbl_encuesta[[#This Row],[Mi supervisor o jefe directo fomenta que nos apoyemos entre todos en el equipo]],#REF!,#REF!)</f>
        <v>#REF!</v>
      </c>
      <c r="N1168" t="s">
        <v>23</v>
      </c>
      <c r="O1168" t="e">
        <f>+_xlfn.XLOOKUP(tbl_encuesta[[#This Row],[Siento que mi trabajo es reconocido por mi supervisor o jefe directo.]],#REF!,#REF!)</f>
        <v>#REF!</v>
      </c>
      <c r="P1168" t="s">
        <v>31</v>
      </c>
      <c r="Q1168" t="e">
        <f xml:space="preserve">
_xlfn.XLOOKUP(
tbl_encuesta[[#This Row],[Mi supervisor o jefe directo nos brinda charlas de 5 minutos y comunica las novedades relevantes a mi puesto de trabajo]],#REF!,#REF!
)</f>
        <v>#REF!</v>
      </c>
      <c r="R1168" t="s">
        <v>17</v>
      </c>
      <c r="U1168" t="s">
        <v>20</v>
      </c>
      <c r="W1168" t="s">
        <v>25</v>
      </c>
      <c r="X1168" t="s">
        <v>23</v>
      </c>
      <c r="Y1168" t="e">
        <f>+_xlfn.XLOOKUP(tbl_encuesta[[#This Row],[Considero a Limtek como un buen lugar para trabajar]],#REF!,#REF!)</f>
        <v>#REF!</v>
      </c>
      <c r="Z1168" t="s">
        <v>2917</v>
      </c>
      <c r="AA1168" t="s">
        <v>2918</v>
      </c>
      <c r="AB1168" t="s">
        <v>38</v>
      </c>
      <c r="AC1168" s="3" t="s">
        <v>3809</v>
      </c>
      <c r="AD1168" s="3" t="s">
        <v>3809</v>
      </c>
      <c r="AE1168" t="s">
        <v>61</v>
      </c>
    </row>
    <row r="1169" spans="1:31" x14ac:dyDescent="0.25">
      <c r="A1169">
        <v>119025865056</v>
      </c>
      <c r="B1169">
        <v>462598545</v>
      </c>
      <c r="C1169" s="1">
        <v>46014.731053240743</v>
      </c>
      <c r="D1169" s="1">
        <v>46014.733171296299</v>
      </c>
      <c r="E1169" t="s">
        <v>2919</v>
      </c>
      <c r="F1169" t="s">
        <v>23</v>
      </c>
      <c r="G1169" t="e">
        <f>+_xlfn.XLOOKUP(tbl_encuesta[[#This Row],[Me siento a gusto con el ambiente de trabajo que se genera en mi equipo.]],#REF!,#REF!)</f>
        <v>#REF!</v>
      </c>
      <c r="H1169" t="s">
        <v>23</v>
      </c>
      <c r="I1169" t="e">
        <f>+_xlfn.XLOOKUP(tbl_encuesta[[#This Row],[Me siento motivado a dar lo mejor de mí y hacer un buen trabajo]],#REF!,#REF!)</f>
        <v>#REF!</v>
      </c>
      <c r="J1169" t="s">
        <v>23</v>
      </c>
      <c r="K1169" t="e">
        <f>+_xlfn.XLOOKUP(tbl_encuesta[[#This Row],[Mi supervisor o jefe directo me otorga el soporte que necesito para afrontar cualquier problema que afecte mi trabajo]],#REF!,#REF!)</f>
        <v>#REF!</v>
      </c>
      <c r="L1169" t="s">
        <v>23</v>
      </c>
      <c r="M1169" t="e">
        <f>+_xlfn.XLOOKUP(tbl_encuesta[[#This Row],[Mi supervisor o jefe directo fomenta que nos apoyemos entre todos en el equipo]],#REF!,#REF!)</f>
        <v>#REF!</v>
      </c>
      <c r="N1169" t="s">
        <v>22</v>
      </c>
      <c r="O1169" t="e">
        <f>+_xlfn.XLOOKUP(tbl_encuesta[[#This Row],[Siento que mi trabajo es reconocido por mi supervisor o jefe directo.]],#REF!,#REF!)</f>
        <v>#REF!</v>
      </c>
      <c r="P1169" t="s">
        <v>67</v>
      </c>
      <c r="Q1169" t="e">
        <f xml:space="preserve">
_xlfn.XLOOKUP(
tbl_encuesta[[#This Row],[Mi supervisor o jefe directo nos brinda charlas de 5 minutos y comunica las novedades relevantes a mi puesto de trabajo]],#REF!,#REF!
)</f>
        <v>#REF!</v>
      </c>
      <c r="S1169" t="s">
        <v>18</v>
      </c>
      <c r="T1169" t="s">
        <v>19</v>
      </c>
      <c r="W1169" t="s">
        <v>25</v>
      </c>
      <c r="X1169" t="s">
        <v>22</v>
      </c>
      <c r="Y1169" t="e">
        <f>+_xlfn.XLOOKUP(tbl_encuesta[[#This Row],[Considero a Limtek como un buen lugar para trabajar]],#REF!,#REF!)</f>
        <v>#REF!</v>
      </c>
      <c r="Z1169" t="s">
        <v>1614</v>
      </c>
      <c r="AA1169" t="s">
        <v>2920</v>
      </c>
      <c r="AB1169" t="s">
        <v>559</v>
      </c>
      <c r="AC1169" s="3" t="s">
        <v>3782</v>
      </c>
      <c r="AD1169" s="3" t="s">
        <v>559</v>
      </c>
      <c r="AE1169" t="s">
        <v>29</v>
      </c>
    </row>
    <row r="1170" spans="1:31" x14ac:dyDescent="0.25">
      <c r="A1170">
        <v>119025865018</v>
      </c>
      <c r="B1170">
        <v>462598545</v>
      </c>
      <c r="C1170" s="1">
        <v>46014.727152777778</v>
      </c>
      <c r="D1170" s="1">
        <v>46014.733113425929</v>
      </c>
      <c r="E1170" t="s">
        <v>2345</v>
      </c>
      <c r="F1170" t="s">
        <v>22</v>
      </c>
      <c r="G1170" t="e">
        <f>+_xlfn.XLOOKUP(tbl_encuesta[[#This Row],[Me siento a gusto con el ambiente de trabajo que se genera en mi equipo.]],#REF!,#REF!)</f>
        <v>#REF!</v>
      </c>
      <c r="H1170" t="s">
        <v>23</v>
      </c>
      <c r="I1170" t="e">
        <f>+_xlfn.XLOOKUP(tbl_encuesta[[#This Row],[Me siento motivado a dar lo mejor de mí y hacer un buen trabajo]],#REF!,#REF!)</f>
        <v>#REF!</v>
      </c>
      <c r="J1170" t="s">
        <v>97</v>
      </c>
      <c r="K1170" t="e">
        <f>+_xlfn.XLOOKUP(tbl_encuesta[[#This Row],[Mi supervisor o jefe directo me otorga el soporte que necesito para afrontar cualquier problema que afecte mi trabajo]],#REF!,#REF!)</f>
        <v>#REF!</v>
      </c>
      <c r="L1170" t="s">
        <v>23</v>
      </c>
      <c r="M1170" t="e">
        <f>+_xlfn.XLOOKUP(tbl_encuesta[[#This Row],[Mi supervisor o jefe directo fomenta que nos apoyemos entre todos en el equipo]],#REF!,#REF!)</f>
        <v>#REF!</v>
      </c>
      <c r="N1170" t="s">
        <v>43</v>
      </c>
      <c r="O1170" t="e">
        <f>+_xlfn.XLOOKUP(tbl_encuesta[[#This Row],[Siento que mi trabajo es reconocido por mi supervisor o jefe directo.]],#REF!,#REF!)</f>
        <v>#REF!</v>
      </c>
      <c r="P1170" t="s">
        <v>24</v>
      </c>
      <c r="Q1170" t="e">
        <f xml:space="preserve">
_xlfn.XLOOKUP(
tbl_encuesta[[#This Row],[Mi supervisor o jefe directo nos brinda charlas de 5 minutos y comunica las novedades relevantes a mi puesto de trabajo]],#REF!,#REF!
)</f>
        <v>#REF!</v>
      </c>
      <c r="R1170" t="s">
        <v>17</v>
      </c>
      <c r="W1170" t="s">
        <v>25</v>
      </c>
      <c r="X1170" t="s">
        <v>23</v>
      </c>
      <c r="Y1170" t="e">
        <f>+_xlfn.XLOOKUP(tbl_encuesta[[#This Row],[Considero a Limtek como un buen lugar para trabajar]],#REF!,#REF!)</f>
        <v>#REF!</v>
      </c>
      <c r="Z1170" t="s">
        <v>2921</v>
      </c>
      <c r="AA1170" t="s">
        <v>2922</v>
      </c>
      <c r="AB1170" t="s">
        <v>28</v>
      </c>
      <c r="AC1170" s="3" t="s">
        <v>3598</v>
      </c>
      <c r="AD1170" s="3" t="s">
        <v>3605</v>
      </c>
      <c r="AE1170" t="s">
        <v>34</v>
      </c>
    </row>
    <row r="1171" spans="1:31" x14ac:dyDescent="0.25">
      <c r="A1171">
        <v>119025864441</v>
      </c>
      <c r="B1171">
        <v>462598545</v>
      </c>
      <c r="C1171" s="1">
        <v>46014.724664351852</v>
      </c>
      <c r="D1171" s="1">
        <v>46014.731886574074</v>
      </c>
      <c r="E1171" t="s">
        <v>2923</v>
      </c>
      <c r="F1171" t="s">
        <v>23</v>
      </c>
      <c r="G1171" t="e">
        <f>+_xlfn.XLOOKUP(tbl_encuesta[[#This Row],[Me siento a gusto con el ambiente de trabajo que se genera en mi equipo.]],#REF!,#REF!)</f>
        <v>#REF!</v>
      </c>
      <c r="H1171" t="s">
        <v>22</v>
      </c>
      <c r="I1171" t="e">
        <f>+_xlfn.XLOOKUP(tbl_encuesta[[#This Row],[Me siento motivado a dar lo mejor de mí y hacer un buen trabajo]],#REF!,#REF!)</f>
        <v>#REF!</v>
      </c>
      <c r="J1171" t="s">
        <v>23</v>
      </c>
      <c r="K1171" t="e">
        <f>+_xlfn.XLOOKUP(tbl_encuesta[[#This Row],[Mi supervisor o jefe directo me otorga el soporte que necesito para afrontar cualquier problema que afecte mi trabajo]],#REF!,#REF!)</f>
        <v>#REF!</v>
      </c>
      <c r="L1171" t="s">
        <v>23</v>
      </c>
      <c r="M1171" t="e">
        <f>+_xlfn.XLOOKUP(tbl_encuesta[[#This Row],[Mi supervisor o jefe directo fomenta que nos apoyemos entre todos en el equipo]],#REF!,#REF!)</f>
        <v>#REF!</v>
      </c>
      <c r="N1171" t="s">
        <v>23</v>
      </c>
      <c r="O1171" t="e">
        <f>+_xlfn.XLOOKUP(tbl_encuesta[[#This Row],[Siento que mi trabajo es reconocido por mi supervisor o jefe directo.]],#REF!,#REF!)</f>
        <v>#REF!</v>
      </c>
      <c r="P1171" t="s">
        <v>31</v>
      </c>
      <c r="Q1171" t="e">
        <f xml:space="preserve">
_xlfn.XLOOKUP(
tbl_encuesta[[#This Row],[Mi supervisor o jefe directo nos brinda charlas de 5 minutos y comunica las novedades relevantes a mi puesto de trabajo]],#REF!,#REF!
)</f>
        <v>#REF!</v>
      </c>
      <c r="R1171" t="s">
        <v>17</v>
      </c>
      <c r="S1171" t="s">
        <v>18</v>
      </c>
      <c r="W1171" t="s">
        <v>25</v>
      </c>
      <c r="X1171" t="s">
        <v>22</v>
      </c>
      <c r="Y1171" t="e">
        <f>+_xlfn.XLOOKUP(tbl_encuesta[[#This Row],[Considero a Limtek como un buen lugar para trabajar]],#REF!,#REF!)</f>
        <v>#REF!</v>
      </c>
      <c r="Z1171" t="s">
        <v>2924</v>
      </c>
      <c r="AA1171" t="s">
        <v>2925</v>
      </c>
      <c r="AB1171" t="s">
        <v>559</v>
      </c>
      <c r="AC1171" s="3" t="s">
        <v>3782</v>
      </c>
      <c r="AD1171" s="3" t="s">
        <v>559</v>
      </c>
      <c r="AE1171" t="s">
        <v>29</v>
      </c>
    </row>
    <row r="1172" spans="1:31" x14ac:dyDescent="0.25">
      <c r="A1172">
        <v>119025863019</v>
      </c>
      <c r="B1172">
        <v>462598545</v>
      </c>
      <c r="C1172" s="1">
        <v>46014.723587962966</v>
      </c>
      <c r="D1172" s="1">
        <v>46014.728738425925</v>
      </c>
      <c r="E1172" t="s">
        <v>2926</v>
      </c>
      <c r="F1172" t="s">
        <v>23</v>
      </c>
      <c r="G1172" t="e">
        <f>+_xlfn.XLOOKUP(tbl_encuesta[[#This Row],[Me siento a gusto con el ambiente de trabajo que se genera en mi equipo.]],#REF!,#REF!)</f>
        <v>#REF!</v>
      </c>
      <c r="H1172" t="s">
        <v>23</v>
      </c>
      <c r="I1172" t="e">
        <f>+_xlfn.XLOOKUP(tbl_encuesta[[#This Row],[Me siento motivado a dar lo mejor de mí y hacer un buen trabajo]],#REF!,#REF!)</f>
        <v>#REF!</v>
      </c>
      <c r="J1172" t="s">
        <v>22</v>
      </c>
      <c r="K1172" t="e">
        <f>+_xlfn.XLOOKUP(tbl_encuesta[[#This Row],[Mi supervisor o jefe directo me otorga el soporte que necesito para afrontar cualquier problema que afecte mi trabajo]],#REF!,#REF!)</f>
        <v>#REF!</v>
      </c>
      <c r="L1172" t="s">
        <v>23</v>
      </c>
      <c r="M1172" t="e">
        <f>+_xlfn.XLOOKUP(tbl_encuesta[[#This Row],[Mi supervisor o jefe directo fomenta que nos apoyemos entre todos en el equipo]],#REF!,#REF!)</f>
        <v>#REF!</v>
      </c>
      <c r="N1172" t="s">
        <v>22</v>
      </c>
      <c r="O1172" t="e">
        <f>+_xlfn.XLOOKUP(tbl_encuesta[[#This Row],[Siento que mi trabajo es reconocido por mi supervisor o jefe directo.]],#REF!,#REF!)</f>
        <v>#REF!</v>
      </c>
      <c r="P1172" t="s">
        <v>31</v>
      </c>
      <c r="Q1172" t="e">
        <f xml:space="preserve">
_xlfn.XLOOKUP(
tbl_encuesta[[#This Row],[Mi supervisor o jefe directo nos brinda charlas de 5 minutos y comunica las novedades relevantes a mi puesto de trabajo]],#REF!,#REF!
)</f>
        <v>#REF!</v>
      </c>
      <c r="R1172" t="s">
        <v>17</v>
      </c>
      <c r="S1172" t="s">
        <v>18</v>
      </c>
      <c r="W1172" t="s">
        <v>25</v>
      </c>
      <c r="X1172" t="s">
        <v>22</v>
      </c>
      <c r="Y1172" t="e">
        <f>+_xlfn.XLOOKUP(tbl_encuesta[[#This Row],[Considero a Limtek como un buen lugar para trabajar]],#REF!,#REF!)</f>
        <v>#REF!</v>
      </c>
      <c r="Z1172" t="s">
        <v>2927</v>
      </c>
      <c r="AA1172" t="s">
        <v>2928</v>
      </c>
      <c r="AB1172" t="s">
        <v>28</v>
      </c>
      <c r="AC1172" s="3" t="s">
        <v>3716</v>
      </c>
      <c r="AD1172" s="3" t="s">
        <v>3721</v>
      </c>
      <c r="AE1172" t="s">
        <v>29</v>
      </c>
    </row>
    <row r="1173" spans="1:31" x14ac:dyDescent="0.25">
      <c r="A1173">
        <v>119025861661</v>
      </c>
      <c r="B1173">
        <v>462598545</v>
      </c>
      <c r="C1173" s="1">
        <v>46014.72351851852</v>
      </c>
      <c r="D1173" s="1">
        <v>46014.725868055553</v>
      </c>
      <c r="E1173" t="s">
        <v>2929</v>
      </c>
      <c r="F1173" t="s">
        <v>22</v>
      </c>
      <c r="G1173" t="e">
        <f>+_xlfn.XLOOKUP(tbl_encuesta[[#This Row],[Me siento a gusto con el ambiente de trabajo que se genera en mi equipo.]],#REF!,#REF!)</f>
        <v>#REF!</v>
      </c>
      <c r="H1173" t="s">
        <v>23</v>
      </c>
      <c r="I1173" t="e">
        <f>+_xlfn.XLOOKUP(tbl_encuesta[[#This Row],[Me siento motivado a dar lo mejor de mí y hacer un buen trabajo]],#REF!,#REF!)</f>
        <v>#REF!</v>
      </c>
      <c r="J1173" t="s">
        <v>97</v>
      </c>
      <c r="K1173" t="e">
        <f>+_xlfn.XLOOKUP(tbl_encuesta[[#This Row],[Mi supervisor o jefe directo me otorga el soporte que necesito para afrontar cualquier problema que afecte mi trabajo]],#REF!,#REF!)</f>
        <v>#REF!</v>
      </c>
      <c r="L1173" t="s">
        <v>22</v>
      </c>
      <c r="M1173" t="e">
        <f>+_xlfn.XLOOKUP(tbl_encuesta[[#This Row],[Mi supervisor o jefe directo fomenta que nos apoyemos entre todos en el equipo]],#REF!,#REF!)</f>
        <v>#REF!</v>
      </c>
      <c r="N1173" t="s">
        <v>43</v>
      </c>
      <c r="O1173" t="e">
        <f>+_xlfn.XLOOKUP(tbl_encuesta[[#This Row],[Siento que mi trabajo es reconocido por mi supervisor o jefe directo.]],#REF!,#REF!)</f>
        <v>#REF!</v>
      </c>
      <c r="P1173" t="s">
        <v>175</v>
      </c>
      <c r="Q1173" t="e">
        <f xml:space="preserve">
_xlfn.XLOOKUP(
tbl_encuesta[[#This Row],[Mi supervisor o jefe directo nos brinda charlas de 5 minutos y comunica las novedades relevantes a mi puesto de trabajo]],#REF!,#REF!
)</f>
        <v>#REF!</v>
      </c>
      <c r="R1173" t="s">
        <v>17</v>
      </c>
      <c r="S1173" t="s">
        <v>18</v>
      </c>
      <c r="W1173" t="s">
        <v>25</v>
      </c>
      <c r="X1173" t="s">
        <v>22</v>
      </c>
      <c r="Y1173" t="e">
        <f>+_xlfn.XLOOKUP(tbl_encuesta[[#This Row],[Considero a Limtek como un buen lugar para trabajar]],#REF!,#REF!)</f>
        <v>#REF!</v>
      </c>
      <c r="Z1173" t="s">
        <v>1483</v>
      </c>
      <c r="AA1173" t="s">
        <v>2930</v>
      </c>
      <c r="AB1173" t="s">
        <v>28</v>
      </c>
      <c r="AC1173" t="s">
        <v>3598</v>
      </c>
      <c r="AD1173" s="3" t="s">
        <v>3605</v>
      </c>
      <c r="AE1173" t="s">
        <v>29</v>
      </c>
    </row>
    <row r="1174" spans="1:31" x14ac:dyDescent="0.25">
      <c r="A1174">
        <v>119025861561</v>
      </c>
      <c r="B1174">
        <v>462598545</v>
      </c>
      <c r="C1174" s="1">
        <v>46014.723981481482</v>
      </c>
      <c r="D1174" s="1">
        <v>46014.725648148145</v>
      </c>
      <c r="E1174" t="s">
        <v>2493</v>
      </c>
      <c r="F1174" t="s">
        <v>23</v>
      </c>
      <c r="G1174" t="e">
        <f>+_xlfn.XLOOKUP(tbl_encuesta[[#This Row],[Me siento a gusto con el ambiente de trabajo que se genera en mi equipo.]],#REF!,#REF!)</f>
        <v>#REF!</v>
      </c>
      <c r="H1174" t="s">
        <v>23</v>
      </c>
      <c r="I1174" t="e">
        <f>+_xlfn.XLOOKUP(tbl_encuesta[[#This Row],[Me siento motivado a dar lo mejor de mí y hacer un buen trabajo]],#REF!,#REF!)</f>
        <v>#REF!</v>
      </c>
      <c r="J1174" t="s">
        <v>23</v>
      </c>
      <c r="K1174" t="e">
        <f>+_xlfn.XLOOKUP(tbl_encuesta[[#This Row],[Mi supervisor o jefe directo me otorga el soporte que necesito para afrontar cualquier problema que afecte mi trabajo]],#REF!,#REF!)</f>
        <v>#REF!</v>
      </c>
      <c r="L1174" t="s">
        <v>23</v>
      </c>
      <c r="M1174" t="e">
        <f>+_xlfn.XLOOKUP(tbl_encuesta[[#This Row],[Mi supervisor o jefe directo fomenta que nos apoyemos entre todos en el equipo]],#REF!,#REF!)</f>
        <v>#REF!</v>
      </c>
      <c r="N1174" t="s">
        <v>23</v>
      </c>
      <c r="O1174" t="e">
        <f>+_xlfn.XLOOKUP(tbl_encuesta[[#This Row],[Siento que mi trabajo es reconocido por mi supervisor o jefe directo.]],#REF!,#REF!)</f>
        <v>#REF!</v>
      </c>
      <c r="P1174" t="s">
        <v>31</v>
      </c>
      <c r="Q1174" t="e">
        <f xml:space="preserve">
_xlfn.XLOOKUP(
tbl_encuesta[[#This Row],[Mi supervisor o jefe directo nos brinda charlas de 5 minutos y comunica las novedades relevantes a mi puesto de trabajo]],#REF!,#REF!
)</f>
        <v>#REF!</v>
      </c>
      <c r="R1174" t="s">
        <v>17</v>
      </c>
      <c r="S1174" t="s">
        <v>18</v>
      </c>
      <c r="W1174" t="s">
        <v>25</v>
      </c>
      <c r="X1174" t="s">
        <v>23</v>
      </c>
      <c r="Y1174" t="e">
        <f>+_xlfn.XLOOKUP(tbl_encuesta[[#This Row],[Considero a Limtek como un buen lugar para trabajar]],#REF!,#REF!)</f>
        <v>#REF!</v>
      </c>
      <c r="Z1174" t="s">
        <v>1048</v>
      </c>
      <c r="AA1174" t="s">
        <v>2931</v>
      </c>
      <c r="AB1174" t="s">
        <v>28</v>
      </c>
      <c r="AC1174" s="3" t="s">
        <v>3705</v>
      </c>
      <c r="AD1174" s="3" t="s">
        <v>3705</v>
      </c>
      <c r="AE1174" t="s">
        <v>29</v>
      </c>
    </row>
    <row r="1175" spans="1:31" x14ac:dyDescent="0.25">
      <c r="A1175">
        <v>119025860791</v>
      </c>
      <c r="B1175">
        <v>462598545</v>
      </c>
      <c r="C1175" s="1">
        <v>46014.720381944448</v>
      </c>
      <c r="D1175" s="1">
        <v>46014.724004629628</v>
      </c>
      <c r="E1175" t="s">
        <v>2932</v>
      </c>
      <c r="F1175" t="s">
        <v>23</v>
      </c>
      <c r="G1175" t="e">
        <f>+_xlfn.XLOOKUP(tbl_encuesta[[#This Row],[Me siento a gusto con el ambiente de trabajo que se genera en mi equipo.]],#REF!,#REF!)</f>
        <v>#REF!</v>
      </c>
      <c r="H1175" t="s">
        <v>23</v>
      </c>
      <c r="I1175" t="e">
        <f>+_xlfn.XLOOKUP(tbl_encuesta[[#This Row],[Me siento motivado a dar lo mejor de mí y hacer un buen trabajo]],#REF!,#REF!)</f>
        <v>#REF!</v>
      </c>
      <c r="J1175" t="s">
        <v>23</v>
      </c>
      <c r="K1175" t="e">
        <f>+_xlfn.XLOOKUP(tbl_encuesta[[#This Row],[Mi supervisor o jefe directo me otorga el soporte que necesito para afrontar cualquier problema que afecte mi trabajo]],#REF!,#REF!)</f>
        <v>#REF!</v>
      </c>
      <c r="L1175" t="s">
        <v>23</v>
      </c>
      <c r="M1175" t="e">
        <f>+_xlfn.XLOOKUP(tbl_encuesta[[#This Row],[Mi supervisor o jefe directo fomenta que nos apoyemos entre todos en el equipo]],#REF!,#REF!)</f>
        <v>#REF!</v>
      </c>
      <c r="N1175" t="s">
        <v>23</v>
      </c>
      <c r="O1175" t="e">
        <f>+_xlfn.XLOOKUP(tbl_encuesta[[#This Row],[Siento que mi trabajo es reconocido por mi supervisor o jefe directo.]],#REF!,#REF!)</f>
        <v>#REF!</v>
      </c>
      <c r="P1175" t="s">
        <v>67</v>
      </c>
      <c r="Q1175" t="e">
        <f xml:space="preserve">
_xlfn.XLOOKUP(
tbl_encuesta[[#This Row],[Mi supervisor o jefe directo nos brinda charlas de 5 minutos y comunica las novedades relevantes a mi puesto de trabajo]],#REF!,#REF!
)</f>
        <v>#REF!</v>
      </c>
      <c r="R1175" t="s">
        <v>17</v>
      </c>
      <c r="W1175" t="s">
        <v>25</v>
      </c>
      <c r="X1175" t="s">
        <v>23</v>
      </c>
      <c r="Y1175" t="e">
        <f>+_xlfn.XLOOKUP(tbl_encuesta[[#This Row],[Considero a Limtek como un buen lugar para trabajar]],#REF!,#REF!)</f>
        <v>#REF!</v>
      </c>
      <c r="Z1175" t="s">
        <v>2933</v>
      </c>
      <c r="AA1175" t="s">
        <v>122</v>
      </c>
      <c r="AB1175" t="s">
        <v>28</v>
      </c>
      <c r="AC1175" s="3" t="s">
        <v>3716</v>
      </c>
      <c r="AD1175" s="3" t="s">
        <v>3720</v>
      </c>
      <c r="AE1175" t="s">
        <v>29</v>
      </c>
    </row>
    <row r="1176" spans="1:31" x14ac:dyDescent="0.25">
      <c r="A1176">
        <v>119025859963</v>
      </c>
      <c r="B1176">
        <v>462598545</v>
      </c>
      <c r="C1176" s="1">
        <v>46014.719178240739</v>
      </c>
      <c r="D1176" s="1">
        <v>46014.722326388888</v>
      </c>
      <c r="E1176" t="s">
        <v>2934</v>
      </c>
      <c r="F1176" t="s">
        <v>23</v>
      </c>
      <c r="G1176" t="e">
        <f>+_xlfn.XLOOKUP(tbl_encuesta[[#This Row],[Me siento a gusto con el ambiente de trabajo que se genera en mi equipo.]],#REF!,#REF!)</f>
        <v>#REF!</v>
      </c>
      <c r="H1176" t="s">
        <v>23</v>
      </c>
      <c r="I1176" t="e">
        <f>+_xlfn.XLOOKUP(tbl_encuesta[[#This Row],[Me siento motivado a dar lo mejor de mí y hacer un buen trabajo]],#REF!,#REF!)</f>
        <v>#REF!</v>
      </c>
      <c r="J1176" t="s">
        <v>23</v>
      </c>
      <c r="K1176" t="e">
        <f>+_xlfn.XLOOKUP(tbl_encuesta[[#This Row],[Mi supervisor o jefe directo me otorga el soporte que necesito para afrontar cualquier problema que afecte mi trabajo]],#REF!,#REF!)</f>
        <v>#REF!</v>
      </c>
      <c r="L1176" t="s">
        <v>23</v>
      </c>
      <c r="M1176" t="e">
        <f>+_xlfn.XLOOKUP(tbl_encuesta[[#This Row],[Mi supervisor o jefe directo fomenta que nos apoyemos entre todos en el equipo]],#REF!,#REF!)</f>
        <v>#REF!</v>
      </c>
      <c r="N1176" t="s">
        <v>23</v>
      </c>
      <c r="O1176" t="e">
        <f>+_xlfn.XLOOKUP(tbl_encuesta[[#This Row],[Siento que mi trabajo es reconocido por mi supervisor o jefe directo.]],#REF!,#REF!)</f>
        <v>#REF!</v>
      </c>
      <c r="P1176" t="s">
        <v>31</v>
      </c>
      <c r="Q1176" t="e">
        <f xml:space="preserve">
_xlfn.XLOOKUP(
tbl_encuesta[[#This Row],[Mi supervisor o jefe directo nos brinda charlas de 5 minutos y comunica las novedades relevantes a mi puesto de trabajo]],#REF!,#REF!
)</f>
        <v>#REF!</v>
      </c>
      <c r="R1176" t="s">
        <v>17</v>
      </c>
      <c r="W1176" t="s">
        <v>25</v>
      </c>
      <c r="X1176" t="s">
        <v>23</v>
      </c>
      <c r="Y1176" t="e">
        <f>+_xlfn.XLOOKUP(tbl_encuesta[[#This Row],[Considero a Limtek como un buen lugar para trabajar]],#REF!,#REF!)</f>
        <v>#REF!</v>
      </c>
      <c r="Z1176" t="s">
        <v>958</v>
      </c>
      <c r="AA1176" t="s">
        <v>2935</v>
      </c>
      <c r="AB1176" t="s">
        <v>28</v>
      </c>
      <c r="AC1176" s="3" t="s">
        <v>3705</v>
      </c>
      <c r="AD1176" s="3" t="s">
        <v>3712</v>
      </c>
      <c r="AE1176" t="s">
        <v>29</v>
      </c>
    </row>
    <row r="1177" spans="1:31" x14ac:dyDescent="0.25">
      <c r="A1177">
        <v>119025858999</v>
      </c>
      <c r="B1177">
        <v>462598545</v>
      </c>
      <c r="C1177" s="1">
        <v>46014.717928240738</v>
      </c>
      <c r="D1177" s="1">
        <v>46014.720289351855</v>
      </c>
      <c r="E1177" t="s">
        <v>2936</v>
      </c>
      <c r="F1177" t="s">
        <v>22</v>
      </c>
      <c r="G1177" t="e">
        <f>+_xlfn.XLOOKUP(tbl_encuesta[[#This Row],[Me siento a gusto con el ambiente de trabajo que se genera en mi equipo.]],#REF!,#REF!)</f>
        <v>#REF!</v>
      </c>
      <c r="H1177" t="s">
        <v>22</v>
      </c>
      <c r="I1177" t="e">
        <f>+_xlfn.XLOOKUP(tbl_encuesta[[#This Row],[Me siento motivado a dar lo mejor de mí y hacer un buen trabajo]],#REF!,#REF!)</f>
        <v>#REF!</v>
      </c>
      <c r="J1177" t="s">
        <v>22</v>
      </c>
      <c r="K1177" t="e">
        <f>+_xlfn.XLOOKUP(tbl_encuesta[[#This Row],[Mi supervisor o jefe directo me otorga el soporte que necesito para afrontar cualquier problema que afecte mi trabajo]],#REF!,#REF!)</f>
        <v>#REF!</v>
      </c>
      <c r="L1177" t="s">
        <v>23</v>
      </c>
      <c r="M1177" t="e">
        <f>+_xlfn.XLOOKUP(tbl_encuesta[[#This Row],[Mi supervisor o jefe directo fomenta que nos apoyemos entre todos en el equipo]],#REF!,#REF!)</f>
        <v>#REF!</v>
      </c>
      <c r="N1177" t="s">
        <v>22</v>
      </c>
      <c r="O1177" t="e">
        <f>+_xlfn.XLOOKUP(tbl_encuesta[[#This Row],[Siento que mi trabajo es reconocido por mi supervisor o jefe directo.]],#REF!,#REF!)</f>
        <v>#REF!</v>
      </c>
      <c r="P1177" t="s">
        <v>67</v>
      </c>
      <c r="Q1177" t="e">
        <f xml:space="preserve">
_xlfn.XLOOKUP(
tbl_encuesta[[#This Row],[Mi supervisor o jefe directo nos brinda charlas de 5 minutos y comunica las novedades relevantes a mi puesto de trabajo]],#REF!,#REF!
)</f>
        <v>#REF!</v>
      </c>
      <c r="R1177" t="s">
        <v>17</v>
      </c>
      <c r="T1177" t="s">
        <v>19</v>
      </c>
      <c r="W1177" t="s">
        <v>25</v>
      </c>
      <c r="X1177" t="s">
        <v>22</v>
      </c>
      <c r="Y1177" t="e">
        <f>+_xlfn.XLOOKUP(tbl_encuesta[[#This Row],[Considero a Limtek como un buen lugar para trabajar]],#REF!,#REF!)</f>
        <v>#REF!</v>
      </c>
      <c r="Z1177" t="s">
        <v>145</v>
      </c>
      <c r="AA1177" t="s">
        <v>2937</v>
      </c>
      <c r="AB1177" t="s">
        <v>28</v>
      </c>
      <c r="AC1177" t="s">
        <v>3598</v>
      </c>
      <c r="AD1177" s="3" t="s">
        <v>3604</v>
      </c>
      <c r="AE1177" t="s">
        <v>29</v>
      </c>
    </row>
    <row r="1178" spans="1:31" x14ac:dyDescent="0.25">
      <c r="A1178">
        <v>119025857964</v>
      </c>
      <c r="B1178">
        <v>462598545</v>
      </c>
      <c r="C1178" s="1">
        <v>46014.709432870368</v>
      </c>
      <c r="D1178" s="1">
        <v>46014.71802083333</v>
      </c>
      <c r="E1178" t="s">
        <v>2493</v>
      </c>
      <c r="F1178" t="s">
        <v>22</v>
      </c>
      <c r="G1178" t="e">
        <f>+_xlfn.XLOOKUP(tbl_encuesta[[#This Row],[Me siento a gusto con el ambiente de trabajo que se genera en mi equipo.]],#REF!,#REF!)</f>
        <v>#REF!</v>
      </c>
      <c r="H1178" t="s">
        <v>23</v>
      </c>
      <c r="I1178" t="e">
        <f>+_xlfn.XLOOKUP(tbl_encuesta[[#This Row],[Me siento motivado a dar lo mejor de mí y hacer un buen trabajo]],#REF!,#REF!)</f>
        <v>#REF!</v>
      </c>
      <c r="J1178" t="s">
        <v>22</v>
      </c>
      <c r="K1178" t="e">
        <f>+_xlfn.XLOOKUP(tbl_encuesta[[#This Row],[Mi supervisor o jefe directo me otorga el soporte que necesito para afrontar cualquier problema que afecte mi trabajo]],#REF!,#REF!)</f>
        <v>#REF!</v>
      </c>
      <c r="L1178" t="s">
        <v>22</v>
      </c>
      <c r="M1178" t="e">
        <f>+_xlfn.XLOOKUP(tbl_encuesta[[#This Row],[Mi supervisor o jefe directo fomenta que nos apoyemos entre todos en el equipo]],#REF!,#REF!)</f>
        <v>#REF!</v>
      </c>
      <c r="N1178" t="s">
        <v>22</v>
      </c>
      <c r="O1178" t="e">
        <f>+_xlfn.XLOOKUP(tbl_encuesta[[#This Row],[Siento que mi trabajo es reconocido por mi supervisor o jefe directo.]],#REF!,#REF!)</f>
        <v>#REF!</v>
      </c>
      <c r="P1178" t="s">
        <v>67</v>
      </c>
      <c r="Q1178" t="e">
        <f xml:space="preserve">
_xlfn.XLOOKUP(
tbl_encuesta[[#This Row],[Mi supervisor o jefe directo nos brinda charlas de 5 minutos y comunica las novedades relevantes a mi puesto de trabajo]],#REF!,#REF!
)</f>
        <v>#REF!</v>
      </c>
      <c r="R1178" t="s">
        <v>17</v>
      </c>
      <c r="W1178" t="s">
        <v>25</v>
      </c>
      <c r="X1178" t="s">
        <v>23</v>
      </c>
      <c r="Y1178" t="e">
        <f>+_xlfn.XLOOKUP(tbl_encuesta[[#This Row],[Considero a Limtek como un buen lugar para trabajar]],#REF!,#REF!)</f>
        <v>#REF!</v>
      </c>
      <c r="Z1178" t="s">
        <v>2938</v>
      </c>
      <c r="AA1178" t="s">
        <v>2939</v>
      </c>
      <c r="AB1178" t="s">
        <v>28</v>
      </c>
      <c r="AC1178" s="3" t="s">
        <v>3705</v>
      </c>
      <c r="AD1178" s="3" t="s">
        <v>3712</v>
      </c>
      <c r="AE1178" t="s">
        <v>34</v>
      </c>
    </row>
    <row r="1179" spans="1:31" x14ac:dyDescent="0.25">
      <c r="A1179">
        <v>119025857619</v>
      </c>
      <c r="B1179">
        <v>462598545</v>
      </c>
      <c r="C1179" s="1">
        <v>46014.710879629631</v>
      </c>
      <c r="D1179" s="1">
        <v>46014.717280092591</v>
      </c>
      <c r="E1179" t="s">
        <v>2940</v>
      </c>
      <c r="F1179" t="s">
        <v>23</v>
      </c>
      <c r="G1179" t="e">
        <f>+_xlfn.XLOOKUP(tbl_encuesta[[#This Row],[Me siento a gusto con el ambiente de trabajo que se genera en mi equipo.]],#REF!,#REF!)</f>
        <v>#REF!</v>
      </c>
      <c r="H1179" t="s">
        <v>23</v>
      </c>
      <c r="I1179" t="e">
        <f>+_xlfn.XLOOKUP(tbl_encuesta[[#This Row],[Me siento motivado a dar lo mejor de mí y hacer un buen trabajo]],#REF!,#REF!)</f>
        <v>#REF!</v>
      </c>
      <c r="J1179" t="s">
        <v>23</v>
      </c>
      <c r="K1179" t="e">
        <f>+_xlfn.XLOOKUP(tbl_encuesta[[#This Row],[Mi supervisor o jefe directo me otorga el soporte que necesito para afrontar cualquier problema que afecte mi trabajo]],#REF!,#REF!)</f>
        <v>#REF!</v>
      </c>
      <c r="L1179" t="s">
        <v>23</v>
      </c>
      <c r="M1179" t="e">
        <f>+_xlfn.XLOOKUP(tbl_encuesta[[#This Row],[Mi supervisor o jefe directo fomenta que nos apoyemos entre todos en el equipo]],#REF!,#REF!)</f>
        <v>#REF!</v>
      </c>
      <c r="N1179" t="s">
        <v>23</v>
      </c>
      <c r="O1179" t="e">
        <f>+_xlfn.XLOOKUP(tbl_encuesta[[#This Row],[Siento que mi trabajo es reconocido por mi supervisor o jefe directo.]],#REF!,#REF!)</f>
        <v>#REF!</v>
      </c>
      <c r="P1179" t="s">
        <v>31</v>
      </c>
      <c r="Q1179" t="e">
        <f xml:space="preserve">
_xlfn.XLOOKUP(
tbl_encuesta[[#This Row],[Mi supervisor o jefe directo nos brinda charlas de 5 minutos y comunica las novedades relevantes a mi puesto de trabajo]],#REF!,#REF!
)</f>
        <v>#REF!</v>
      </c>
      <c r="S1179" t="s">
        <v>18</v>
      </c>
      <c r="W1179" t="s">
        <v>25</v>
      </c>
      <c r="X1179" t="s">
        <v>23</v>
      </c>
      <c r="Y1179" t="e">
        <f>+_xlfn.XLOOKUP(tbl_encuesta[[#This Row],[Considero a Limtek como un buen lugar para trabajar]],#REF!,#REF!)</f>
        <v>#REF!</v>
      </c>
      <c r="Z1179" t="s">
        <v>1944</v>
      </c>
      <c r="AA1179" t="s">
        <v>2941</v>
      </c>
      <c r="AB1179" t="s">
        <v>28</v>
      </c>
      <c r="AC1179" t="s">
        <v>3744</v>
      </c>
      <c r="AD1179" t="s">
        <v>3744</v>
      </c>
      <c r="AE1179" t="s">
        <v>29</v>
      </c>
    </row>
    <row r="1180" spans="1:31" x14ac:dyDescent="0.25">
      <c r="A1180">
        <v>119025857284</v>
      </c>
      <c r="B1180">
        <v>462598545</v>
      </c>
      <c r="C1180" s="1">
        <v>46014.713425925926</v>
      </c>
      <c r="D1180" s="1">
        <v>46014.716550925928</v>
      </c>
      <c r="E1180" t="s">
        <v>2942</v>
      </c>
      <c r="F1180" t="s">
        <v>22</v>
      </c>
      <c r="G1180" t="e">
        <f>+_xlfn.XLOOKUP(tbl_encuesta[[#This Row],[Me siento a gusto con el ambiente de trabajo que se genera en mi equipo.]],#REF!,#REF!)</f>
        <v>#REF!</v>
      </c>
      <c r="H1180" t="s">
        <v>23</v>
      </c>
      <c r="I1180" t="e">
        <f>+_xlfn.XLOOKUP(tbl_encuesta[[#This Row],[Me siento motivado a dar lo mejor de mí y hacer un buen trabajo]],#REF!,#REF!)</f>
        <v>#REF!</v>
      </c>
      <c r="J1180" t="s">
        <v>22</v>
      </c>
      <c r="K1180" t="e">
        <f>+_xlfn.XLOOKUP(tbl_encuesta[[#This Row],[Mi supervisor o jefe directo me otorga el soporte que necesito para afrontar cualquier problema que afecte mi trabajo]],#REF!,#REF!)</f>
        <v>#REF!</v>
      </c>
      <c r="L1180" t="s">
        <v>22</v>
      </c>
      <c r="M1180" t="e">
        <f>+_xlfn.XLOOKUP(tbl_encuesta[[#This Row],[Mi supervisor o jefe directo fomenta que nos apoyemos entre todos en el equipo]],#REF!,#REF!)</f>
        <v>#REF!</v>
      </c>
      <c r="N1180" t="s">
        <v>22</v>
      </c>
      <c r="O1180" t="e">
        <f>+_xlfn.XLOOKUP(tbl_encuesta[[#This Row],[Siento que mi trabajo es reconocido por mi supervisor o jefe directo.]],#REF!,#REF!)</f>
        <v>#REF!</v>
      </c>
      <c r="P1180" t="s">
        <v>24</v>
      </c>
      <c r="Q1180" t="e">
        <f xml:space="preserve">
_xlfn.XLOOKUP(
tbl_encuesta[[#This Row],[Mi supervisor o jefe directo nos brinda charlas de 5 minutos y comunica las novedades relevantes a mi puesto de trabajo]],#REF!,#REF!
)</f>
        <v>#REF!</v>
      </c>
      <c r="T1180" t="s">
        <v>19</v>
      </c>
      <c r="W1180" t="s">
        <v>25</v>
      </c>
      <c r="X1180" t="s">
        <v>22</v>
      </c>
      <c r="Y1180" t="e">
        <f>+_xlfn.XLOOKUP(tbl_encuesta[[#This Row],[Considero a Limtek como un buen lugar para trabajar]],#REF!,#REF!)</f>
        <v>#REF!</v>
      </c>
      <c r="Z1180" t="s">
        <v>2943</v>
      </c>
      <c r="AA1180" t="s">
        <v>2944</v>
      </c>
      <c r="AB1180" t="s">
        <v>28</v>
      </c>
      <c r="AC1180" t="s">
        <v>3598</v>
      </c>
      <c r="AD1180" t="s">
        <v>3598</v>
      </c>
      <c r="AE1180" t="s">
        <v>34</v>
      </c>
    </row>
    <row r="1181" spans="1:31" x14ac:dyDescent="0.25">
      <c r="A1181">
        <v>119025856938</v>
      </c>
      <c r="B1181">
        <v>462598545</v>
      </c>
      <c r="C1181" s="1">
        <v>46014.714166666665</v>
      </c>
      <c r="D1181" s="1">
        <v>46014.715763888889</v>
      </c>
      <c r="E1181" t="s">
        <v>2945</v>
      </c>
      <c r="F1181" t="s">
        <v>23</v>
      </c>
      <c r="G1181" t="e">
        <f>+_xlfn.XLOOKUP(tbl_encuesta[[#This Row],[Me siento a gusto con el ambiente de trabajo que se genera en mi equipo.]],#REF!,#REF!)</f>
        <v>#REF!</v>
      </c>
      <c r="H1181" t="s">
        <v>23</v>
      </c>
      <c r="I1181" t="e">
        <f>+_xlfn.XLOOKUP(tbl_encuesta[[#This Row],[Me siento motivado a dar lo mejor de mí y hacer un buen trabajo]],#REF!,#REF!)</f>
        <v>#REF!</v>
      </c>
      <c r="J1181" t="s">
        <v>97</v>
      </c>
      <c r="K1181" t="e">
        <f>+_xlfn.XLOOKUP(tbl_encuesta[[#This Row],[Mi supervisor o jefe directo me otorga el soporte que necesito para afrontar cualquier problema que afecte mi trabajo]],#REF!,#REF!)</f>
        <v>#REF!</v>
      </c>
      <c r="L1181" t="s">
        <v>97</v>
      </c>
      <c r="M1181" t="e">
        <f>+_xlfn.XLOOKUP(tbl_encuesta[[#This Row],[Mi supervisor o jefe directo fomenta que nos apoyemos entre todos en el equipo]],#REF!,#REF!)</f>
        <v>#REF!</v>
      </c>
      <c r="N1181" t="s">
        <v>97</v>
      </c>
      <c r="O1181" t="e">
        <f>+_xlfn.XLOOKUP(tbl_encuesta[[#This Row],[Siento que mi trabajo es reconocido por mi supervisor o jefe directo.]],#REF!,#REF!)</f>
        <v>#REF!</v>
      </c>
      <c r="P1181" t="s">
        <v>175</v>
      </c>
      <c r="Q1181" t="e">
        <f xml:space="preserve">
_xlfn.XLOOKUP(
tbl_encuesta[[#This Row],[Mi supervisor o jefe directo nos brinda charlas de 5 minutos y comunica las novedades relevantes a mi puesto de trabajo]],#REF!,#REF!
)</f>
        <v>#REF!</v>
      </c>
      <c r="R1181" t="s">
        <v>17</v>
      </c>
      <c r="U1181" t="s">
        <v>20</v>
      </c>
      <c r="W1181" t="s">
        <v>25</v>
      </c>
      <c r="X1181" t="s">
        <v>43</v>
      </c>
      <c r="Y1181" t="e">
        <f>+_xlfn.XLOOKUP(tbl_encuesta[[#This Row],[Considero a Limtek como un buen lugar para trabajar]],#REF!,#REF!)</f>
        <v>#REF!</v>
      </c>
      <c r="Z1181" t="s">
        <v>122</v>
      </c>
      <c r="AA1181" t="s">
        <v>2946</v>
      </c>
      <c r="AB1181" t="s">
        <v>28</v>
      </c>
      <c r="AC1181" s="3" t="s">
        <v>3769</v>
      </c>
      <c r="AD1181" s="3" t="s">
        <v>3769</v>
      </c>
      <c r="AE1181" t="s">
        <v>34</v>
      </c>
    </row>
    <row r="1182" spans="1:31" x14ac:dyDescent="0.25">
      <c r="A1182">
        <v>119025855963</v>
      </c>
      <c r="B1182">
        <v>462598545</v>
      </c>
      <c r="C1182" s="1">
        <v>46014.70957175926</v>
      </c>
      <c r="D1182" s="1">
        <v>46014.713703703703</v>
      </c>
      <c r="E1182" t="s">
        <v>2947</v>
      </c>
      <c r="F1182" t="s">
        <v>23</v>
      </c>
      <c r="G1182" t="e">
        <f>+_xlfn.XLOOKUP(tbl_encuesta[[#This Row],[Me siento a gusto con el ambiente de trabajo que se genera en mi equipo.]],#REF!,#REF!)</f>
        <v>#REF!</v>
      </c>
      <c r="H1182" t="s">
        <v>23</v>
      </c>
      <c r="I1182" t="e">
        <f>+_xlfn.XLOOKUP(tbl_encuesta[[#This Row],[Me siento motivado a dar lo mejor de mí y hacer un buen trabajo]],#REF!,#REF!)</f>
        <v>#REF!</v>
      </c>
      <c r="J1182" t="s">
        <v>23</v>
      </c>
      <c r="K1182" t="e">
        <f>+_xlfn.XLOOKUP(tbl_encuesta[[#This Row],[Mi supervisor o jefe directo me otorga el soporte que necesito para afrontar cualquier problema que afecte mi trabajo]],#REF!,#REF!)</f>
        <v>#REF!</v>
      </c>
      <c r="L1182" t="s">
        <v>23</v>
      </c>
      <c r="M1182" t="e">
        <f>+_xlfn.XLOOKUP(tbl_encuesta[[#This Row],[Mi supervisor o jefe directo fomenta que nos apoyemos entre todos en el equipo]],#REF!,#REF!)</f>
        <v>#REF!</v>
      </c>
      <c r="N1182" t="s">
        <v>23</v>
      </c>
      <c r="O1182" t="e">
        <f>+_xlfn.XLOOKUP(tbl_encuesta[[#This Row],[Siento que mi trabajo es reconocido por mi supervisor o jefe directo.]],#REF!,#REF!)</f>
        <v>#REF!</v>
      </c>
      <c r="P1182" t="s">
        <v>67</v>
      </c>
      <c r="Q1182" t="e">
        <f xml:space="preserve">
_xlfn.XLOOKUP(
tbl_encuesta[[#This Row],[Mi supervisor o jefe directo nos brinda charlas de 5 minutos y comunica las novedades relevantes a mi puesto de trabajo]],#REF!,#REF!
)</f>
        <v>#REF!</v>
      </c>
      <c r="U1182" t="s">
        <v>20</v>
      </c>
      <c r="W1182" t="s">
        <v>25</v>
      </c>
      <c r="X1182" t="s">
        <v>23</v>
      </c>
      <c r="Y1182" t="e">
        <f>+_xlfn.XLOOKUP(tbl_encuesta[[#This Row],[Considero a Limtek como un buen lugar para trabajar]],#REF!,#REF!)</f>
        <v>#REF!</v>
      </c>
      <c r="Z1182" t="s">
        <v>2948</v>
      </c>
      <c r="AA1182" t="s">
        <v>2949</v>
      </c>
      <c r="AB1182" t="s">
        <v>28</v>
      </c>
      <c r="AC1182" s="3" t="s">
        <v>3705</v>
      </c>
      <c r="AD1182" s="3" t="s">
        <v>3712</v>
      </c>
      <c r="AE1182" t="s">
        <v>61</v>
      </c>
    </row>
    <row r="1183" spans="1:31" x14ac:dyDescent="0.25">
      <c r="A1183">
        <v>119025855923</v>
      </c>
      <c r="B1183">
        <v>462598545</v>
      </c>
      <c r="C1183" s="1">
        <v>46014.707361111112</v>
      </c>
      <c r="D1183" s="1">
        <v>46014.713634259257</v>
      </c>
      <c r="E1183" t="s">
        <v>2950</v>
      </c>
      <c r="F1183" t="s">
        <v>23</v>
      </c>
      <c r="G1183" t="e">
        <f>+_xlfn.XLOOKUP(tbl_encuesta[[#This Row],[Me siento a gusto con el ambiente de trabajo que se genera en mi equipo.]],#REF!,#REF!)</f>
        <v>#REF!</v>
      </c>
      <c r="H1183" t="s">
        <v>23</v>
      </c>
      <c r="I1183" t="e">
        <f>+_xlfn.XLOOKUP(tbl_encuesta[[#This Row],[Me siento motivado a dar lo mejor de mí y hacer un buen trabajo]],#REF!,#REF!)</f>
        <v>#REF!</v>
      </c>
      <c r="J1183" t="s">
        <v>23</v>
      </c>
      <c r="K1183" t="e">
        <f>+_xlfn.XLOOKUP(tbl_encuesta[[#This Row],[Mi supervisor o jefe directo me otorga el soporte que necesito para afrontar cualquier problema que afecte mi trabajo]],#REF!,#REF!)</f>
        <v>#REF!</v>
      </c>
      <c r="L1183" t="s">
        <v>23</v>
      </c>
      <c r="M1183" t="e">
        <f>+_xlfn.XLOOKUP(tbl_encuesta[[#This Row],[Mi supervisor o jefe directo fomenta que nos apoyemos entre todos en el equipo]],#REF!,#REF!)</f>
        <v>#REF!</v>
      </c>
      <c r="N1183" t="s">
        <v>23</v>
      </c>
      <c r="O1183" t="e">
        <f>+_xlfn.XLOOKUP(tbl_encuesta[[#This Row],[Siento que mi trabajo es reconocido por mi supervisor o jefe directo.]],#REF!,#REF!)</f>
        <v>#REF!</v>
      </c>
      <c r="P1183" t="s">
        <v>31</v>
      </c>
      <c r="Q1183" t="e">
        <f xml:space="preserve">
_xlfn.XLOOKUP(
tbl_encuesta[[#This Row],[Mi supervisor o jefe directo nos brinda charlas de 5 minutos y comunica las novedades relevantes a mi puesto de trabajo]],#REF!,#REF!
)</f>
        <v>#REF!</v>
      </c>
      <c r="R1183" t="s">
        <v>17</v>
      </c>
      <c r="S1183" t="s">
        <v>18</v>
      </c>
      <c r="W1183" t="s">
        <v>25</v>
      </c>
      <c r="X1183" t="s">
        <v>23</v>
      </c>
      <c r="Y1183" t="e">
        <f>+_xlfn.XLOOKUP(tbl_encuesta[[#This Row],[Considero a Limtek como un buen lugar para trabajar]],#REF!,#REF!)</f>
        <v>#REF!</v>
      </c>
      <c r="Z1183" t="s">
        <v>2951</v>
      </c>
      <c r="AA1183" t="s">
        <v>2952</v>
      </c>
      <c r="AB1183" t="s">
        <v>28</v>
      </c>
      <c r="AC1183" s="3" t="s">
        <v>3844</v>
      </c>
      <c r="AD1183" s="3" t="s">
        <v>3844</v>
      </c>
      <c r="AE1183" t="s">
        <v>34</v>
      </c>
    </row>
    <row r="1184" spans="1:31" x14ac:dyDescent="0.25">
      <c r="A1184">
        <v>119025855823</v>
      </c>
      <c r="B1184">
        <v>462598545</v>
      </c>
      <c r="C1184" s="1">
        <v>46014.70994212963</v>
      </c>
      <c r="D1184" s="1">
        <v>46014.713391203702</v>
      </c>
      <c r="E1184" t="s">
        <v>2945</v>
      </c>
      <c r="F1184" t="s">
        <v>22</v>
      </c>
      <c r="G1184" t="e">
        <f>+_xlfn.XLOOKUP(tbl_encuesta[[#This Row],[Me siento a gusto con el ambiente de trabajo que se genera en mi equipo.]],#REF!,#REF!)</f>
        <v>#REF!</v>
      </c>
      <c r="H1184" t="s">
        <v>23</v>
      </c>
      <c r="I1184" t="e">
        <f>+_xlfn.XLOOKUP(tbl_encuesta[[#This Row],[Me siento motivado a dar lo mejor de mí y hacer un buen trabajo]],#REF!,#REF!)</f>
        <v>#REF!</v>
      </c>
      <c r="J1184" t="s">
        <v>43</v>
      </c>
      <c r="K1184" t="e">
        <f>+_xlfn.XLOOKUP(tbl_encuesta[[#This Row],[Mi supervisor o jefe directo me otorga el soporte que necesito para afrontar cualquier problema que afecte mi trabajo]],#REF!,#REF!)</f>
        <v>#REF!</v>
      </c>
      <c r="L1184" t="s">
        <v>43</v>
      </c>
      <c r="M1184" t="e">
        <f>+_xlfn.XLOOKUP(tbl_encuesta[[#This Row],[Mi supervisor o jefe directo fomenta que nos apoyemos entre todos en el equipo]],#REF!,#REF!)</f>
        <v>#REF!</v>
      </c>
      <c r="N1184" t="s">
        <v>43</v>
      </c>
      <c r="O1184" t="e">
        <f>+_xlfn.XLOOKUP(tbl_encuesta[[#This Row],[Siento que mi trabajo es reconocido por mi supervisor o jefe directo.]],#REF!,#REF!)</f>
        <v>#REF!</v>
      </c>
      <c r="P1184" t="s">
        <v>24</v>
      </c>
      <c r="Q1184" t="e">
        <f xml:space="preserve">
_xlfn.XLOOKUP(
tbl_encuesta[[#This Row],[Mi supervisor o jefe directo nos brinda charlas de 5 minutos y comunica las novedades relevantes a mi puesto de trabajo]],#REF!,#REF!
)</f>
        <v>#REF!</v>
      </c>
      <c r="R1184" t="s">
        <v>17</v>
      </c>
      <c r="S1184" t="s">
        <v>18</v>
      </c>
      <c r="W1184" t="s">
        <v>46</v>
      </c>
      <c r="X1184" t="s">
        <v>43</v>
      </c>
      <c r="Y1184" t="e">
        <f>+_xlfn.XLOOKUP(tbl_encuesta[[#This Row],[Considero a Limtek como un buen lugar para trabajar]],#REF!,#REF!)</f>
        <v>#REF!</v>
      </c>
      <c r="Z1184" t="s">
        <v>122</v>
      </c>
      <c r="AA1184" t="s">
        <v>2946</v>
      </c>
      <c r="AB1184" t="s">
        <v>28</v>
      </c>
      <c r="AC1184" s="3" t="s">
        <v>3769</v>
      </c>
      <c r="AD1184" s="3" t="s">
        <v>3769</v>
      </c>
      <c r="AE1184" t="s">
        <v>34</v>
      </c>
    </row>
    <row r="1185" spans="1:31" x14ac:dyDescent="0.25">
      <c r="A1185">
        <v>119025855599</v>
      </c>
      <c r="B1185">
        <v>462598545</v>
      </c>
      <c r="C1185" s="1">
        <v>46014.712118055555</v>
      </c>
      <c r="D1185" s="1">
        <v>46014.712916666664</v>
      </c>
      <c r="E1185" t="s">
        <v>2953</v>
      </c>
      <c r="F1185" t="s">
        <v>23</v>
      </c>
      <c r="G1185" t="e">
        <f>+_xlfn.XLOOKUP(tbl_encuesta[[#This Row],[Me siento a gusto con el ambiente de trabajo que se genera en mi equipo.]],#REF!,#REF!)</f>
        <v>#REF!</v>
      </c>
      <c r="H1185" t="s">
        <v>23</v>
      </c>
      <c r="I1185" t="e">
        <f>+_xlfn.XLOOKUP(tbl_encuesta[[#This Row],[Me siento motivado a dar lo mejor de mí y hacer un buen trabajo]],#REF!,#REF!)</f>
        <v>#REF!</v>
      </c>
      <c r="J1185" t="s">
        <v>23</v>
      </c>
      <c r="K1185" t="e">
        <f>+_xlfn.XLOOKUP(tbl_encuesta[[#This Row],[Mi supervisor o jefe directo me otorga el soporte que necesito para afrontar cualquier problema que afecte mi trabajo]],#REF!,#REF!)</f>
        <v>#REF!</v>
      </c>
      <c r="L1185" t="s">
        <v>23</v>
      </c>
      <c r="M1185" t="e">
        <f>+_xlfn.XLOOKUP(tbl_encuesta[[#This Row],[Mi supervisor o jefe directo fomenta que nos apoyemos entre todos en el equipo]],#REF!,#REF!)</f>
        <v>#REF!</v>
      </c>
      <c r="N1185" t="s">
        <v>23</v>
      </c>
      <c r="O1185" t="e">
        <f>+_xlfn.XLOOKUP(tbl_encuesta[[#This Row],[Siento que mi trabajo es reconocido por mi supervisor o jefe directo.]],#REF!,#REF!)</f>
        <v>#REF!</v>
      </c>
      <c r="P1185" t="s">
        <v>31</v>
      </c>
      <c r="Q1185" t="e">
        <f xml:space="preserve">
_xlfn.XLOOKUP(
tbl_encuesta[[#This Row],[Mi supervisor o jefe directo nos brinda charlas de 5 minutos y comunica las novedades relevantes a mi puesto de trabajo]],#REF!,#REF!
)</f>
        <v>#REF!</v>
      </c>
      <c r="R1185" t="s">
        <v>17</v>
      </c>
      <c r="W1185" t="s">
        <v>25</v>
      </c>
      <c r="X1185" t="s">
        <v>23</v>
      </c>
      <c r="Y1185" t="e">
        <f>+_xlfn.XLOOKUP(tbl_encuesta[[#This Row],[Considero a Limtek como un buen lugar para trabajar]],#REF!,#REF!)</f>
        <v>#REF!</v>
      </c>
      <c r="Z1185" t="s">
        <v>2954</v>
      </c>
      <c r="AA1185" t="s">
        <v>2490</v>
      </c>
      <c r="AB1185" t="s">
        <v>28</v>
      </c>
      <c r="AC1185" s="3" t="s">
        <v>3705</v>
      </c>
      <c r="AD1185" s="3" t="s">
        <v>3712</v>
      </c>
      <c r="AE1185" t="s">
        <v>55</v>
      </c>
    </row>
    <row r="1186" spans="1:31" x14ac:dyDescent="0.25">
      <c r="A1186">
        <v>119025855134</v>
      </c>
      <c r="B1186">
        <v>462598545</v>
      </c>
      <c r="C1186" s="1">
        <v>46014.710358796299</v>
      </c>
      <c r="D1186" s="1">
        <v>46014.711967592593</v>
      </c>
      <c r="E1186" t="s">
        <v>2953</v>
      </c>
      <c r="F1186" t="s">
        <v>23</v>
      </c>
      <c r="G1186" t="e">
        <f>+_xlfn.XLOOKUP(tbl_encuesta[[#This Row],[Me siento a gusto con el ambiente de trabajo que se genera en mi equipo.]],#REF!,#REF!)</f>
        <v>#REF!</v>
      </c>
      <c r="H1186" t="s">
        <v>23</v>
      </c>
      <c r="I1186" t="e">
        <f>+_xlfn.XLOOKUP(tbl_encuesta[[#This Row],[Me siento motivado a dar lo mejor de mí y hacer un buen trabajo]],#REF!,#REF!)</f>
        <v>#REF!</v>
      </c>
      <c r="J1186" t="s">
        <v>23</v>
      </c>
      <c r="K1186" t="e">
        <f>+_xlfn.XLOOKUP(tbl_encuesta[[#This Row],[Mi supervisor o jefe directo me otorga el soporte que necesito para afrontar cualquier problema que afecte mi trabajo]],#REF!,#REF!)</f>
        <v>#REF!</v>
      </c>
      <c r="L1186" t="s">
        <v>23</v>
      </c>
      <c r="M1186" t="e">
        <f>+_xlfn.XLOOKUP(tbl_encuesta[[#This Row],[Mi supervisor o jefe directo fomenta que nos apoyemos entre todos en el equipo]],#REF!,#REF!)</f>
        <v>#REF!</v>
      </c>
      <c r="N1186" t="s">
        <v>23</v>
      </c>
      <c r="O1186" t="e">
        <f>+_xlfn.XLOOKUP(tbl_encuesta[[#This Row],[Siento que mi trabajo es reconocido por mi supervisor o jefe directo.]],#REF!,#REF!)</f>
        <v>#REF!</v>
      </c>
      <c r="P1186" t="s">
        <v>31</v>
      </c>
      <c r="Q1186" t="e">
        <f xml:space="preserve">
_xlfn.XLOOKUP(
tbl_encuesta[[#This Row],[Mi supervisor o jefe directo nos brinda charlas de 5 minutos y comunica las novedades relevantes a mi puesto de trabajo]],#REF!,#REF!
)</f>
        <v>#REF!</v>
      </c>
      <c r="R1186" t="s">
        <v>17</v>
      </c>
      <c r="W1186" t="s">
        <v>25</v>
      </c>
      <c r="X1186" t="s">
        <v>23</v>
      </c>
      <c r="Y1186" t="e">
        <f>+_xlfn.XLOOKUP(tbl_encuesta[[#This Row],[Considero a Limtek como un buen lugar para trabajar]],#REF!,#REF!)</f>
        <v>#REF!</v>
      </c>
      <c r="Z1186" t="s">
        <v>2489</v>
      </c>
      <c r="AA1186" t="s">
        <v>2490</v>
      </c>
      <c r="AB1186" t="s">
        <v>28</v>
      </c>
      <c r="AC1186" s="3" t="s">
        <v>3705</v>
      </c>
      <c r="AD1186" s="3" t="s">
        <v>3712</v>
      </c>
      <c r="AE1186" t="s">
        <v>34</v>
      </c>
    </row>
    <row r="1187" spans="1:31" x14ac:dyDescent="0.25">
      <c r="A1187">
        <v>119025854971</v>
      </c>
      <c r="B1187">
        <v>462598545</v>
      </c>
      <c r="C1187" s="1">
        <v>46014.705277777779</v>
      </c>
      <c r="D1187" s="1">
        <v>46014.711631944447</v>
      </c>
      <c r="E1187" t="s">
        <v>2955</v>
      </c>
      <c r="F1187" t="s">
        <v>97</v>
      </c>
      <c r="G1187" t="e">
        <f>+_xlfn.XLOOKUP(tbl_encuesta[[#This Row],[Me siento a gusto con el ambiente de trabajo que se genera en mi equipo.]],#REF!,#REF!)</f>
        <v>#REF!</v>
      </c>
      <c r="H1187" t="s">
        <v>22</v>
      </c>
      <c r="I1187" t="e">
        <f>+_xlfn.XLOOKUP(tbl_encuesta[[#This Row],[Me siento motivado a dar lo mejor de mí y hacer un buen trabajo]],#REF!,#REF!)</f>
        <v>#REF!</v>
      </c>
      <c r="J1187" t="s">
        <v>22</v>
      </c>
      <c r="K1187" t="e">
        <f>+_xlfn.XLOOKUP(tbl_encuesta[[#This Row],[Mi supervisor o jefe directo me otorga el soporte que necesito para afrontar cualquier problema que afecte mi trabajo]],#REF!,#REF!)</f>
        <v>#REF!</v>
      </c>
      <c r="L1187" t="s">
        <v>22</v>
      </c>
      <c r="M1187" t="e">
        <f>+_xlfn.XLOOKUP(tbl_encuesta[[#This Row],[Mi supervisor o jefe directo fomenta que nos apoyemos entre todos en el equipo]],#REF!,#REF!)</f>
        <v>#REF!</v>
      </c>
      <c r="N1187" t="s">
        <v>97</v>
      </c>
      <c r="O1187" t="e">
        <f>+_xlfn.XLOOKUP(tbl_encuesta[[#This Row],[Siento que mi trabajo es reconocido por mi supervisor o jefe directo.]],#REF!,#REF!)</f>
        <v>#REF!</v>
      </c>
      <c r="P1187" t="s">
        <v>31</v>
      </c>
      <c r="Q1187" t="e">
        <f xml:space="preserve">
_xlfn.XLOOKUP(
tbl_encuesta[[#This Row],[Mi supervisor o jefe directo nos brinda charlas de 5 minutos y comunica las novedades relevantes a mi puesto de trabajo]],#REF!,#REF!
)</f>
        <v>#REF!</v>
      </c>
      <c r="R1187" t="s">
        <v>17</v>
      </c>
      <c r="S1187" t="s">
        <v>18</v>
      </c>
      <c r="W1187" t="s">
        <v>25</v>
      </c>
      <c r="X1187" t="s">
        <v>22</v>
      </c>
      <c r="Y1187" t="e">
        <f>+_xlfn.XLOOKUP(tbl_encuesta[[#This Row],[Considero a Limtek como un buen lugar para trabajar]],#REF!,#REF!)</f>
        <v>#REF!</v>
      </c>
      <c r="Z1187" t="s">
        <v>2956</v>
      </c>
      <c r="AA1187" t="s">
        <v>2957</v>
      </c>
      <c r="AB1187" t="s">
        <v>28</v>
      </c>
      <c r="AC1187" s="3" t="s">
        <v>3705</v>
      </c>
      <c r="AD1187" s="3" t="s">
        <v>3712</v>
      </c>
      <c r="AE1187" t="s">
        <v>29</v>
      </c>
    </row>
    <row r="1188" spans="1:31" x14ac:dyDescent="0.25">
      <c r="A1188">
        <v>119025854682</v>
      </c>
      <c r="B1188">
        <v>462598545</v>
      </c>
      <c r="C1188" s="1">
        <v>46014.707592592589</v>
      </c>
      <c r="D1188" s="1">
        <v>46014.711006944446</v>
      </c>
      <c r="E1188" t="s">
        <v>2958</v>
      </c>
      <c r="F1188" t="s">
        <v>23</v>
      </c>
      <c r="G1188" t="e">
        <f>+_xlfn.XLOOKUP(tbl_encuesta[[#This Row],[Me siento a gusto con el ambiente de trabajo que se genera en mi equipo.]],#REF!,#REF!)</f>
        <v>#REF!</v>
      </c>
      <c r="H1188" t="s">
        <v>23</v>
      </c>
      <c r="I1188" t="e">
        <f>+_xlfn.XLOOKUP(tbl_encuesta[[#This Row],[Me siento motivado a dar lo mejor de mí y hacer un buen trabajo]],#REF!,#REF!)</f>
        <v>#REF!</v>
      </c>
      <c r="J1188" t="s">
        <v>23</v>
      </c>
      <c r="K1188" t="e">
        <f>+_xlfn.XLOOKUP(tbl_encuesta[[#This Row],[Mi supervisor o jefe directo me otorga el soporte que necesito para afrontar cualquier problema que afecte mi trabajo]],#REF!,#REF!)</f>
        <v>#REF!</v>
      </c>
      <c r="L1188" t="s">
        <v>23</v>
      </c>
      <c r="M1188" t="e">
        <f>+_xlfn.XLOOKUP(tbl_encuesta[[#This Row],[Mi supervisor o jefe directo fomenta que nos apoyemos entre todos en el equipo]],#REF!,#REF!)</f>
        <v>#REF!</v>
      </c>
      <c r="N1188" t="s">
        <v>23</v>
      </c>
      <c r="O1188" t="e">
        <f>+_xlfn.XLOOKUP(tbl_encuesta[[#This Row],[Siento que mi trabajo es reconocido por mi supervisor o jefe directo.]],#REF!,#REF!)</f>
        <v>#REF!</v>
      </c>
      <c r="P1188" t="s">
        <v>31</v>
      </c>
      <c r="Q1188" t="e">
        <f xml:space="preserve">
_xlfn.XLOOKUP(
tbl_encuesta[[#This Row],[Mi supervisor o jefe directo nos brinda charlas de 5 minutos y comunica las novedades relevantes a mi puesto de trabajo]],#REF!,#REF!
)</f>
        <v>#REF!</v>
      </c>
      <c r="R1188" t="s">
        <v>17</v>
      </c>
      <c r="U1188" t="s">
        <v>20</v>
      </c>
      <c r="W1188" t="s">
        <v>25</v>
      </c>
      <c r="X1188" t="s">
        <v>23</v>
      </c>
      <c r="Y1188" t="e">
        <f>+_xlfn.XLOOKUP(tbl_encuesta[[#This Row],[Considero a Limtek como un buen lugar para trabajar]],#REF!,#REF!)</f>
        <v>#REF!</v>
      </c>
      <c r="Z1188" t="s">
        <v>2959</v>
      </c>
      <c r="AA1188" t="s">
        <v>2960</v>
      </c>
      <c r="AB1188" t="s">
        <v>28</v>
      </c>
      <c r="AC1188" s="3" t="s">
        <v>3729</v>
      </c>
      <c r="AD1188" s="3" t="s">
        <v>3751</v>
      </c>
      <c r="AE1188" t="s">
        <v>29</v>
      </c>
    </row>
    <row r="1189" spans="1:31" x14ac:dyDescent="0.25">
      <c r="A1189">
        <v>119025854574</v>
      </c>
      <c r="B1189">
        <v>462598545</v>
      </c>
      <c r="C1189" s="1">
        <v>46014.700381944444</v>
      </c>
      <c r="D1189" s="1">
        <v>46014.710787037038</v>
      </c>
      <c r="E1189" t="s">
        <v>2961</v>
      </c>
      <c r="F1189" t="s">
        <v>97</v>
      </c>
      <c r="G1189" t="e">
        <f>+_xlfn.XLOOKUP(tbl_encuesta[[#This Row],[Me siento a gusto con el ambiente de trabajo que se genera en mi equipo.]],#REF!,#REF!)</f>
        <v>#REF!</v>
      </c>
      <c r="H1189" t="s">
        <v>23</v>
      </c>
      <c r="I1189" t="e">
        <f>+_xlfn.XLOOKUP(tbl_encuesta[[#This Row],[Me siento motivado a dar lo mejor de mí y hacer un buen trabajo]],#REF!,#REF!)</f>
        <v>#REF!</v>
      </c>
      <c r="J1189" t="s">
        <v>97</v>
      </c>
      <c r="K1189" t="e">
        <f>+_xlfn.XLOOKUP(tbl_encuesta[[#This Row],[Mi supervisor o jefe directo me otorga el soporte que necesito para afrontar cualquier problema que afecte mi trabajo]],#REF!,#REF!)</f>
        <v>#REF!</v>
      </c>
      <c r="L1189" t="s">
        <v>22</v>
      </c>
      <c r="M1189" t="e">
        <f>+_xlfn.XLOOKUP(tbl_encuesta[[#This Row],[Mi supervisor o jefe directo fomenta que nos apoyemos entre todos en el equipo]],#REF!,#REF!)</f>
        <v>#REF!</v>
      </c>
      <c r="N1189" t="s">
        <v>22</v>
      </c>
      <c r="O1189" t="e">
        <f>+_xlfn.XLOOKUP(tbl_encuesta[[#This Row],[Siento que mi trabajo es reconocido por mi supervisor o jefe directo.]],#REF!,#REF!)</f>
        <v>#REF!</v>
      </c>
      <c r="P1189" t="s">
        <v>67</v>
      </c>
      <c r="Q1189" t="e">
        <f xml:space="preserve">
_xlfn.XLOOKUP(
tbl_encuesta[[#This Row],[Mi supervisor o jefe directo nos brinda charlas de 5 minutos y comunica las novedades relevantes a mi puesto de trabajo]],#REF!,#REF!
)</f>
        <v>#REF!</v>
      </c>
      <c r="R1189" t="s">
        <v>17</v>
      </c>
      <c r="S1189" t="s">
        <v>18</v>
      </c>
      <c r="W1189" t="s">
        <v>25</v>
      </c>
      <c r="X1189" t="s">
        <v>22</v>
      </c>
      <c r="Y1189" t="e">
        <f>+_xlfn.XLOOKUP(tbl_encuesta[[#This Row],[Considero a Limtek como un buen lugar para trabajar]],#REF!,#REF!)</f>
        <v>#REF!</v>
      </c>
      <c r="Z1189" t="s">
        <v>2962</v>
      </c>
      <c r="AA1189" t="s">
        <v>2963</v>
      </c>
      <c r="AB1189" t="s">
        <v>28</v>
      </c>
      <c r="AC1189" s="3" t="s">
        <v>3769</v>
      </c>
      <c r="AD1189" s="3" t="s">
        <v>3773</v>
      </c>
      <c r="AE1189" t="s">
        <v>29</v>
      </c>
    </row>
    <row r="1190" spans="1:31" x14ac:dyDescent="0.25">
      <c r="A1190">
        <v>119025854349</v>
      </c>
      <c r="B1190">
        <v>462598545</v>
      </c>
      <c r="C1190" s="1">
        <v>46014.704270833332</v>
      </c>
      <c r="D1190" s="1">
        <v>46014.710358796299</v>
      </c>
      <c r="E1190" t="s">
        <v>2964</v>
      </c>
      <c r="F1190" t="s">
        <v>23</v>
      </c>
      <c r="G1190" t="e">
        <f>+_xlfn.XLOOKUP(tbl_encuesta[[#This Row],[Me siento a gusto con el ambiente de trabajo que se genera en mi equipo.]],#REF!,#REF!)</f>
        <v>#REF!</v>
      </c>
      <c r="H1190" t="s">
        <v>23</v>
      </c>
      <c r="I1190" t="e">
        <f>+_xlfn.XLOOKUP(tbl_encuesta[[#This Row],[Me siento motivado a dar lo mejor de mí y hacer un buen trabajo]],#REF!,#REF!)</f>
        <v>#REF!</v>
      </c>
      <c r="J1190" t="s">
        <v>22</v>
      </c>
      <c r="K1190" t="e">
        <f>+_xlfn.XLOOKUP(tbl_encuesta[[#This Row],[Mi supervisor o jefe directo me otorga el soporte que necesito para afrontar cualquier problema que afecte mi trabajo]],#REF!,#REF!)</f>
        <v>#REF!</v>
      </c>
      <c r="L1190" t="s">
        <v>23</v>
      </c>
      <c r="M1190" t="e">
        <f>+_xlfn.XLOOKUP(tbl_encuesta[[#This Row],[Mi supervisor o jefe directo fomenta que nos apoyemos entre todos en el equipo]],#REF!,#REF!)</f>
        <v>#REF!</v>
      </c>
      <c r="N1190" t="s">
        <v>23</v>
      </c>
      <c r="O1190" t="e">
        <f>+_xlfn.XLOOKUP(tbl_encuesta[[#This Row],[Siento que mi trabajo es reconocido por mi supervisor o jefe directo.]],#REF!,#REF!)</f>
        <v>#REF!</v>
      </c>
      <c r="P1190" t="s">
        <v>67</v>
      </c>
      <c r="Q1190" t="e">
        <f xml:space="preserve">
_xlfn.XLOOKUP(
tbl_encuesta[[#This Row],[Mi supervisor o jefe directo nos brinda charlas de 5 minutos y comunica las novedades relevantes a mi puesto de trabajo]],#REF!,#REF!
)</f>
        <v>#REF!</v>
      </c>
      <c r="R1190" t="s">
        <v>17</v>
      </c>
      <c r="S1190" t="s">
        <v>18</v>
      </c>
      <c r="W1190" t="s">
        <v>25</v>
      </c>
      <c r="X1190" t="s">
        <v>23</v>
      </c>
      <c r="Y1190" t="e">
        <f>+_xlfn.XLOOKUP(tbl_encuesta[[#This Row],[Considero a Limtek como un buen lugar para trabajar]],#REF!,#REF!)</f>
        <v>#REF!</v>
      </c>
      <c r="Z1190" t="s">
        <v>2965</v>
      </c>
      <c r="AA1190" t="s">
        <v>2966</v>
      </c>
      <c r="AB1190" t="s">
        <v>720</v>
      </c>
      <c r="AC1190" s="3" t="s">
        <v>3705</v>
      </c>
      <c r="AD1190" s="3" t="s">
        <v>3711</v>
      </c>
      <c r="AE1190" t="s">
        <v>55</v>
      </c>
    </row>
    <row r="1191" spans="1:31" x14ac:dyDescent="0.25">
      <c r="A1191">
        <v>119025854096</v>
      </c>
      <c r="B1191">
        <v>462598545</v>
      </c>
      <c r="C1191" s="1">
        <v>46014.706689814811</v>
      </c>
      <c r="D1191" s="1">
        <v>46014.709826388891</v>
      </c>
      <c r="E1191" t="s">
        <v>780</v>
      </c>
      <c r="F1191" t="s">
        <v>23</v>
      </c>
      <c r="G1191" t="e">
        <f>+_xlfn.XLOOKUP(tbl_encuesta[[#This Row],[Me siento a gusto con el ambiente de trabajo que se genera en mi equipo.]],#REF!,#REF!)</f>
        <v>#REF!</v>
      </c>
      <c r="H1191" t="s">
        <v>23</v>
      </c>
      <c r="I1191" t="e">
        <f>+_xlfn.XLOOKUP(tbl_encuesta[[#This Row],[Me siento motivado a dar lo mejor de mí y hacer un buen trabajo]],#REF!,#REF!)</f>
        <v>#REF!</v>
      </c>
      <c r="J1191" t="s">
        <v>22</v>
      </c>
      <c r="K1191" t="e">
        <f>+_xlfn.XLOOKUP(tbl_encuesta[[#This Row],[Mi supervisor o jefe directo me otorga el soporte que necesito para afrontar cualquier problema que afecte mi trabajo]],#REF!,#REF!)</f>
        <v>#REF!</v>
      </c>
      <c r="L1191" t="s">
        <v>22</v>
      </c>
      <c r="M1191" t="e">
        <f>+_xlfn.XLOOKUP(tbl_encuesta[[#This Row],[Mi supervisor o jefe directo fomenta que nos apoyemos entre todos en el equipo]],#REF!,#REF!)</f>
        <v>#REF!</v>
      </c>
      <c r="N1191" t="s">
        <v>23</v>
      </c>
      <c r="O1191" t="e">
        <f>+_xlfn.XLOOKUP(tbl_encuesta[[#This Row],[Siento que mi trabajo es reconocido por mi supervisor o jefe directo.]],#REF!,#REF!)</f>
        <v>#REF!</v>
      </c>
      <c r="P1191" t="s">
        <v>31</v>
      </c>
      <c r="Q1191" t="e">
        <f xml:space="preserve">
_xlfn.XLOOKUP(
tbl_encuesta[[#This Row],[Mi supervisor o jefe directo nos brinda charlas de 5 minutos y comunica las novedades relevantes a mi puesto de trabajo]],#REF!,#REF!
)</f>
        <v>#REF!</v>
      </c>
      <c r="R1191" t="s">
        <v>17</v>
      </c>
      <c r="U1191" t="s">
        <v>20</v>
      </c>
      <c r="W1191" t="s">
        <v>25</v>
      </c>
      <c r="X1191" t="s">
        <v>23</v>
      </c>
      <c r="Y1191" t="e">
        <f>+_xlfn.XLOOKUP(tbl_encuesta[[#This Row],[Considero a Limtek como un buen lugar para trabajar]],#REF!,#REF!)</f>
        <v>#REF!</v>
      </c>
      <c r="Z1191" t="s">
        <v>2967</v>
      </c>
      <c r="AA1191" t="s">
        <v>122</v>
      </c>
      <c r="AB1191" t="s">
        <v>726</v>
      </c>
      <c r="AC1191" s="3" t="s">
        <v>3610</v>
      </c>
      <c r="AD1191" s="3" t="s">
        <v>3680</v>
      </c>
      <c r="AE1191" t="s">
        <v>55</v>
      </c>
    </row>
    <row r="1192" spans="1:31" x14ac:dyDescent="0.25">
      <c r="A1192">
        <v>119025854012</v>
      </c>
      <c r="B1192">
        <v>462598545</v>
      </c>
      <c r="C1192" s="1">
        <v>46014.708715277775</v>
      </c>
      <c r="D1192" s="1">
        <v>46014.709675925929</v>
      </c>
      <c r="E1192" t="s">
        <v>2968</v>
      </c>
      <c r="F1192" t="s">
        <v>23</v>
      </c>
      <c r="G1192" t="e">
        <f>+_xlfn.XLOOKUP(tbl_encuesta[[#This Row],[Me siento a gusto con el ambiente de trabajo que se genera en mi equipo.]],#REF!,#REF!)</f>
        <v>#REF!</v>
      </c>
      <c r="H1192" t="s">
        <v>23</v>
      </c>
      <c r="I1192" t="e">
        <f>+_xlfn.XLOOKUP(tbl_encuesta[[#This Row],[Me siento motivado a dar lo mejor de mí y hacer un buen trabajo]],#REF!,#REF!)</f>
        <v>#REF!</v>
      </c>
      <c r="J1192" t="s">
        <v>23</v>
      </c>
      <c r="K1192" t="e">
        <f>+_xlfn.XLOOKUP(tbl_encuesta[[#This Row],[Mi supervisor o jefe directo me otorga el soporte que necesito para afrontar cualquier problema que afecte mi trabajo]],#REF!,#REF!)</f>
        <v>#REF!</v>
      </c>
      <c r="L1192" t="s">
        <v>23</v>
      </c>
      <c r="M1192" t="e">
        <f>+_xlfn.XLOOKUP(tbl_encuesta[[#This Row],[Mi supervisor o jefe directo fomenta que nos apoyemos entre todos en el equipo]],#REF!,#REF!)</f>
        <v>#REF!</v>
      </c>
      <c r="N1192" t="s">
        <v>23</v>
      </c>
      <c r="O1192" t="e">
        <f>+_xlfn.XLOOKUP(tbl_encuesta[[#This Row],[Siento que mi trabajo es reconocido por mi supervisor o jefe directo.]],#REF!,#REF!)</f>
        <v>#REF!</v>
      </c>
      <c r="P1192" t="s">
        <v>31</v>
      </c>
      <c r="Q1192" t="e">
        <f xml:space="preserve">
_xlfn.XLOOKUP(
tbl_encuesta[[#This Row],[Mi supervisor o jefe directo nos brinda charlas de 5 minutos y comunica las novedades relevantes a mi puesto de trabajo]],#REF!,#REF!
)</f>
        <v>#REF!</v>
      </c>
      <c r="R1192" t="s">
        <v>17</v>
      </c>
      <c r="W1192" t="s">
        <v>25</v>
      </c>
      <c r="X1192" t="s">
        <v>23</v>
      </c>
      <c r="Y1192" t="e">
        <f>+_xlfn.XLOOKUP(tbl_encuesta[[#This Row],[Considero a Limtek como un buen lugar para trabajar]],#REF!,#REF!)</f>
        <v>#REF!</v>
      </c>
      <c r="Z1192" t="s">
        <v>2969</v>
      </c>
      <c r="AA1192" t="s">
        <v>630</v>
      </c>
      <c r="AB1192" t="s">
        <v>28</v>
      </c>
      <c r="AC1192" s="3" t="s">
        <v>3736</v>
      </c>
      <c r="AD1192" s="3" t="s">
        <v>3740</v>
      </c>
      <c r="AE1192" t="s">
        <v>61</v>
      </c>
    </row>
    <row r="1193" spans="1:31" x14ac:dyDescent="0.25">
      <c r="A1193">
        <v>119025854003</v>
      </c>
      <c r="B1193">
        <v>462598545</v>
      </c>
      <c r="C1193" s="1">
        <v>46014.704305555555</v>
      </c>
      <c r="D1193" s="1">
        <v>46014.709652777776</v>
      </c>
      <c r="E1193" t="s">
        <v>2970</v>
      </c>
      <c r="F1193" t="s">
        <v>23</v>
      </c>
      <c r="G1193" t="e">
        <f>+_xlfn.XLOOKUP(tbl_encuesta[[#This Row],[Me siento a gusto con el ambiente de trabajo que se genera en mi equipo.]],#REF!,#REF!)</f>
        <v>#REF!</v>
      </c>
      <c r="H1193" t="s">
        <v>23</v>
      </c>
      <c r="I1193" t="e">
        <f>+_xlfn.XLOOKUP(tbl_encuesta[[#This Row],[Me siento motivado a dar lo mejor de mí y hacer un buen trabajo]],#REF!,#REF!)</f>
        <v>#REF!</v>
      </c>
      <c r="J1193" t="s">
        <v>23</v>
      </c>
      <c r="K1193" t="e">
        <f>+_xlfn.XLOOKUP(tbl_encuesta[[#This Row],[Mi supervisor o jefe directo me otorga el soporte que necesito para afrontar cualquier problema que afecte mi trabajo]],#REF!,#REF!)</f>
        <v>#REF!</v>
      </c>
      <c r="L1193" t="s">
        <v>23</v>
      </c>
      <c r="M1193" t="e">
        <f>+_xlfn.XLOOKUP(tbl_encuesta[[#This Row],[Mi supervisor o jefe directo fomenta que nos apoyemos entre todos en el equipo]],#REF!,#REF!)</f>
        <v>#REF!</v>
      </c>
      <c r="N1193" t="s">
        <v>23</v>
      </c>
      <c r="O1193" t="e">
        <f>+_xlfn.XLOOKUP(tbl_encuesta[[#This Row],[Siento que mi trabajo es reconocido por mi supervisor o jefe directo.]],#REF!,#REF!)</f>
        <v>#REF!</v>
      </c>
      <c r="P1193" t="s">
        <v>31</v>
      </c>
      <c r="Q1193" t="e">
        <f xml:space="preserve">
_xlfn.XLOOKUP(
tbl_encuesta[[#This Row],[Mi supervisor o jefe directo nos brinda charlas de 5 minutos y comunica las novedades relevantes a mi puesto de trabajo]],#REF!,#REF!
)</f>
        <v>#REF!</v>
      </c>
      <c r="R1193" t="s">
        <v>17</v>
      </c>
      <c r="S1193" t="s">
        <v>18</v>
      </c>
      <c r="W1193" t="s">
        <v>25</v>
      </c>
      <c r="X1193" t="s">
        <v>23</v>
      </c>
      <c r="Y1193" t="e">
        <f>+_xlfn.XLOOKUP(tbl_encuesta[[#This Row],[Considero a Limtek como un buen lugar para trabajar]],#REF!,#REF!)</f>
        <v>#REF!</v>
      </c>
      <c r="Z1193" t="s">
        <v>2971</v>
      </c>
      <c r="AA1193" t="s">
        <v>2972</v>
      </c>
      <c r="AB1193" t="s">
        <v>28</v>
      </c>
      <c r="AC1193" s="3" t="s">
        <v>3705</v>
      </c>
      <c r="AD1193" s="3" t="s">
        <v>3705</v>
      </c>
      <c r="AE1193" t="s">
        <v>34</v>
      </c>
    </row>
    <row r="1194" spans="1:31" x14ac:dyDescent="0.25">
      <c r="A1194">
        <v>119025853006</v>
      </c>
      <c r="B1194">
        <v>462598545</v>
      </c>
      <c r="C1194" s="1">
        <v>46014.706597222219</v>
      </c>
      <c r="D1194" s="1">
        <v>46014.707685185182</v>
      </c>
      <c r="E1194" t="s">
        <v>2968</v>
      </c>
      <c r="F1194" t="s">
        <v>23</v>
      </c>
      <c r="G1194" t="e">
        <f>+_xlfn.XLOOKUP(tbl_encuesta[[#This Row],[Me siento a gusto con el ambiente de trabajo que se genera en mi equipo.]],#REF!,#REF!)</f>
        <v>#REF!</v>
      </c>
      <c r="H1194" t="s">
        <v>23</v>
      </c>
      <c r="I1194" t="e">
        <f>+_xlfn.XLOOKUP(tbl_encuesta[[#This Row],[Me siento motivado a dar lo mejor de mí y hacer un buen trabajo]],#REF!,#REF!)</f>
        <v>#REF!</v>
      </c>
      <c r="J1194" t="s">
        <v>23</v>
      </c>
      <c r="K1194" t="e">
        <f>+_xlfn.XLOOKUP(tbl_encuesta[[#This Row],[Mi supervisor o jefe directo me otorga el soporte que necesito para afrontar cualquier problema que afecte mi trabajo]],#REF!,#REF!)</f>
        <v>#REF!</v>
      </c>
      <c r="L1194" t="s">
        <v>23</v>
      </c>
      <c r="M1194" t="e">
        <f>+_xlfn.XLOOKUP(tbl_encuesta[[#This Row],[Mi supervisor o jefe directo fomenta que nos apoyemos entre todos en el equipo]],#REF!,#REF!)</f>
        <v>#REF!</v>
      </c>
      <c r="N1194" t="s">
        <v>23</v>
      </c>
      <c r="O1194" t="e">
        <f>+_xlfn.XLOOKUP(tbl_encuesta[[#This Row],[Siento que mi trabajo es reconocido por mi supervisor o jefe directo.]],#REF!,#REF!)</f>
        <v>#REF!</v>
      </c>
      <c r="P1194" t="s">
        <v>67</v>
      </c>
      <c r="Q1194" t="e">
        <f xml:space="preserve">
_xlfn.XLOOKUP(
tbl_encuesta[[#This Row],[Mi supervisor o jefe directo nos brinda charlas de 5 minutos y comunica las novedades relevantes a mi puesto de trabajo]],#REF!,#REF!
)</f>
        <v>#REF!</v>
      </c>
      <c r="S1194" t="s">
        <v>18</v>
      </c>
      <c r="U1194" t="s">
        <v>20</v>
      </c>
      <c r="W1194" t="s">
        <v>25</v>
      </c>
      <c r="X1194" t="s">
        <v>23</v>
      </c>
      <c r="Y1194" t="e">
        <f>+_xlfn.XLOOKUP(tbl_encuesta[[#This Row],[Considero a Limtek como un buen lugar para trabajar]],#REF!,#REF!)</f>
        <v>#REF!</v>
      </c>
      <c r="Z1194" t="s">
        <v>2973</v>
      </c>
      <c r="AA1194" t="s">
        <v>2974</v>
      </c>
      <c r="AB1194" t="s">
        <v>28</v>
      </c>
      <c r="AC1194" s="3" t="s">
        <v>3736</v>
      </c>
      <c r="AD1194" s="3" t="s">
        <v>3740</v>
      </c>
      <c r="AE1194" t="s">
        <v>34</v>
      </c>
    </row>
    <row r="1195" spans="1:31" x14ac:dyDescent="0.25">
      <c r="A1195">
        <v>119025852248</v>
      </c>
      <c r="B1195">
        <v>462598545</v>
      </c>
      <c r="C1195" s="1">
        <v>46014.696469907409</v>
      </c>
      <c r="D1195" s="1">
        <v>46014.706180555557</v>
      </c>
      <c r="E1195" t="s">
        <v>2968</v>
      </c>
      <c r="F1195" t="s">
        <v>23</v>
      </c>
      <c r="G1195" t="e">
        <f>+_xlfn.XLOOKUP(tbl_encuesta[[#This Row],[Me siento a gusto con el ambiente de trabajo que se genera en mi equipo.]],#REF!,#REF!)</f>
        <v>#REF!</v>
      </c>
      <c r="H1195" t="s">
        <v>23</v>
      </c>
      <c r="I1195" t="e">
        <f>+_xlfn.XLOOKUP(tbl_encuesta[[#This Row],[Me siento motivado a dar lo mejor de mí y hacer un buen trabajo]],#REF!,#REF!)</f>
        <v>#REF!</v>
      </c>
      <c r="J1195" t="s">
        <v>23</v>
      </c>
      <c r="K1195" t="e">
        <f>+_xlfn.XLOOKUP(tbl_encuesta[[#This Row],[Mi supervisor o jefe directo me otorga el soporte que necesito para afrontar cualquier problema que afecte mi trabajo]],#REF!,#REF!)</f>
        <v>#REF!</v>
      </c>
      <c r="L1195" t="s">
        <v>23</v>
      </c>
      <c r="M1195" t="e">
        <f>+_xlfn.XLOOKUP(tbl_encuesta[[#This Row],[Mi supervisor o jefe directo fomenta que nos apoyemos entre todos en el equipo]],#REF!,#REF!)</f>
        <v>#REF!</v>
      </c>
      <c r="N1195" t="s">
        <v>23</v>
      </c>
      <c r="O1195" t="e">
        <f>+_xlfn.XLOOKUP(tbl_encuesta[[#This Row],[Siento que mi trabajo es reconocido por mi supervisor o jefe directo.]],#REF!,#REF!)</f>
        <v>#REF!</v>
      </c>
      <c r="P1195" t="s">
        <v>67</v>
      </c>
      <c r="Q1195" t="e">
        <f xml:space="preserve">
_xlfn.XLOOKUP(
tbl_encuesta[[#This Row],[Mi supervisor o jefe directo nos brinda charlas de 5 minutos y comunica las novedades relevantes a mi puesto de trabajo]],#REF!,#REF!
)</f>
        <v>#REF!</v>
      </c>
      <c r="S1195" t="s">
        <v>18</v>
      </c>
      <c r="U1195" t="s">
        <v>20</v>
      </c>
      <c r="W1195" t="s">
        <v>25</v>
      </c>
      <c r="X1195" t="s">
        <v>23</v>
      </c>
      <c r="Y1195" t="e">
        <f>+_xlfn.XLOOKUP(tbl_encuesta[[#This Row],[Considero a Limtek como un buen lugar para trabajar]],#REF!,#REF!)</f>
        <v>#REF!</v>
      </c>
      <c r="Z1195" t="s">
        <v>2975</v>
      </c>
      <c r="AA1195" t="s">
        <v>2976</v>
      </c>
      <c r="AB1195" t="s">
        <v>28</v>
      </c>
      <c r="AC1195" s="3" t="s">
        <v>3736</v>
      </c>
      <c r="AD1195" s="3" t="s">
        <v>3740</v>
      </c>
      <c r="AE1195" t="s">
        <v>34</v>
      </c>
    </row>
    <row r="1196" spans="1:31" x14ac:dyDescent="0.25">
      <c r="A1196">
        <v>119025851513</v>
      </c>
      <c r="B1196">
        <v>462598545</v>
      </c>
      <c r="C1196" s="1">
        <v>46014.698796296296</v>
      </c>
      <c r="D1196" s="1">
        <v>46014.704675925925</v>
      </c>
      <c r="E1196" t="s">
        <v>2977</v>
      </c>
      <c r="F1196" t="s">
        <v>23</v>
      </c>
      <c r="G1196" t="e">
        <f>+_xlfn.XLOOKUP(tbl_encuesta[[#This Row],[Me siento a gusto con el ambiente de trabajo que se genera en mi equipo.]],#REF!,#REF!)</f>
        <v>#REF!</v>
      </c>
      <c r="H1196" t="s">
        <v>23</v>
      </c>
      <c r="I1196" t="e">
        <f>+_xlfn.XLOOKUP(tbl_encuesta[[#This Row],[Me siento motivado a dar lo mejor de mí y hacer un buen trabajo]],#REF!,#REF!)</f>
        <v>#REF!</v>
      </c>
      <c r="J1196" t="s">
        <v>23</v>
      </c>
      <c r="K1196" t="e">
        <f>+_xlfn.XLOOKUP(tbl_encuesta[[#This Row],[Mi supervisor o jefe directo me otorga el soporte que necesito para afrontar cualquier problema que afecte mi trabajo]],#REF!,#REF!)</f>
        <v>#REF!</v>
      </c>
      <c r="L1196" t="s">
        <v>23</v>
      </c>
      <c r="M1196" t="e">
        <f>+_xlfn.XLOOKUP(tbl_encuesta[[#This Row],[Mi supervisor o jefe directo fomenta que nos apoyemos entre todos en el equipo]],#REF!,#REF!)</f>
        <v>#REF!</v>
      </c>
      <c r="N1196" t="s">
        <v>23</v>
      </c>
      <c r="O1196" t="e">
        <f>+_xlfn.XLOOKUP(tbl_encuesta[[#This Row],[Siento que mi trabajo es reconocido por mi supervisor o jefe directo.]],#REF!,#REF!)</f>
        <v>#REF!</v>
      </c>
      <c r="P1196" t="s">
        <v>67</v>
      </c>
      <c r="Q1196" t="e">
        <f xml:space="preserve">
_xlfn.XLOOKUP(
tbl_encuesta[[#This Row],[Mi supervisor o jefe directo nos brinda charlas de 5 minutos y comunica las novedades relevantes a mi puesto de trabajo]],#REF!,#REF!
)</f>
        <v>#REF!</v>
      </c>
      <c r="R1196" t="s">
        <v>17</v>
      </c>
      <c r="W1196" t="s">
        <v>25</v>
      </c>
      <c r="X1196" t="s">
        <v>22</v>
      </c>
      <c r="Y1196" t="e">
        <f>+_xlfn.XLOOKUP(tbl_encuesta[[#This Row],[Considero a Limtek como un buen lugar para trabajar]],#REF!,#REF!)</f>
        <v>#REF!</v>
      </c>
      <c r="Z1196" t="s">
        <v>2978</v>
      </c>
      <c r="AA1196" t="s">
        <v>2979</v>
      </c>
      <c r="AB1196" t="s">
        <v>559</v>
      </c>
      <c r="AC1196" s="3" t="s">
        <v>3782</v>
      </c>
      <c r="AD1196" s="3" t="s">
        <v>559</v>
      </c>
      <c r="AE1196" t="s">
        <v>29</v>
      </c>
    </row>
    <row r="1197" spans="1:31" x14ac:dyDescent="0.25">
      <c r="A1197">
        <v>119025851036</v>
      </c>
      <c r="B1197">
        <v>462598545</v>
      </c>
      <c r="C1197" s="1">
        <v>46014.701550925929</v>
      </c>
      <c r="D1197" s="1">
        <v>46014.70380787037</v>
      </c>
      <c r="E1197" t="s">
        <v>2493</v>
      </c>
      <c r="F1197" t="s">
        <v>23</v>
      </c>
      <c r="G1197" t="e">
        <f>+_xlfn.XLOOKUP(tbl_encuesta[[#This Row],[Me siento a gusto con el ambiente de trabajo que se genera en mi equipo.]],#REF!,#REF!)</f>
        <v>#REF!</v>
      </c>
      <c r="H1197" t="s">
        <v>23</v>
      </c>
      <c r="I1197" t="e">
        <f>+_xlfn.XLOOKUP(tbl_encuesta[[#This Row],[Me siento motivado a dar lo mejor de mí y hacer un buen trabajo]],#REF!,#REF!)</f>
        <v>#REF!</v>
      </c>
      <c r="J1197" t="s">
        <v>97</v>
      </c>
      <c r="K1197" t="e">
        <f>+_xlfn.XLOOKUP(tbl_encuesta[[#This Row],[Mi supervisor o jefe directo me otorga el soporte que necesito para afrontar cualquier problema que afecte mi trabajo]],#REF!,#REF!)</f>
        <v>#REF!</v>
      </c>
      <c r="L1197" t="s">
        <v>97</v>
      </c>
      <c r="M1197" t="e">
        <f>+_xlfn.XLOOKUP(tbl_encuesta[[#This Row],[Mi supervisor o jefe directo fomenta que nos apoyemos entre todos en el equipo]],#REF!,#REF!)</f>
        <v>#REF!</v>
      </c>
      <c r="N1197" t="s">
        <v>97</v>
      </c>
      <c r="O1197" t="e">
        <f>+_xlfn.XLOOKUP(tbl_encuesta[[#This Row],[Siento que mi trabajo es reconocido por mi supervisor o jefe directo.]],#REF!,#REF!)</f>
        <v>#REF!</v>
      </c>
      <c r="P1197" t="s">
        <v>31</v>
      </c>
      <c r="Q1197" t="e">
        <f xml:space="preserve">
_xlfn.XLOOKUP(
tbl_encuesta[[#This Row],[Mi supervisor o jefe directo nos brinda charlas de 5 minutos y comunica las novedades relevantes a mi puesto de trabajo]],#REF!,#REF!
)</f>
        <v>#REF!</v>
      </c>
      <c r="S1197" t="s">
        <v>18</v>
      </c>
      <c r="W1197" t="s">
        <v>25</v>
      </c>
      <c r="X1197" t="s">
        <v>23</v>
      </c>
      <c r="Y1197" t="e">
        <f>+_xlfn.XLOOKUP(tbl_encuesta[[#This Row],[Considero a Limtek como un buen lugar para trabajar]],#REF!,#REF!)</f>
        <v>#REF!</v>
      </c>
      <c r="Z1197" t="s">
        <v>2980</v>
      </c>
      <c r="AA1197" t="s">
        <v>2981</v>
      </c>
      <c r="AB1197" t="s">
        <v>28</v>
      </c>
      <c r="AC1197" s="3" t="s">
        <v>3705</v>
      </c>
      <c r="AD1197" s="3" t="s">
        <v>3712</v>
      </c>
      <c r="AE1197" t="s">
        <v>69</v>
      </c>
    </row>
    <row r="1198" spans="1:31" x14ac:dyDescent="0.25">
      <c r="A1198">
        <v>119025850665</v>
      </c>
      <c r="B1198">
        <v>462598545</v>
      </c>
      <c r="C1198" s="1">
        <v>46014.699178240742</v>
      </c>
      <c r="D1198" s="1">
        <v>46014.703055555554</v>
      </c>
      <c r="E1198" t="s">
        <v>2982</v>
      </c>
      <c r="F1198" t="s">
        <v>23</v>
      </c>
      <c r="G1198" t="e">
        <f>+_xlfn.XLOOKUP(tbl_encuesta[[#This Row],[Me siento a gusto con el ambiente de trabajo que se genera en mi equipo.]],#REF!,#REF!)</f>
        <v>#REF!</v>
      </c>
      <c r="H1198" t="s">
        <v>23</v>
      </c>
      <c r="I1198" t="e">
        <f>+_xlfn.XLOOKUP(tbl_encuesta[[#This Row],[Me siento motivado a dar lo mejor de mí y hacer un buen trabajo]],#REF!,#REF!)</f>
        <v>#REF!</v>
      </c>
      <c r="J1198" t="s">
        <v>23</v>
      </c>
      <c r="K1198" t="e">
        <f>+_xlfn.XLOOKUP(tbl_encuesta[[#This Row],[Mi supervisor o jefe directo me otorga el soporte que necesito para afrontar cualquier problema que afecte mi trabajo]],#REF!,#REF!)</f>
        <v>#REF!</v>
      </c>
      <c r="L1198" t="s">
        <v>22</v>
      </c>
      <c r="M1198" t="e">
        <f>+_xlfn.XLOOKUP(tbl_encuesta[[#This Row],[Mi supervisor o jefe directo fomenta que nos apoyemos entre todos en el equipo]],#REF!,#REF!)</f>
        <v>#REF!</v>
      </c>
      <c r="N1198" t="s">
        <v>22</v>
      </c>
      <c r="O1198" t="e">
        <f>+_xlfn.XLOOKUP(tbl_encuesta[[#This Row],[Siento que mi trabajo es reconocido por mi supervisor o jefe directo.]],#REF!,#REF!)</f>
        <v>#REF!</v>
      </c>
      <c r="P1198" t="s">
        <v>67</v>
      </c>
      <c r="Q1198" t="e">
        <f xml:space="preserve">
_xlfn.XLOOKUP(
tbl_encuesta[[#This Row],[Mi supervisor o jefe directo nos brinda charlas de 5 minutos y comunica las novedades relevantes a mi puesto de trabajo]],#REF!,#REF!
)</f>
        <v>#REF!</v>
      </c>
      <c r="R1198" t="s">
        <v>17</v>
      </c>
      <c r="W1198" t="s">
        <v>25</v>
      </c>
      <c r="X1198" t="s">
        <v>23</v>
      </c>
      <c r="Y1198" t="e">
        <f>+_xlfn.XLOOKUP(tbl_encuesta[[#This Row],[Considero a Limtek como un buen lugar para trabajar]],#REF!,#REF!)</f>
        <v>#REF!</v>
      </c>
      <c r="Z1198" t="s">
        <v>2983</v>
      </c>
      <c r="AA1198" t="s">
        <v>2984</v>
      </c>
      <c r="AB1198" t="s">
        <v>559</v>
      </c>
      <c r="AC1198" s="3" t="s">
        <v>3782</v>
      </c>
      <c r="AD1198" s="3" t="s">
        <v>3782</v>
      </c>
      <c r="AE1198" t="s">
        <v>29</v>
      </c>
    </row>
    <row r="1199" spans="1:31" x14ac:dyDescent="0.25">
      <c r="A1199">
        <v>119025849817</v>
      </c>
      <c r="B1199">
        <v>462598545</v>
      </c>
      <c r="C1199" s="1">
        <v>46014.697222222225</v>
      </c>
      <c r="D1199" s="1">
        <v>46014.701412037037</v>
      </c>
      <c r="E1199" t="s">
        <v>2985</v>
      </c>
      <c r="F1199" t="s">
        <v>23</v>
      </c>
      <c r="G1199" t="e">
        <f>+_xlfn.XLOOKUP(tbl_encuesta[[#This Row],[Me siento a gusto con el ambiente de trabajo que se genera en mi equipo.]],#REF!,#REF!)</f>
        <v>#REF!</v>
      </c>
      <c r="H1199" t="s">
        <v>23</v>
      </c>
      <c r="I1199" t="e">
        <f>+_xlfn.XLOOKUP(tbl_encuesta[[#This Row],[Me siento motivado a dar lo mejor de mí y hacer un buen trabajo]],#REF!,#REF!)</f>
        <v>#REF!</v>
      </c>
      <c r="J1199" t="s">
        <v>23</v>
      </c>
      <c r="K1199" t="e">
        <f>+_xlfn.XLOOKUP(tbl_encuesta[[#This Row],[Mi supervisor o jefe directo me otorga el soporte que necesito para afrontar cualquier problema que afecte mi trabajo]],#REF!,#REF!)</f>
        <v>#REF!</v>
      </c>
      <c r="L1199" t="s">
        <v>23</v>
      </c>
      <c r="M1199" t="e">
        <f>+_xlfn.XLOOKUP(tbl_encuesta[[#This Row],[Mi supervisor o jefe directo fomenta que nos apoyemos entre todos en el equipo]],#REF!,#REF!)</f>
        <v>#REF!</v>
      </c>
      <c r="N1199" t="s">
        <v>22</v>
      </c>
      <c r="O1199" t="e">
        <f>+_xlfn.XLOOKUP(tbl_encuesta[[#This Row],[Siento que mi trabajo es reconocido por mi supervisor o jefe directo.]],#REF!,#REF!)</f>
        <v>#REF!</v>
      </c>
      <c r="P1199" t="s">
        <v>31</v>
      </c>
      <c r="Q1199" t="e">
        <f xml:space="preserve">
_xlfn.XLOOKUP(
tbl_encuesta[[#This Row],[Mi supervisor o jefe directo nos brinda charlas de 5 minutos y comunica las novedades relevantes a mi puesto de trabajo]],#REF!,#REF!
)</f>
        <v>#REF!</v>
      </c>
      <c r="U1199" t="s">
        <v>20</v>
      </c>
      <c r="W1199" t="s">
        <v>25</v>
      </c>
      <c r="X1199" t="s">
        <v>23</v>
      </c>
      <c r="Y1199" t="e">
        <f>+_xlfn.XLOOKUP(tbl_encuesta[[#This Row],[Considero a Limtek como un buen lugar para trabajar]],#REF!,#REF!)</f>
        <v>#REF!</v>
      </c>
      <c r="Z1199" t="s">
        <v>2986</v>
      </c>
      <c r="AA1199" t="s">
        <v>2987</v>
      </c>
      <c r="AB1199" t="s">
        <v>28</v>
      </c>
      <c r="AC1199" s="3" t="s">
        <v>3705</v>
      </c>
      <c r="AD1199" s="3" t="s">
        <v>3711</v>
      </c>
      <c r="AE1199" t="s">
        <v>61</v>
      </c>
    </row>
    <row r="1200" spans="1:31" x14ac:dyDescent="0.25">
      <c r="A1200">
        <v>119025849300</v>
      </c>
      <c r="B1200">
        <v>462598545</v>
      </c>
      <c r="C1200" s="1">
        <v>46014.697951388887</v>
      </c>
      <c r="D1200" s="1">
        <v>46014.700381944444</v>
      </c>
      <c r="E1200" t="s">
        <v>2988</v>
      </c>
      <c r="F1200" t="s">
        <v>23</v>
      </c>
      <c r="G1200" t="e">
        <f>+_xlfn.XLOOKUP(tbl_encuesta[[#This Row],[Me siento a gusto con el ambiente de trabajo que se genera en mi equipo.]],#REF!,#REF!)</f>
        <v>#REF!</v>
      </c>
      <c r="H1200" t="s">
        <v>23</v>
      </c>
      <c r="I1200" t="e">
        <f>+_xlfn.XLOOKUP(tbl_encuesta[[#This Row],[Me siento motivado a dar lo mejor de mí y hacer un buen trabajo]],#REF!,#REF!)</f>
        <v>#REF!</v>
      </c>
      <c r="J1200" t="s">
        <v>23</v>
      </c>
      <c r="K1200" t="e">
        <f>+_xlfn.XLOOKUP(tbl_encuesta[[#This Row],[Mi supervisor o jefe directo me otorga el soporte que necesito para afrontar cualquier problema que afecte mi trabajo]],#REF!,#REF!)</f>
        <v>#REF!</v>
      </c>
      <c r="L1200" t="s">
        <v>23</v>
      </c>
      <c r="M1200" t="e">
        <f>+_xlfn.XLOOKUP(tbl_encuesta[[#This Row],[Mi supervisor o jefe directo fomenta que nos apoyemos entre todos en el equipo]],#REF!,#REF!)</f>
        <v>#REF!</v>
      </c>
      <c r="N1200" t="s">
        <v>23</v>
      </c>
      <c r="O1200" t="e">
        <f>+_xlfn.XLOOKUP(tbl_encuesta[[#This Row],[Siento que mi trabajo es reconocido por mi supervisor o jefe directo.]],#REF!,#REF!)</f>
        <v>#REF!</v>
      </c>
      <c r="P1200" t="s">
        <v>31</v>
      </c>
      <c r="Q1200" t="e">
        <f xml:space="preserve">
_xlfn.XLOOKUP(
tbl_encuesta[[#This Row],[Mi supervisor o jefe directo nos brinda charlas de 5 minutos y comunica las novedades relevantes a mi puesto de trabajo]],#REF!,#REF!
)</f>
        <v>#REF!</v>
      </c>
      <c r="R1200" t="s">
        <v>17</v>
      </c>
      <c r="W1200" t="s">
        <v>25</v>
      </c>
      <c r="X1200" t="s">
        <v>23</v>
      </c>
      <c r="Y1200" t="e">
        <f>+_xlfn.XLOOKUP(tbl_encuesta[[#This Row],[Considero a Limtek como un buen lugar para trabajar]],#REF!,#REF!)</f>
        <v>#REF!</v>
      </c>
      <c r="Z1200" t="s">
        <v>2989</v>
      </c>
      <c r="AA1200" t="s">
        <v>2990</v>
      </c>
      <c r="AB1200" t="s">
        <v>559</v>
      </c>
      <c r="AC1200" s="3" t="s">
        <v>3782</v>
      </c>
      <c r="AD1200" s="3" t="s">
        <v>559</v>
      </c>
      <c r="AE1200" t="s">
        <v>61</v>
      </c>
    </row>
    <row r="1201" spans="1:31" x14ac:dyDescent="0.25">
      <c r="A1201">
        <v>119025848410</v>
      </c>
      <c r="B1201">
        <v>462598545</v>
      </c>
      <c r="C1201" s="1">
        <v>46014.697951388887</v>
      </c>
      <c r="D1201" s="1">
        <v>46014.698530092595</v>
      </c>
      <c r="E1201" t="s">
        <v>2991</v>
      </c>
      <c r="F1201" t="s">
        <v>23</v>
      </c>
      <c r="G1201" t="e">
        <f>+_xlfn.XLOOKUP(tbl_encuesta[[#This Row],[Me siento a gusto con el ambiente de trabajo que se genera en mi equipo.]],#REF!,#REF!)</f>
        <v>#REF!</v>
      </c>
      <c r="H1201" t="s">
        <v>23</v>
      </c>
      <c r="I1201" t="e">
        <f>+_xlfn.XLOOKUP(tbl_encuesta[[#This Row],[Me siento motivado a dar lo mejor de mí y hacer un buen trabajo]],#REF!,#REF!)</f>
        <v>#REF!</v>
      </c>
      <c r="J1201" t="s">
        <v>23</v>
      </c>
      <c r="K1201" t="e">
        <f>+_xlfn.XLOOKUP(tbl_encuesta[[#This Row],[Mi supervisor o jefe directo me otorga el soporte que necesito para afrontar cualquier problema que afecte mi trabajo]],#REF!,#REF!)</f>
        <v>#REF!</v>
      </c>
      <c r="L1201" t="s">
        <v>23</v>
      </c>
      <c r="M1201" t="e">
        <f>+_xlfn.XLOOKUP(tbl_encuesta[[#This Row],[Mi supervisor o jefe directo fomenta que nos apoyemos entre todos en el equipo]],#REF!,#REF!)</f>
        <v>#REF!</v>
      </c>
      <c r="N1201" t="s">
        <v>23</v>
      </c>
      <c r="O1201" t="e">
        <f>+_xlfn.XLOOKUP(tbl_encuesta[[#This Row],[Siento que mi trabajo es reconocido por mi supervisor o jefe directo.]],#REF!,#REF!)</f>
        <v>#REF!</v>
      </c>
      <c r="P1201" t="s">
        <v>67</v>
      </c>
      <c r="Q1201" t="e">
        <f xml:space="preserve">
_xlfn.XLOOKUP(
tbl_encuesta[[#This Row],[Mi supervisor o jefe directo nos brinda charlas de 5 minutos y comunica las novedades relevantes a mi puesto de trabajo]],#REF!,#REF!
)</f>
        <v>#REF!</v>
      </c>
      <c r="T1201" t="s">
        <v>19</v>
      </c>
      <c r="W1201" t="s">
        <v>25</v>
      </c>
      <c r="X1201" t="s">
        <v>22</v>
      </c>
      <c r="Y1201" t="e">
        <f>+_xlfn.XLOOKUP(tbl_encuesta[[#This Row],[Considero a Limtek como un buen lugar para trabajar]],#REF!,#REF!)</f>
        <v>#REF!</v>
      </c>
      <c r="Z1201" t="s">
        <v>1757</v>
      </c>
      <c r="AA1201" t="s">
        <v>2992</v>
      </c>
      <c r="AB1201" t="s">
        <v>559</v>
      </c>
      <c r="AC1201" s="3" t="s">
        <v>3782</v>
      </c>
      <c r="AD1201" s="3" t="s">
        <v>559</v>
      </c>
      <c r="AE1201" t="s">
        <v>61</v>
      </c>
    </row>
    <row r="1202" spans="1:31" x14ac:dyDescent="0.25">
      <c r="A1202">
        <v>119025848004</v>
      </c>
      <c r="B1202">
        <v>462598545</v>
      </c>
      <c r="C1202" s="1">
        <v>46014.696076388886</v>
      </c>
      <c r="D1202" s="1">
        <v>46014.697754629633</v>
      </c>
      <c r="E1202" t="s">
        <v>2993</v>
      </c>
      <c r="F1202" t="s">
        <v>22</v>
      </c>
      <c r="G1202" t="e">
        <f>+_xlfn.XLOOKUP(tbl_encuesta[[#This Row],[Me siento a gusto con el ambiente de trabajo que se genera en mi equipo.]],#REF!,#REF!)</f>
        <v>#REF!</v>
      </c>
      <c r="H1202" t="s">
        <v>22</v>
      </c>
      <c r="I1202" t="e">
        <f>+_xlfn.XLOOKUP(tbl_encuesta[[#This Row],[Me siento motivado a dar lo mejor de mí y hacer un buen trabajo]],#REF!,#REF!)</f>
        <v>#REF!</v>
      </c>
      <c r="J1202" t="s">
        <v>22</v>
      </c>
      <c r="K1202" t="e">
        <f>+_xlfn.XLOOKUP(tbl_encuesta[[#This Row],[Mi supervisor o jefe directo me otorga el soporte que necesito para afrontar cualquier problema que afecte mi trabajo]],#REF!,#REF!)</f>
        <v>#REF!</v>
      </c>
      <c r="L1202" t="s">
        <v>22</v>
      </c>
      <c r="M1202" t="e">
        <f>+_xlfn.XLOOKUP(tbl_encuesta[[#This Row],[Mi supervisor o jefe directo fomenta que nos apoyemos entre todos en el equipo]],#REF!,#REF!)</f>
        <v>#REF!</v>
      </c>
      <c r="N1202" t="s">
        <v>22</v>
      </c>
      <c r="O1202" t="e">
        <f>+_xlfn.XLOOKUP(tbl_encuesta[[#This Row],[Siento que mi trabajo es reconocido por mi supervisor o jefe directo.]],#REF!,#REF!)</f>
        <v>#REF!</v>
      </c>
      <c r="P1202" t="s">
        <v>67</v>
      </c>
      <c r="Q1202" t="e">
        <f xml:space="preserve">
_xlfn.XLOOKUP(
tbl_encuesta[[#This Row],[Mi supervisor o jefe directo nos brinda charlas de 5 minutos y comunica las novedades relevantes a mi puesto de trabajo]],#REF!,#REF!
)</f>
        <v>#REF!</v>
      </c>
      <c r="R1202" t="s">
        <v>17</v>
      </c>
      <c r="S1202" t="s">
        <v>18</v>
      </c>
      <c r="W1202" t="s">
        <v>25</v>
      </c>
      <c r="X1202" t="s">
        <v>97</v>
      </c>
      <c r="Y1202" t="e">
        <f>+_xlfn.XLOOKUP(tbl_encuesta[[#This Row],[Considero a Limtek como un buen lugar para trabajar]],#REF!,#REF!)</f>
        <v>#REF!</v>
      </c>
      <c r="Z1202" t="s">
        <v>2994</v>
      </c>
      <c r="AA1202" t="s">
        <v>2995</v>
      </c>
      <c r="AB1202" t="s">
        <v>28</v>
      </c>
      <c r="AC1202" s="3" t="s">
        <v>3736</v>
      </c>
      <c r="AD1202" s="3" t="s">
        <v>3740</v>
      </c>
      <c r="AE1202" t="s">
        <v>69</v>
      </c>
    </row>
    <row r="1203" spans="1:31" x14ac:dyDescent="0.25">
      <c r="A1203">
        <v>119025847983</v>
      </c>
      <c r="B1203">
        <v>462598545</v>
      </c>
      <c r="C1203" s="1">
        <v>46014.69</v>
      </c>
      <c r="D1203" s="1">
        <v>46014.69771990741</v>
      </c>
      <c r="E1203" t="s">
        <v>2493</v>
      </c>
      <c r="F1203" t="s">
        <v>22</v>
      </c>
      <c r="G1203" t="e">
        <f>+_xlfn.XLOOKUP(tbl_encuesta[[#This Row],[Me siento a gusto con el ambiente de trabajo que se genera en mi equipo.]],#REF!,#REF!)</f>
        <v>#REF!</v>
      </c>
      <c r="H1203" t="s">
        <v>22</v>
      </c>
      <c r="I1203" t="e">
        <f>+_xlfn.XLOOKUP(tbl_encuesta[[#This Row],[Me siento motivado a dar lo mejor de mí y hacer un buen trabajo]],#REF!,#REF!)</f>
        <v>#REF!</v>
      </c>
      <c r="J1203" t="s">
        <v>22</v>
      </c>
      <c r="K1203" t="e">
        <f>+_xlfn.XLOOKUP(tbl_encuesta[[#This Row],[Mi supervisor o jefe directo me otorga el soporte que necesito para afrontar cualquier problema que afecte mi trabajo]],#REF!,#REF!)</f>
        <v>#REF!</v>
      </c>
      <c r="L1203" t="s">
        <v>43</v>
      </c>
      <c r="M1203" t="e">
        <f>+_xlfn.XLOOKUP(tbl_encuesta[[#This Row],[Mi supervisor o jefe directo fomenta que nos apoyemos entre todos en el equipo]],#REF!,#REF!)</f>
        <v>#REF!</v>
      </c>
      <c r="N1203" t="s">
        <v>22</v>
      </c>
      <c r="O1203" t="e">
        <f>+_xlfn.XLOOKUP(tbl_encuesta[[#This Row],[Siento que mi trabajo es reconocido por mi supervisor o jefe directo.]],#REF!,#REF!)</f>
        <v>#REF!</v>
      </c>
      <c r="P1203" t="s">
        <v>24</v>
      </c>
      <c r="Q1203" t="e">
        <f xml:space="preserve">
_xlfn.XLOOKUP(
tbl_encuesta[[#This Row],[Mi supervisor o jefe directo nos brinda charlas de 5 minutos y comunica las novedades relevantes a mi puesto de trabajo]],#REF!,#REF!
)</f>
        <v>#REF!</v>
      </c>
      <c r="R1203" t="s">
        <v>17</v>
      </c>
      <c r="T1203" t="s">
        <v>19</v>
      </c>
      <c r="W1203" t="s">
        <v>25</v>
      </c>
      <c r="X1203" t="s">
        <v>22</v>
      </c>
      <c r="Y1203" t="e">
        <f>+_xlfn.XLOOKUP(tbl_encuesta[[#This Row],[Considero a Limtek como un buen lugar para trabajar]],#REF!,#REF!)</f>
        <v>#REF!</v>
      </c>
      <c r="Z1203" t="s">
        <v>2996</v>
      </c>
      <c r="AA1203" t="s">
        <v>2997</v>
      </c>
      <c r="AB1203" t="s">
        <v>28</v>
      </c>
      <c r="AC1203" s="3" t="s">
        <v>3705</v>
      </c>
      <c r="AD1203" s="3" t="s">
        <v>3712</v>
      </c>
      <c r="AE1203" t="s">
        <v>29</v>
      </c>
    </row>
    <row r="1204" spans="1:31" x14ac:dyDescent="0.25">
      <c r="A1204">
        <v>119025847595</v>
      </c>
      <c r="B1204">
        <v>462598545</v>
      </c>
      <c r="C1204" s="1">
        <v>46014.694733796299</v>
      </c>
      <c r="D1204" s="1">
        <v>46014.696898148148</v>
      </c>
      <c r="E1204" t="s">
        <v>2991</v>
      </c>
      <c r="F1204" t="s">
        <v>23</v>
      </c>
      <c r="G1204" t="e">
        <f>+_xlfn.XLOOKUP(tbl_encuesta[[#This Row],[Me siento a gusto con el ambiente de trabajo que se genera en mi equipo.]],#REF!,#REF!)</f>
        <v>#REF!</v>
      </c>
      <c r="H1204" t="s">
        <v>23</v>
      </c>
      <c r="I1204" t="e">
        <f>+_xlfn.XLOOKUP(tbl_encuesta[[#This Row],[Me siento motivado a dar lo mejor de mí y hacer un buen trabajo]],#REF!,#REF!)</f>
        <v>#REF!</v>
      </c>
      <c r="J1204" t="s">
        <v>23</v>
      </c>
      <c r="K1204" t="e">
        <f>+_xlfn.XLOOKUP(tbl_encuesta[[#This Row],[Mi supervisor o jefe directo me otorga el soporte que necesito para afrontar cualquier problema que afecte mi trabajo]],#REF!,#REF!)</f>
        <v>#REF!</v>
      </c>
      <c r="L1204" t="s">
        <v>23</v>
      </c>
      <c r="M1204" t="e">
        <f>+_xlfn.XLOOKUP(tbl_encuesta[[#This Row],[Mi supervisor o jefe directo fomenta que nos apoyemos entre todos en el equipo]],#REF!,#REF!)</f>
        <v>#REF!</v>
      </c>
      <c r="N1204" t="s">
        <v>23</v>
      </c>
      <c r="O1204" t="e">
        <f>+_xlfn.XLOOKUP(tbl_encuesta[[#This Row],[Siento que mi trabajo es reconocido por mi supervisor o jefe directo.]],#REF!,#REF!)</f>
        <v>#REF!</v>
      </c>
      <c r="P1204" t="s">
        <v>67</v>
      </c>
      <c r="Q1204" t="e">
        <f xml:space="preserve">
_xlfn.XLOOKUP(
tbl_encuesta[[#This Row],[Mi supervisor o jefe directo nos brinda charlas de 5 minutos y comunica las novedades relevantes a mi puesto de trabajo]],#REF!,#REF!
)</f>
        <v>#REF!</v>
      </c>
      <c r="T1204" t="s">
        <v>19</v>
      </c>
      <c r="W1204" t="s">
        <v>25</v>
      </c>
      <c r="X1204" t="s">
        <v>22</v>
      </c>
      <c r="Y1204" t="e">
        <f>+_xlfn.XLOOKUP(tbl_encuesta[[#This Row],[Considero a Limtek como un buen lugar para trabajar]],#REF!,#REF!)</f>
        <v>#REF!</v>
      </c>
      <c r="Z1204" t="s">
        <v>1757</v>
      </c>
      <c r="AA1204" t="s">
        <v>2992</v>
      </c>
      <c r="AB1204" t="s">
        <v>559</v>
      </c>
      <c r="AC1204" s="3" t="s">
        <v>3782</v>
      </c>
      <c r="AD1204" s="3" t="s">
        <v>559</v>
      </c>
      <c r="AE1204" t="s">
        <v>61</v>
      </c>
    </row>
    <row r="1205" spans="1:31" x14ac:dyDescent="0.25">
      <c r="A1205">
        <v>119025847478</v>
      </c>
      <c r="B1205">
        <v>462598545</v>
      </c>
      <c r="C1205" s="1">
        <v>46014.688969907409</v>
      </c>
      <c r="D1205" s="1">
        <v>46014.696666666663</v>
      </c>
      <c r="E1205" t="s">
        <v>2998</v>
      </c>
      <c r="F1205" t="s">
        <v>23</v>
      </c>
      <c r="G1205" t="e">
        <f>+_xlfn.XLOOKUP(tbl_encuesta[[#This Row],[Me siento a gusto con el ambiente de trabajo que se genera en mi equipo.]],#REF!,#REF!)</f>
        <v>#REF!</v>
      </c>
      <c r="H1205" t="s">
        <v>23</v>
      </c>
      <c r="I1205" t="e">
        <f>+_xlfn.XLOOKUP(tbl_encuesta[[#This Row],[Me siento motivado a dar lo mejor de mí y hacer un buen trabajo]],#REF!,#REF!)</f>
        <v>#REF!</v>
      </c>
      <c r="J1205" t="s">
        <v>22</v>
      </c>
      <c r="K1205" t="e">
        <f>+_xlfn.XLOOKUP(tbl_encuesta[[#This Row],[Mi supervisor o jefe directo me otorga el soporte que necesito para afrontar cualquier problema que afecte mi trabajo]],#REF!,#REF!)</f>
        <v>#REF!</v>
      </c>
      <c r="L1205" t="s">
        <v>23</v>
      </c>
      <c r="M1205" t="e">
        <f>+_xlfn.XLOOKUP(tbl_encuesta[[#This Row],[Mi supervisor o jefe directo fomenta que nos apoyemos entre todos en el equipo]],#REF!,#REF!)</f>
        <v>#REF!</v>
      </c>
      <c r="N1205" t="s">
        <v>23</v>
      </c>
      <c r="O1205" t="e">
        <f>+_xlfn.XLOOKUP(tbl_encuesta[[#This Row],[Siento que mi trabajo es reconocido por mi supervisor o jefe directo.]],#REF!,#REF!)</f>
        <v>#REF!</v>
      </c>
      <c r="P1205" t="s">
        <v>67</v>
      </c>
      <c r="Q1205" t="e">
        <f xml:space="preserve">
_xlfn.XLOOKUP(
tbl_encuesta[[#This Row],[Mi supervisor o jefe directo nos brinda charlas de 5 minutos y comunica las novedades relevantes a mi puesto de trabajo]],#REF!,#REF!
)</f>
        <v>#REF!</v>
      </c>
      <c r="R1205" t="s">
        <v>17</v>
      </c>
      <c r="T1205" t="s">
        <v>19</v>
      </c>
      <c r="W1205" t="s">
        <v>25</v>
      </c>
      <c r="X1205" t="s">
        <v>23</v>
      </c>
      <c r="Y1205" t="e">
        <f>+_xlfn.XLOOKUP(tbl_encuesta[[#This Row],[Considero a Limtek como un buen lugar para trabajar]],#REF!,#REF!)</f>
        <v>#REF!</v>
      </c>
      <c r="Z1205" t="s">
        <v>2999</v>
      </c>
      <c r="AA1205" t="s">
        <v>3000</v>
      </c>
      <c r="AB1205" t="s">
        <v>28</v>
      </c>
      <c r="AC1205" s="3" t="s">
        <v>3705</v>
      </c>
      <c r="AD1205" s="3" t="s">
        <v>3705</v>
      </c>
      <c r="AE1205" t="s">
        <v>69</v>
      </c>
    </row>
    <row r="1206" spans="1:31" x14ac:dyDescent="0.25">
      <c r="A1206">
        <v>119025847166</v>
      </c>
      <c r="B1206">
        <v>462598545</v>
      </c>
      <c r="C1206" s="1">
        <v>46014.692256944443</v>
      </c>
      <c r="D1206" s="1">
        <v>46014.69604166667</v>
      </c>
      <c r="E1206" t="s">
        <v>3001</v>
      </c>
      <c r="F1206" t="s">
        <v>23</v>
      </c>
      <c r="G1206" t="e">
        <f>+_xlfn.XLOOKUP(tbl_encuesta[[#This Row],[Me siento a gusto con el ambiente de trabajo que se genera en mi equipo.]],#REF!,#REF!)</f>
        <v>#REF!</v>
      </c>
      <c r="H1206" t="s">
        <v>23</v>
      </c>
      <c r="I1206" t="e">
        <f>+_xlfn.XLOOKUP(tbl_encuesta[[#This Row],[Me siento motivado a dar lo mejor de mí y hacer un buen trabajo]],#REF!,#REF!)</f>
        <v>#REF!</v>
      </c>
      <c r="J1206" t="s">
        <v>22</v>
      </c>
      <c r="K1206" t="e">
        <f>+_xlfn.XLOOKUP(tbl_encuesta[[#This Row],[Mi supervisor o jefe directo me otorga el soporte que necesito para afrontar cualquier problema que afecte mi trabajo]],#REF!,#REF!)</f>
        <v>#REF!</v>
      </c>
      <c r="L1206" t="s">
        <v>23</v>
      </c>
      <c r="M1206" t="e">
        <f>+_xlfn.XLOOKUP(tbl_encuesta[[#This Row],[Mi supervisor o jefe directo fomenta que nos apoyemos entre todos en el equipo]],#REF!,#REF!)</f>
        <v>#REF!</v>
      </c>
      <c r="N1206" t="s">
        <v>22</v>
      </c>
      <c r="O1206" t="e">
        <f>+_xlfn.XLOOKUP(tbl_encuesta[[#This Row],[Siento que mi trabajo es reconocido por mi supervisor o jefe directo.]],#REF!,#REF!)</f>
        <v>#REF!</v>
      </c>
      <c r="P1206" t="s">
        <v>67</v>
      </c>
      <c r="Q1206" t="e">
        <f xml:space="preserve">
_xlfn.XLOOKUP(
tbl_encuesta[[#This Row],[Mi supervisor o jefe directo nos brinda charlas de 5 minutos y comunica las novedades relevantes a mi puesto de trabajo]],#REF!,#REF!
)</f>
        <v>#REF!</v>
      </c>
      <c r="S1206" t="s">
        <v>18</v>
      </c>
      <c r="W1206" t="s">
        <v>25</v>
      </c>
      <c r="X1206" t="s">
        <v>23</v>
      </c>
      <c r="Y1206" t="e">
        <f>+_xlfn.XLOOKUP(tbl_encuesta[[#This Row],[Considero a Limtek como un buen lugar para trabajar]],#REF!,#REF!)</f>
        <v>#REF!</v>
      </c>
      <c r="Z1206" t="s">
        <v>3002</v>
      </c>
      <c r="AA1206" t="s">
        <v>3003</v>
      </c>
      <c r="AB1206" t="s">
        <v>559</v>
      </c>
      <c r="AC1206" s="3" t="s">
        <v>3782</v>
      </c>
      <c r="AD1206" s="3" t="s">
        <v>559</v>
      </c>
      <c r="AE1206" t="s">
        <v>69</v>
      </c>
    </row>
    <row r="1207" spans="1:31" x14ac:dyDescent="0.25">
      <c r="A1207">
        <v>119025846191</v>
      </c>
      <c r="B1207">
        <v>462598545</v>
      </c>
      <c r="C1207" s="1">
        <v>46014.689097222225</v>
      </c>
      <c r="D1207" s="1">
        <v>46014.694074074076</v>
      </c>
      <c r="E1207" t="s">
        <v>3004</v>
      </c>
      <c r="F1207" t="s">
        <v>22</v>
      </c>
      <c r="G1207" t="e">
        <f>+_xlfn.XLOOKUP(tbl_encuesta[[#This Row],[Me siento a gusto con el ambiente de trabajo que se genera en mi equipo.]],#REF!,#REF!)</f>
        <v>#REF!</v>
      </c>
      <c r="H1207" t="s">
        <v>23</v>
      </c>
      <c r="I1207" t="e">
        <f>+_xlfn.XLOOKUP(tbl_encuesta[[#This Row],[Me siento motivado a dar lo mejor de mí y hacer un buen trabajo]],#REF!,#REF!)</f>
        <v>#REF!</v>
      </c>
      <c r="J1207" t="s">
        <v>22</v>
      </c>
      <c r="K1207" t="e">
        <f>+_xlfn.XLOOKUP(tbl_encuesta[[#This Row],[Mi supervisor o jefe directo me otorga el soporte que necesito para afrontar cualquier problema que afecte mi trabajo]],#REF!,#REF!)</f>
        <v>#REF!</v>
      </c>
      <c r="L1207" t="s">
        <v>22</v>
      </c>
      <c r="M1207" t="e">
        <f>+_xlfn.XLOOKUP(tbl_encuesta[[#This Row],[Mi supervisor o jefe directo fomenta que nos apoyemos entre todos en el equipo]],#REF!,#REF!)</f>
        <v>#REF!</v>
      </c>
      <c r="N1207" t="s">
        <v>22</v>
      </c>
      <c r="O1207" t="e">
        <f>+_xlfn.XLOOKUP(tbl_encuesta[[#This Row],[Siento que mi trabajo es reconocido por mi supervisor o jefe directo.]],#REF!,#REF!)</f>
        <v>#REF!</v>
      </c>
      <c r="P1207" t="s">
        <v>67</v>
      </c>
      <c r="Q1207" t="e">
        <f xml:space="preserve">
_xlfn.XLOOKUP(
tbl_encuesta[[#This Row],[Mi supervisor o jefe directo nos brinda charlas de 5 minutos y comunica las novedades relevantes a mi puesto de trabajo]],#REF!,#REF!
)</f>
        <v>#REF!</v>
      </c>
      <c r="R1207" t="s">
        <v>17</v>
      </c>
      <c r="U1207" t="s">
        <v>20</v>
      </c>
      <c r="W1207" t="s">
        <v>25</v>
      </c>
      <c r="X1207" t="s">
        <v>23</v>
      </c>
      <c r="Y1207" t="e">
        <f>+_xlfn.XLOOKUP(tbl_encuesta[[#This Row],[Considero a Limtek como un buen lugar para trabajar]],#REF!,#REF!)</f>
        <v>#REF!</v>
      </c>
      <c r="Z1207" t="s">
        <v>2143</v>
      </c>
      <c r="AA1207" t="s">
        <v>3005</v>
      </c>
      <c r="AB1207" t="s">
        <v>28</v>
      </c>
      <c r="AC1207" t="s">
        <v>3744</v>
      </c>
      <c r="AD1207" t="s">
        <v>3744</v>
      </c>
      <c r="AE1207" t="s">
        <v>29</v>
      </c>
    </row>
    <row r="1208" spans="1:31" x14ac:dyDescent="0.25">
      <c r="A1208">
        <v>119025845096</v>
      </c>
      <c r="B1208">
        <v>462598545</v>
      </c>
      <c r="C1208" s="1">
        <v>46014.688900462963</v>
      </c>
      <c r="D1208" s="1">
        <v>46014.691967592589</v>
      </c>
      <c r="E1208" t="s">
        <v>3006</v>
      </c>
      <c r="F1208" t="s">
        <v>23</v>
      </c>
      <c r="G1208" t="e">
        <f>+_xlfn.XLOOKUP(tbl_encuesta[[#This Row],[Me siento a gusto con el ambiente de trabajo que se genera en mi equipo.]],#REF!,#REF!)</f>
        <v>#REF!</v>
      </c>
      <c r="H1208" t="s">
        <v>23</v>
      </c>
      <c r="I1208" t="e">
        <f>+_xlfn.XLOOKUP(tbl_encuesta[[#This Row],[Me siento motivado a dar lo mejor de mí y hacer un buen trabajo]],#REF!,#REF!)</f>
        <v>#REF!</v>
      </c>
      <c r="J1208" t="s">
        <v>23</v>
      </c>
      <c r="K1208" t="e">
        <f>+_xlfn.XLOOKUP(tbl_encuesta[[#This Row],[Mi supervisor o jefe directo me otorga el soporte que necesito para afrontar cualquier problema que afecte mi trabajo]],#REF!,#REF!)</f>
        <v>#REF!</v>
      </c>
      <c r="L1208" t="s">
        <v>23</v>
      </c>
      <c r="M1208" t="e">
        <f>+_xlfn.XLOOKUP(tbl_encuesta[[#This Row],[Mi supervisor o jefe directo fomenta que nos apoyemos entre todos en el equipo]],#REF!,#REF!)</f>
        <v>#REF!</v>
      </c>
      <c r="N1208" t="s">
        <v>22</v>
      </c>
      <c r="O1208" t="e">
        <f>+_xlfn.XLOOKUP(tbl_encuesta[[#This Row],[Siento que mi trabajo es reconocido por mi supervisor o jefe directo.]],#REF!,#REF!)</f>
        <v>#REF!</v>
      </c>
      <c r="P1208" t="s">
        <v>31</v>
      </c>
      <c r="Q1208" t="e">
        <f xml:space="preserve">
_xlfn.XLOOKUP(
tbl_encuesta[[#This Row],[Mi supervisor o jefe directo nos brinda charlas de 5 minutos y comunica las novedades relevantes a mi puesto de trabajo]],#REF!,#REF!
)</f>
        <v>#REF!</v>
      </c>
      <c r="R1208" t="s">
        <v>17</v>
      </c>
      <c r="S1208" t="s">
        <v>18</v>
      </c>
      <c r="W1208" t="s">
        <v>25</v>
      </c>
      <c r="X1208" t="s">
        <v>23</v>
      </c>
      <c r="Y1208" t="e">
        <f>+_xlfn.XLOOKUP(tbl_encuesta[[#This Row],[Considero a Limtek como un buen lugar para trabajar]],#REF!,#REF!)</f>
        <v>#REF!</v>
      </c>
      <c r="Z1208" t="s">
        <v>3007</v>
      </c>
      <c r="AA1208" t="s">
        <v>3008</v>
      </c>
      <c r="AB1208" t="s">
        <v>28</v>
      </c>
      <c r="AC1208" s="3" t="s">
        <v>3705</v>
      </c>
      <c r="AD1208" s="3" t="s">
        <v>3712</v>
      </c>
      <c r="AE1208" t="s">
        <v>55</v>
      </c>
    </row>
    <row r="1209" spans="1:31" x14ac:dyDescent="0.25">
      <c r="A1209">
        <v>119025845090</v>
      </c>
      <c r="B1209">
        <v>462598545</v>
      </c>
      <c r="C1209" s="1">
        <v>46014.688888888886</v>
      </c>
      <c r="D1209" s="1">
        <v>46014.69195601852</v>
      </c>
      <c r="E1209" t="s">
        <v>3009</v>
      </c>
      <c r="F1209" t="s">
        <v>23</v>
      </c>
      <c r="G1209" t="e">
        <f>+_xlfn.XLOOKUP(tbl_encuesta[[#This Row],[Me siento a gusto con el ambiente de trabajo que se genera en mi equipo.]],#REF!,#REF!)</f>
        <v>#REF!</v>
      </c>
      <c r="H1209" t="s">
        <v>23</v>
      </c>
      <c r="I1209" t="e">
        <f>+_xlfn.XLOOKUP(tbl_encuesta[[#This Row],[Me siento motivado a dar lo mejor de mí y hacer un buen trabajo]],#REF!,#REF!)</f>
        <v>#REF!</v>
      </c>
      <c r="J1209" t="s">
        <v>23</v>
      </c>
      <c r="K1209" t="e">
        <f>+_xlfn.XLOOKUP(tbl_encuesta[[#This Row],[Mi supervisor o jefe directo me otorga el soporte que necesito para afrontar cualquier problema que afecte mi trabajo]],#REF!,#REF!)</f>
        <v>#REF!</v>
      </c>
      <c r="L1209" t="s">
        <v>23</v>
      </c>
      <c r="M1209" t="e">
        <f>+_xlfn.XLOOKUP(tbl_encuesta[[#This Row],[Mi supervisor o jefe directo fomenta que nos apoyemos entre todos en el equipo]],#REF!,#REF!)</f>
        <v>#REF!</v>
      </c>
      <c r="N1209" t="s">
        <v>22</v>
      </c>
      <c r="O1209" t="e">
        <f>+_xlfn.XLOOKUP(tbl_encuesta[[#This Row],[Siento que mi trabajo es reconocido por mi supervisor o jefe directo.]],#REF!,#REF!)</f>
        <v>#REF!</v>
      </c>
      <c r="P1209" t="s">
        <v>31</v>
      </c>
      <c r="Q1209" t="e">
        <f xml:space="preserve">
_xlfn.XLOOKUP(
tbl_encuesta[[#This Row],[Mi supervisor o jefe directo nos brinda charlas de 5 minutos y comunica las novedades relevantes a mi puesto de trabajo]],#REF!,#REF!
)</f>
        <v>#REF!</v>
      </c>
      <c r="R1209" t="s">
        <v>17</v>
      </c>
      <c r="S1209" t="s">
        <v>18</v>
      </c>
      <c r="W1209" t="s">
        <v>25</v>
      </c>
      <c r="X1209" t="s">
        <v>23</v>
      </c>
      <c r="Y1209" t="e">
        <f>+_xlfn.XLOOKUP(tbl_encuesta[[#This Row],[Considero a Limtek como un buen lugar para trabajar]],#REF!,#REF!)</f>
        <v>#REF!</v>
      </c>
      <c r="Z1209" t="s">
        <v>215</v>
      </c>
      <c r="AA1209" t="s">
        <v>129</v>
      </c>
      <c r="AB1209" t="s">
        <v>28</v>
      </c>
      <c r="AC1209" s="3" t="s">
        <v>3705</v>
      </c>
      <c r="AD1209" s="3" t="s">
        <v>3712</v>
      </c>
      <c r="AE1209" t="s">
        <v>34</v>
      </c>
    </row>
    <row r="1210" spans="1:31" x14ac:dyDescent="0.25">
      <c r="A1210">
        <v>119025844938</v>
      </c>
      <c r="B1210">
        <v>462598545</v>
      </c>
      <c r="C1210" s="1">
        <v>46014.688252314816</v>
      </c>
      <c r="D1210" s="1">
        <v>46014.691655092596</v>
      </c>
      <c r="E1210" t="s">
        <v>3010</v>
      </c>
      <c r="F1210" t="s">
        <v>23</v>
      </c>
      <c r="G1210" t="e">
        <f>+_xlfn.XLOOKUP(tbl_encuesta[[#This Row],[Me siento a gusto con el ambiente de trabajo que se genera en mi equipo.]],#REF!,#REF!)</f>
        <v>#REF!</v>
      </c>
      <c r="H1210" t="s">
        <v>23</v>
      </c>
      <c r="I1210" t="e">
        <f>+_xlfn.XLOOKUP(tbl_encuesta[[#This Row],[Me siento motivado a dar lo mejor de mí y hacer un buen trabajo]],#REF!,#REF!)</f>
        <v>#REF!</v>
      </c>
      <c r="J1210" t="s">
        <v>23</v>
      </c>
      <c r="K1210" t="e">
        <f>+_xlfn.XLOOKUP(tbl_encuesta[[#This Row],[Mi supervisor o jefe directo me otorga el soporte que necesito para afrontar cualquier problema que afecte mi trabajo]],#REF!,#REF!)</f>
        <v>#REF!</v>
      </c>
      <c r="L1210" t="s">
        <v>23</v>
      </c>
      <c r="M1210" t="e">
        <f>+_xlfn.XLOOKUP(tbl_encuesta[[#This Row],[Mi supervisor o jefe directo fomenta que nos apoyemos entre todos en el equipo]],#REF!,#REF!)</f>
        <v>#REF!</v>
      </c>
      <c r="N1210" t="s">
        <v>23</v>
      </c>
      <c r="O1210" t="e">
        <f>+_xlfn.XLOOKUP(tbl_encuesta[[#This Row],[Siento que mi trabajo es reconocido por mi supervisor o jefe directo.]],#REF!,#REF!)</f>
        <v>#REF!</v>
      </c>
      <c r="P1210" t="s">
        <v>31</v>
      </c>
      <c r="Q1210" t="e">
        <f xml:space="preserve">
_xlfn.XLOOKUP(
tbl_encuesta[[#This Row],[Mi supervisor o jefe directo nos brinda charlas de 5 minutos y comunica las novedades relevantes a mi puesto de trabajo]],#REF!,#REF!
)</f>
        <v>#REF!</v>
      </c>
      <c r="R1210" t="s">
        <v>17</v>
      </c>
      <c r="T1210" t="s">
        <v>19</v>
      </c>
      <c r="W1210" t="s">
        <v>25</v>
      </c>
      <c r="X1210" t="s">
        <v>23</v>
      </c>
      <c r="Y1210" t="e">
        <f>+_xlfn.XLOOKUP(tbl_encuesta[[#This Row],[Considero a Limtek como un buen lugar para trabajar]],#REF!,#REF!)</f>
        <v>#REF!</v>
      </c>
      <c r="Z1210" t="s">
        <v>3011</v>
      </c>
      <c r="AA1210" t="s">
        <v>2338</v>
      </c>
      <c r="AB1210" t="s">
        <v>28</v>
      </c>
      <c r="AC1210" t="s">
        <v>3744</v>
      </c>
      <c r="AD1210" t="s">
        <v>3744</v>
      </c>
      <c r="AE1210" t="s">
        <v>69</v>
      </c>
    </row>
    <row r="1211" spans="1:31" x14ac:dyDescent="0.25">
      <c r="A1211">
        <v>119025844742</v>
      </c>
      <c r="B1211">
        <v>462598545</v>
      </c>
      <c r="C1211" s="1">
        <v>46014.687847222223</v>
      </c>
      <c r="D1211" s="1">
        <v>46014.69127314815</v>
      </c>
      <c r="E1211" t="s">
        <v>3012</v>
      </c>
      <c r="F1211" t="s">
        <v>22</v>
      </c>
      <c r="G1211" t="e">
        <f>+_xlfn.XLOOKUP(tbl_encuesta[[#This Row],[Me siento a gusto con el ambiente de trabajo que se genera en mi equipo.]],#REF!,#REF!)</f>
        <v>#REF!</v>
      </c>
      <c r="H1211" t="s">
        <v>23</v>
      </c>
      <c r="I1211" t="e">
        <f>+_xlfn.XLOOKUP(tbl_encuesta[[#This Row],[Me siento motivado a dar lo mejor de mí y hacer un buen trabajo]],#REF!,#REF!)</f>
        <v>#REF!</v>
      </c>
      <c r="J1211" t="s">
        <v>22</v>
      </c>
      <c r="K1211" t="e">
        <f>+_xlfn.XLOOKUP(tbl_encuesta[[#This Row],[Mi supervisor o jefe directo me otorga el soporte que necesito para afrontar cualquier problema que afecte mi trabajo]],#REF!,#REF!)</f>
        <v>#REF!</v>
      </c>
      <c r="L1211" t="s">
        <v>22</v>
      </c>
      <c r="M1211" t="e">
        <f>+_xlfn.XLOOKUP(tbl_encuesta[[#This Row],[Mi supervisor o jefe directo fomenta que nos apoyemos entre todos en el equipo]],#REF!,#REF!)</f>
        <v>#REF!</v>
      </c>
      <c r="N1211" t="s">
        <v>22</v>
      </c>
      <c r="O1211" t="e">
        <f>+_xlfn.XLOOKUP(tbl_encuesta[[#This Row],[Siento que mi trabajo es reconocido por mi supervisor o jefe directo.]],#REF!,#REF!)</f>
        <v>#REF!</v>
      </c>
      <c r="P1211" t="s">
        <v>31</v>
      </c>
      <c r="Q1211" t="e">
        <f xml:space="preserve">
_xlfn.XLOOKUP(
tbl_encuesta[[#This Row],[Mi supervisor o jefe directo nos brinda charlas de 5 minutos y comunica las novedades relevantes a mi puesto de trabajo]],#REF!,#REF!
)</f>
        <v>#REF!</v>
      </c>
      <c r="R1211" t="s">
        <v>17</v>
      </c>
      <c r="S1211" t="s">
        <v>18</v>
      </c>
      <c r="W1211" t="s">
        <v>25</v>
      </c>
      <c r="X1211" t="s">
        <v>22</v>
      </c>
      <c r="Y1211" t="e">
        <f>+_xlfn.XLOOKUP(tbl_encuesta[[#This Row],[Considero a Limtek como un buen lugar para trabajar]],#REF!,#REF!)</f>
        <v>#REF!</v>
      </c>
      <c r="Z1211" t="s">
        <v>3013</v>
      </c>
      <c r="AA1211" t="s">
        <v>3014</v>
      </c>
      <c r="AB1211" t="s">
        <v>28</v>
      </c>
      <c r="AC1211" s="3" t="s">
        <v>3705</v>
      </c>
      <c r="AD1211" s="3" t="s">
        <v>3712</v>
      </c>
      <c r="AE1211" t="s">
        <v>29</v>
      </c>
    </row>
    <row r="1212" spans="1:31" x14ac:dyDescent="0.25">
      <c r="A1212">
        <v>119025844479</v>
      </c>
      <c r="B1212">
        <v>462598545</v>
      </c>
      <c r="C1212" s="1">
        <v>46014.689062500001</v>
      </c>
      <c r="D1212" s="1">
        <v>46014.690798611111</v>
      </c>
      <c r="E1212" t="s">
        <v>3015</v>
      </c>
      <c r="F1212" t="s">
        <v>23</v>
      </c>
      <c r="G1212" t="e">
        <f>+_xlfn.XLOOKUP(tbl_encuesta[[#This Row],[Me siento a gusto con el ambiente de trabajo que se genera en mi equipo.]],#REF!,#REF!)</f>
        <v>#REF!</v>
      </c>
      <c r="H1212" t="s">
        <v>23</v>
      </c>
      <c r="I1212" t="e">
        <f>+_xlfn.XLOOKUP(tbl_encuesta[[#This Row],[Me siento motivado a dar lo mejor de mí y hacer un buen trabajo]],#REF!,#REF!)</f>
        <v>#REF!</v>
      </c>
      <c r="J1212" t="s">
        <v>22</v>
      </c>
      <c r="K1212" t="e">
        <f>+_xlfn.XLOOKUP(tbl_encuesta[[#This Row],[Mi supervisor o jefe directo me otorga el soporte que necesito para afrontar cualquier problema que afecte mi trabajo]],#REF!,#REF!)</f>
        <v>#REF!</v>
      </c>
      <c r="L1212" t="s">
        <v>22</v>
      </c>
      <c r="M1212" t="e">
        <f>+_xlfn.XLOOKUP(tbl_encuesta[[#This Row],[Mi supervisor o jefe directo fomenta que nos apoyemos entre todos en el equipo]],#REF!,#REF!)</f>
        <v>#REF!</v>
      </c>
      <c r="N1212" t="s">
        <v>22</v>
      </c>
      <c r="O1212" t="e">
        <f>+_xlfn.XLOOKUP(tbl_encuesta[[#This Row],[Siento que mi trabajo es reconocido por mi supervisor o jefe directo.]],#REF!,#REF!)</f>
        <v>#REF!</v>
      </c>
      <c r="P1212" t="s">
        <v>31</v>
      </c>
      <c r="Q1212" t="e">
        <f xml:space="preserve">
_xlfn.XLOOKUP(
tbl_encuesta[[#This Row],[Mi supervisor o jefe directo nos brinda charlas de 5 minutos y comunica las novedades relevantes a mi puesto de trabajo]],#REF!,#REF!
)</f>
        <v>#REF!</v>
      </c>
      <c r="R1212" t="s">
        <v>17</v>
      </c>
      <c r="U1212" t="s">
        <v>20</v>
      </c>
      <c r="W1212" t="s">
        <v>25</v>
      </c>
      <c r="X1212" t="s">
        <v>23</v>
      </c>
      <c r="Y1212" t="e">
        <f>+_xlfn.XLOOKUP(tbl_encuesta[[#This Row],[Considero a Limtek como un buen lugar para trabajar]],#REF!,#REF!)</f>
        <v>#REF!</v>
      </c>
      <c r="Z1212" t="s">
        <v>3016</v>
      </c>
      <c r="AA1212" t="s">
        <v>3017</v>
      </c>
      <c r="AB1212" t="s">
        <v>559</v>
      </c>
      <c r="AC1212" t="s">
        <v>3744</v>
      </c>
      <c r="AD1212" t="s">
        <v>3744</v>
      </c>
      <c r="AE1212" t="s">
        <v>34</v>
      </c>
    </row>
    <row r="1213" spans="1:31" x14ac:dyDescent="0.25">
      <c r="A1213">
        <v>119025843967</v>
      </c>
      <c r="B1213">
        <v>462598545</v>
      </c>
      <c r="C1213" s="1">
        <v>46014.687291666669</v>
      </c>
      <c r="D1213" s="1">
        <v>46014.689849537041</v>
      </c>
      <c r="E1213" t="s">
        <v>2493</v>
      </c>
      <c r="F1213" t="s">
        <v>23</v>
      </c>
      <c r="G1213" t="e">
        <f>+_xlfn.XLOOKUP(tbl_encuesta[[#This Row],[Me siento a gusto con el ambiente de trabajo que se genera en mi equipo.]],#REF!,#REF!)</f>
        <v>#REF!</v>
      </c>
      <c r="H1213" t="s">
        <v>23</v>
      </c>
      <c r="I1213" t="e">
        <f>+_xlfn.XLOOKUP(tbl_encuesta[[#This Row],[Me siento motivado a dar lo mejor de mí y hacer un buen trabajo]],#REF!,#REF!)</f>
        <v>#REF!</v>
      </c>
      <c r="J1213" t="s">
        <v>23</v>
      </c>
      <c r="K1213" t="e">
        <f>+_xlfn.XLOOKUP(tbl_encuesta[[#This Row],[Mi supervisor o jefe directo me otorga el soporte que necesito para afrontar cualquier problema que afecte mi trabajo]],#REF!,#REF!)</f>
        <v>#REF!</v>
      </c>
      <c r="L1213" t="s">
        <v>23</v>
      </c>
      <c r="M1213" t="e">
        <f>+_xlfn.XLOOKUP(tbl_encuesta[[#This Row],[Mi supervisor o jefe directo fomenta que nos apoyemos entre todos en el equipo]],#REF!,#REF!)</f>
        <v>#REF!</v>
      </c>
      <c r="N1213" t="s">
        <v>23</v>
      </c>
      <c r="O1213" t="e">
        <f>+_xlfn.XLOOKUP(tbl_encuesta[[#This Row],[Siento que mi trabajo es reconocido por mi supervisor o jefe directo.]],#REF!,#REF!)</f>
        <v>#REF!</v>
      </c>
      <c r="P1213" t="s">
        <v>31</v>
      </c>
      <c r="Q1213" t="e">
        <f xml:space="preserve">
_xlfn.XLOOKUP(
tbl_encuesta[[#This Row],[Mi supervisor o jefe directo nos brinda charlas de 5 minutos y comunica las novedades relevantes a mi puesto de trabajo]],#REF!,#REF!
)</f>
        <v>#REF!</v>
      </c>
      <c r="R1213" t="s">
        <v>17</v>
      </c>
      <c r="W1213" t="s">
        <v>25</v>
      </c>
      <c r="X1213" t="s">
        <v>23</v>
      </c>
      <c r="Y1213" t="e">
        <f>+_xlfn.XLOOKUP(tbl_encuesta[[#This Row],[Considero a Limtek como un buen lugar para trabajar]],#REF!,#REF!)</f>
        <v>#REF!</v>
      </c>
      <c r="Z1213" t="s">
        <v>193</v>
      </c>
      <c r="AA1213" t="s">
        <v>3018</v>
      </c>
      <c r="AB1213" t="s">
        <v>28</v>
      </c>
      <c r="AC1213" s="3" t="s">
        <v>3705</v>
      </c>
      <c r="AD1213" s="3" t="s">
        <v>3712</v>
      </c>
      <c r="AE1213" t="s">
        <v>34</v>
      </c>
    </row>
    <row r="1214" spans="1:31" x14ac:dyDescent="0.25">
      <c r="A1214">
        <v>119025839875</v>
      </c>
      <c r="B1214">
        <v>462598545</v>
      </c>
      <c r="C1214" s="1">
        <v>46014.674432870372</v>
      </c>
      <c r="D1214" s="1">
        <v>46014.682268518518</v>
      </c>
      <c r="E1214" t="s">
        <v>3019</v>
      </c>
      <c r="F1214" t="s">
        <v>23</v>
      </c>
      <c r="G1214" t="e">
        <f>+_xlfn.XLOOKUP(tbl_encuesta[[#This Row],[Me siento a gusto con el ambiente de trabajo que se genera en mi equipo.]],#REF!,#REF!)</f>
        <v>#REF!</v>
      </c>
      <c r="H1214" t="s">
        <v>23</v>
      </c>
      <c r="I1214" t="e">
        <f>+_xlfn.XLOOKUP(tbl_encuesta[[#This Row],[Me siento motivado a dar lo mejor de mí y hacer un buen trabajo]],#REF!,#REF!)</f>
        <v>#REF!</v>
      </c>
      <c r="J1214" t="s">
        <v>23</v>
      </c>
      <c r="K1214" t="e">
        <f>+_xlfn.XLOOKUP(tbl_encuesta[[#This Row],[Mi supervisor o jefe directo me otorga el soporte que necesito para afrontar cualquier problema que afecte mi trabajo]],#REF!,#REF!)</f>
        <v>#REF!</v>
      </c>
      <c r="L1214" t="s">
        <v>23</v>
      </c>
      <c r="M1214" t="e">
        <f>+_xlfn.XLOOKUP(tbl_encuesta[[#This Row],[Mi supervisor o jefe directo fomenta que nos apoyemos entre todos en el equipo]],#REF!,#REF!)</f>
        <v>#REF!</v>
      </c>
      <c r="N1214" t="s">
        <v>23</v>
      </c>
      <c r="O1214" t="e">
        <f>+_xlfn.XLOOKUP(tbl_encuesta[[#This Row],[Siento que mi trabajo es reconocido por mi supervisor o jefe directo.]],#REF!,#REF!)</f>
        <v>#REF!</v>
      </c>
      <c r="P1214" t="s">
        <v>31</v>
      </c>
      <c r="Q1214" t="e">
        <f xml:space="preserve">
_xlfn.XLOOKUP(
tbl_encuesta[[#This Row],[Mi supervisor o jefe directo nos brinda charlas de 5 minutos y comunica las novedades relevantes a mi puesto de trabajo]],#REF!,#REF!
)</f>
        <v>#REF!</v>
      </c>
      <c r="S1214" t="s">
        <v>18</v>
      </c>
      <c r="U1214" t="s">
        <v>20</v>
      </c>
      <c r="W1214" t="s">
        <v>25</v>
      </c>
      <c r="X1214" t="s">
        <v>23</v>
      </c>
      <c r="Y1214" t="e">
        <f>+_xlfn.XLOOKUP(tbl_encuesta[[#This Row],[Considero a Limtek como un buen lugar para trabajar]],#REF!,#REF!)</f>
        <v>#REF!</v>
      </c>
      <c r="Z1214" t="s">
        <v>3020</v>
      </c>
      <c r="AA1214" t="s">
        <v>3021</v>
      </c>
      <c r="AB1214" t="s">
        <v>28</v>
      </c>
      <c r="AC1214" s="3" t="s">
        <v>3736</v>
      </c>
      <c r="AD1214" s="3" t="s">
        <v>3740</v>
      </c>
      <c r="AE1214" t="s">
        <v>55</v>
      </c>
    </row>
    <row r="1215" spans="1:31" x14ac:dyDescent="0.25">
      <c r="A1215">
        <v>119025839244</v>
      </c>
      <c r="B1215">
        <v>462598545</v>
      </c>
      <c r="C1215" s="1">
        <v>46014.673206018517</v>
      </c>
      <c r="D1215" s="1">
        <v>46014.681238425925</v>
      </c>
      <c r="E1215" t="s">
        <v>3022</v>
      </c>
      <c r="F1215" t="s">
        <v>97</v>
      </c>
      <c r="G1215" t="e">
        <f>+_xlfn.XLOOKUP(tbl_encuesta[[#This Row],[Me siento a gusto con el ambiente de trabajo que se genera en mi equipo.]],#REF!,#REF!)</f>
        <v>#REF!</v>
      </c>
      <c r="H1215" t="s">
        <v>22</v>
      </c>
      <c r="I1215" t="e">
        <f>+_xlfn.XLOOKUP(tbl_encuesta[[#This Row],[Me siento motivado a dar lo mejor de mí y hacer un buen trabajo]],#REF!,#REF!)</f>
        <v>#REF!</v>
      </c>
      <c r="J1215" t="s">
        <v>22</v>
      </c>
      <c r="K1215" t="e">
        <f>+_xlfn.XLOOKUP(tbl_encuesta[[#This Row],[Mi supervisor o jefe directo me otorga el soporte que necesito para afrontar cualquier problema que afecte mi trabajo]],#REF!,#REF!)</f>
        <v>#REF!</v>
      </c>
      <c r="L1215" t="s">
        <v>23</v>
      </c>
      <c r="M1215" t="e">
        <f>+_xlfn.XLOOKUP(tbl_encuesta[[#This Row],[Mi supervisor o jefe directo fomenta que nos apoyemos entre todos en el equipo]],#REF!,#REF!)</f>
        <v>#REF!</v>
      </c>
      <c r="N1215" t="s">
        <v>22</v>
      </c>
      <c r="O1215" t="e">
        <f>+_xlfn.XLOOKUP(tbl_encuesta[[#This Row],[Siento que mi trabajo es reconocido por mi supervisor o jefe directo.]],#REF!,#REF!)</f>
        <v>#REF!</v>
      </c>
      <c r="P1215" t="s">
        <v>31</v>
      </c>
      <c r="Q1215" t="e">
        <f xml:space="preserve">
_xlfn.XLOOKUP(
tbl_encuesta[[#This Row],[Mi supervisor o jefe directo nos brinda charlas de 5 minutos y comunica las novedades relevantes a mi puesto de trabajo]],#REF!,#REF!
)</f>
        <v>#REF!</v>
      </c>
      <c r="R1215" t="s">
        <v>17</v>
      </c>
      <c r="W1215" t="s">
        <v>25</v>
      </c>
      <c r="X1215" t="s">
        <v>97</v>
      </c>
      <c r="Y1215" t="e">
        <f>+_xlfn.XLOOKUP(tbl_encuesta[[#This Row],[Considero a Limtek como un buen lugar para trabajar]],#REF!,#REF!)</f>
        <v>#REF!</v>
      </c>
      <c r="Z1215" t="s">
        <v>3023</v>
      </c>
      <c r="AA1215" t="s">
        <v>68</v>
      </c>
      <c r="AB1215" t="s">
        <v>28</v>
      </c>
      <c r="AC1215" s="3" t="s">
        <v>3714</v>
      </c>
      <c r="AD1215" s="3" t="s">
        <v>3714</v>
      </c>
      <c r="AE1215" t="s">
        <v>61</v>
      </c>
    </row>
    <row r="1216" spans="1:31" x14ac:dyDescent="0.25">
      <c r="A1216">
        <v>119025839216</v>
      </c>
      <c r="B1216">
        <v>462598545</v>
      </c>
      <c r="C1216" s="1">
        <v>46014.680543981478</v>
      </c>
      <c r="D1216" s="1">
        <v>46014.681192129632</v>
      </c>
      <c r="E1216" t="s">
        <v>3024</v>
      </c>
      <c r="F1216" t="s">
        <v>23</v>
      </c>
      <c r="G1216" t="e">
        <f>+_xlfn.XLOOKUP(tbl_encuesta[[#This Row],[Me siento a gusto con el ambiente de trabajo que se genera en mi equipo.]],#REF!,#REF!)</f>
        <v>#REF!</v>
      </c>
      <c r="H1216" t="s">
        <v>23</v>
      </c>
      <c r="I1216" t="e">
        <f>+_xlfn.XLOOKUP(tbl_encuesta[[#This Row],[Me siento motivado a dar lo mejor de mí y hacer un buen trabajo]],#REF!,#REF!)</f>
        <v>#REF!</v>
      </c>
      <c r="J1216" t="s">
        <v>23</v>
      </c>
      <c r="K1216" t="e">
        <f>+_xlfn.XLOOKUP(tbl_encuesta[[#This Row],[Mi supervisor o jefe directo me otorga el soporte que necesito para afrontar cualquier problema que afecte mi trabajo]],#REF!,#REF!)</f>
        <v>#REF!</v>
      </c>
      <c r="L1216" t="s">
        <v>23</v>
      </c>
      <c r="M1216" t="e">
        <f>+_xlfn.XLOOKUP(tbl_encuesta[[#This Row],[Mi supervisor o jefe directo fomenta que nos apoyemos entre todos en el equipo]],#REF!,#REF!)</f>
        <v>#REF!</v>
      </c>
      <c r="N1216" t="s">
        <v>23</v>
      </c>
      <c r="O1216" t="e">
        <f>+_xlfn.XLOOKUP(tbl_encuesta[[#This Row],[Siento que mi trabajo es reconocido por mi supervisor o jefe directo.]],#REF!,#REF!)</f>
        <v>#REF!</v>
      </c>
      <c r="P1216" t="s">
        <v>31</v>
      </c>
      <c r="Q1216" t="e">
        <f xml:space="preserve">
_xlfn.XLOOKUP(
tbl_encuesta[[#This Row],[Mi supervisor o jefe directo nos brinda charlas de 5 minutos y comunica las novedades relevantes a mi puesto de trabajo]],#REF!,#REF!
)</f>
        <v>#REF!</v>
      </c>
      <c r="S1216" t="s">
        <v>18</v>
      </c>
      <c r="W1216" t="s">
        <v>25</v>
      </c>
      <c r="X1216" t="s">
        <v>23</v>
      </c>
      <c r="Y1216" t="e">
        <f>+_xlfn.XLOOKUP(tbl_encuesta[[#This Row],[Considero a Limtek como un buen lugar para trabajar]],#REF!,#REF!)</f>
        <v>#REF!</v>
      </c>
      <c r="Z1216" t="s">
        <v>2613</v>
      </c>
      <c r="AA1216" t="s">
        <v>2614</v>
      </c>
      <c r="AB1216" t="s">
        <v>28</v>
      </c>
      <c r="AC1216" s="3" t="s">
        <v>3736</v>
      </c>
      <c r="AD1216" s="3" t="s">
        <v>3736</v>
      </c>
      <c r="AE1216" t="s">
        <v>69</v>
      </c>
    </row>
    <row r="1217" spans="1:31" x14ac:dyDescent="0.25">
      <c r="A1217">
        <v>119025838702</v>
      </c>
      <c r="B1217">
        <v>462598545</v>
      </c>
      <c r="C1217" s="1">
        <v>46014.679814814815</v>
      </c>
      <c r="D1217" s="1">
        <v>46014.680266203701</v>
      </c>
      <c r="E1217" t="s">
        <v>3024</v>
      </c>
      <c r="F1217" t="s">
        <v>23</v>
      </c>
      <c r="G1217" t="e">
        <f>+_xlfn.XLOOKUP(tbl_encuesta[[#This Row],[Me siento a gusto con el ambiente de trabajo que se genera en mi equipo.]],#REF!,#REF!)</f>
        <v>#REF!</v>
      </c>
      <c r="H1217" t="s">
        <v>23</v>
      </c>
      <c r="I1217" t="e">
        <f>+_xlfn.XLOOKUP(tbl_encuesta[[#This Row],[Me siento motivado a dar lo mejor de mí y hacer un buen trabajo]],#REF!,#REF!)</f>
        <v>#REF!</v>
      </c>
      <c r="J1217" t="s">
        <v>23</v>
      </c>
      <c r="K1217" t="e">
        <f>+_xlfn.XLOOKUP(tbl_encuesta[[#This Row],[Mi supervisor o jefe directo me otorga el soporte que necesito para afrontar cualquier problema que afecte mi trabajo]],#REF!,#REF!)</f>
        <v>#REF!</v>
      </c>
      <c r="L1217" t="s">
        <v>23</v>
      </c>
      <c r="M1217" t="e">
        <f>+_xlfn.XLOOKUP(tbl_encuesta[[#This Row],[Mi supervisor o jefe directo fomenta que nos apoyemos entre todos en el equipo]],#REF!,#REF!)</f>
        <v>#REF!</v>
      </c>
      <c r="N1217" t="s">
        <v>23</v>
      </c>
      <c r="O1217" t="e">
        <f>+_xlfn.XLOOKUP(tbl_encuesta[[#This Row],[Siento que mi trabajo es reconocido por mi supervisor o jefe directo.]],#REF!,#REF!)</f>
        <v>#REF!</v>
      </c>
      <c r="P1217" t="s">
        <v>31</v>
      </c>
      <c r="Q1217" t="e">
        <f xml:space="preserve">
_xlfn.XLOOKUP(
tbl_encuesta[[#This Row],[Mi supervisor o jefe directo nos brinda charlas de 5 minutos y comunica las novedades relevantes a mi puesto de trabajo]],#REF!,#REF!
)</f>
        <v>#REF!</v>
      </c>
      <c r="R1217" t="s">
        <v>17</v>
      </c>
      <c r="W1217" t="s">
        <v>25</v>
      </c>
      <c r="X1217" t="s">
        <v>23</v>
      </c>
      <c r="Y1217" t="e">
        <f>+_xlfn.XLOOKUP(tbl_encuesta[[#This Row],[Considero a Limtek como un buen lugar para trabajar]],#REF!,#REF!)</f>
        <v>#REF!</v>
      </c>
      <c r="Z1217" t="s">
        <v>2613</v>
      </c>
      <c r="AA1217" t="s">
        <v>2614</v>
      </c>
      <c r="AB1217" t="s">
        <v>28</v>
      </c>
      <c r="AC1217" s="3" t="s">
        <v>3736</v>
      </c>
      <c r="AD1217" s="3" t="s">
        <v>3736</v>
      </c>
      <c r="AE1217" t="s">
        <v>69</v>
      </c>
    </row>
    <row r="1218" spans="1:31" x14ac:dyDescent="0.25">
      <c r="A1218">
        <v>119025837663</v>
      </c>
      <c r="B1218">
        <v>462598545</v>
      </c>
      <c r="C1218" s="1">
        <v>46014.669629629629</v>
      </c>
      <c r="D1218" s="1">
        <v>46014.678622685184</v>
      </c>
      <c r="E1218" t="s">
        <v>3024</v>
      </c>
      <c r="F1218" t="s">
        <v>23</v>
      </c>
      <c r="G1218" t="e">
        <f>+_xlfn.XLOOKUP(tbl_encuesta[[#This Row],[Me siento a gusto con el ambiente de trabajo que se genera en mi equipo.]],#REF!,#REF!)</f>
        <v>#REF!</v>
      </c>
      <c r="H1218" t="s">
        <v>23</v>
      </c>
      <c r="I1218" t="e">
        <f>+_xlfn.XLOOKUP(tbl_encuesta[[#This Row],[Me siento motivado a dar lo mejor de mí y hacer un buen trabajo]],#REF!,#REF!)</f>
        <v>#REF!</v>
      </c>
      <c r="J1218" t="s">
        <v>23</v>
      </c>
      <c r="K1218" t="e">
        <f>+_xlfn.XLOOKUP(tbl_encuesta[[#This Row],[Mi supervisor o jefe directo me otorga el soporte que necesito para afrontar cualquier problema que afecte mi trabajo]],#REF!,#REF!)</f>
        <v>#REF!</v>
      </c>
      <c r="L1218" t="s">
        <v>23</v>
      </c>
      <c r="M1218" t="e">
        <f>+_xlfn.XLOOKUP(tbl_encuesta[[#This Row],[Mi supervisor o jefe directo fomenta que nos apoyemos entre todos en el equipo]],#REF!,#REF!)</f>
        <v>#REF!</v>
      </c>
      <c r="N1218" t="s">
        <v>23</v>
      </c>
      <c r="O1218" t="e">
        <f>+_xlfn.XLOOKUP(tbl_encuesta[[#This Row],[Siento que mi trabajo es reconocido por mi supervisor o jefe directo.]],#REF!,#REF!)</f>
        <v>#REF!</v>
      </c>
      <c r="P1218" t="s">
        <v>31</v>
      </c>
      <c r="Q1218" t="e">
        <f xml:space="preserve">
_xlfn.XLOOKUP(
tbl_encuesta[[#This Row],[Mi supervisor o jefe directo nos brinda charlas de 5 minutos y comunica las novedades relevantes a mi puesto de trabajo]],#REF!,#REF!
)</f>
        <v>#REF!</v>
      </c>
      <c r="S1218" t="s">
        <v>18</v>
      </c>
      <c r="W1218" t="s">
        <v>25</v>
      </c>
      <c r="X1218" t="s">
        <v>23</v>
      </c>
      <c r="Y1218" t="e">
        <f>+_xlfn.XLOOKUP(tbl_encuesta[[#This Row],[Considero a Limtek como un buen lugar para trabajar]],#REF!,#REF!)</f>
        <v>#REF!</v>
      </c>
      <c r="Z1218" t="s">
        <v>2613</v>
      </c>
      <c r="AA1218" t="s">
        <v>2614</v>
      </c>
      <c r="AB1218" t="s">
        <v>28</v>
      </c>
      <c r="AC1218" s="3" t="s">
        <v>3736</v>
      </c>
      <c r="AD1218" s="3" t="s">
        <v>3736</v>
      </c>
      <c r="AE1218" t="s">
        <v>69</v>
      </c>
    </row>
    <row r="1219" spans="1:31" x14ac:dyDescent="0.25">
      <c r="A1219">
        <v>119025837472</v>
      </c>
      <c r="B1219">
        <v>462598545</v>
      </c>
      <c r="C1219" s="1">
        <v>46014.675752314812</v>
      </c>
      <c r="D1219" s="1">
        <v>46014.678298611114</v>
      </c>
      <c r="E1219" t="s">
        <v>2641</v>
      </c>
      <c r="F1219" t="s">
        <v>23</v>
      </c>
      <c r="G1219" t="e">
        <f>+_xlfn.XLOOKUP(tbl_encuesta[[#This Row],[Me siento a gusto con el ambiente de trabajo que se genera en mi equipo.]],#REF!,#REF!)</f>
        <v>#REF!</v>
      </c>
      <c r="H1219" t="s">
        <v>23</v>
      </c>
      <c r="I1219" t="e">
        <f>+_xlfn.XLOOKUP(tbl_encuesta[[#This Row],[Me siento motivado a dar lo mejor de mí y hacer un buen trabajo]],#REF!,#REF!)</f>
        <v>#REF!</v>
      </c>
      <c r="J1219" t="s">
        <v>23</v>
      </c>
      <c r="K1219" t="e">
        <f>+_xlfn.XLOOKUP(tbl_encuesta[[#This Row],[Mi supervisor o jefe directo me otorga el soporte que necesito para afrontar cualquier problema que afecte mi trabajo]],#REF!,#REF!)</f>
        <v>#REF!</v>
      </c>
      <c r="L1219" t="s">
        <v>23</v>
      </c>
      <c r="M1219" t="e">
        <f>+_xlfn.XLOOKUP(tbl_encuesta[[#This Row],[Mi supervisor o jefe directo fomenta que nos apoyemos entre todos en el equipo]],#REF!,#REF!)</f>
        <v>#REF!</v>
      </c>
      <c r="N1219" t="s">
        <v>23</v>
      </c>
      <c r="O1219" t="e">
        <f>+_xlfn.XLOOKUP(tbl_encuesta[[#This Row],[Siento que mi trabajo es reconocido por mi supervisor o jefe directo.]],#REF!,#REF!)</f>
        <v>#REF!</v>
      </c>
      <c r="P1219" t="s">
        <v>31</v>
      </c>
      <c r="Q1219" t="e">
        <f xml:space="preserve">
_xlfn.XLOOKUP(
tbl_encuesta[[#This Row],[Mi supervisor o jefe directo nos brinda charlas de 5 minutos y comunica las novedades relevantes a mi puesto de trabajo]],#REF!,#REF!
)</f>
        <v>#REF!</v>
      </c>
      <c r="T1219" t="s">
        <v>19</v>
      </c>
      <c r="U1219" t="s">
        <v>20</v>
      </c>
      <c r="W1219" t="s">
        <v>25</v>
      </c>
      <c r="X1219" t="s">
        <v>23</v>
      </c>
      <c r="Y1219" t="e">
        <f>+_xlfn.XLOOKUP(tbl_encuesta[[#This Row],[Considero a Limtek como un buen lugar para trabajar]],#REF!,#REF!)</f>
        <v>#REF!</v>
      </c>
      <c r="Z1219" t="s">
        <v>3025</v>
      </c>
      <c r="AA1219" t="s">
        <v>3026</v>
      </c>
      <c r="AB1219" t="s">
        <v>28</v>
      </c>
      <c r="AC1219" s="3" t="s">
        <v>3736</v>
      </c>
      <c r="AD1219" s="3" t="s">
        <v>3740</v>
      </c>
      <c r="AE1219" t="s">
        <v>69</v>
      </c>
    </row>
    <row r="1220" spans="1:31" x14ac:dyDescent="0.25">
      <c r="A1220">
        <v>119025837396</v>
      </c>
      <c r="B1220">
        <v>462598545</v>
      </c>
      <c r="C1220" s="1">
        <v>46014.670428240737</v>
      </c>
      <c r="D1220" s="1">
        <v>46014.678171296298</v>
      </c>
      <c r="E1220" t="s">
        <v>3027</v>
      </c>
      <c r="F1220" t="s">
        <v>22</v>
      </c>
      <c r="G1220" t="e">
        <f>+_xlfn.XLOOKUP(tbl_encuesta[[#This Row],[Me siento a gusto con el ambiente de trabajo que se genera en mi equipo.]],#REF!,#REF!)</f>
        <v>#REF!</v>
      </c>
      <c r="H1220" t="s">
        <v>23</v>
      </c>
      <c r="I1220" t="e">
        <f>+_xlfn.XLOOKUP(tbl_encuesta[[#This Row],[Me siento motivado a dar lo mejor de mí y hacer un buen trabajo]],#REF!,#REF!)</f>
        <v>#REF!</v>
      </c>
      <c r="J1220" t="s">
        <v>22</v>
      </c>
      <c r="K1220" t="e">
        <f>+_xlfn.XLOOKUP(tbl_encuesta[[#This Row],[Mi supervisor o jefe directo me otorga el soporte que necesito para afrontar cualquier problema que afecte mi trabajo]],#REF!,#REF!)</f>
        <v>#REF!</v>
      </c>
      <c r="L1220" t="s">
        <v>23</v>
      </c>
      <c r="M1220" t="e">
        <f>+_xlfn.XLOOKUP(tbl_encuesta[[#This Row],[Mi supervisor o jefe directo fomenta que nos apoyemos entre todos en el equipo]],#REF!,#REF!)</f>
        <v>#REF!</v>
      </c>
      <c r="N1220" t="s">
        <v>23</v>
      </c>
      <c r="O1220" t="e">
        <f>+_xlfn.XLOOKUP(tbl_encuesta[[#This Row],[Siento que mi trabajo es reconocido por mi supervisor o jefe directo.]],#REF!,#REF!)</f>
        <v>#REF!</v>
      </c>
      <c r="P1220" t="s">
        <v>67</v>
      </c>
      <c r="Q1220" t="e">
        <f xml:space="preserve">
_xlfn.XLOOKUP(
tbl_encuesta[[#This Row],[Mi supervisor o jefe directo nos brinda charlas de 5 minutos y comunica las novedades relevantes a mi puesto de trabajo]],#REF!,#REF!
)</f>
        <v>#REF!</v>
      </c>
      <c r="R1220" t="s">
        <v>17</v>
      </c>
      <c r="S1220" t="s">
        <v>18</v>
      </c>
      <c r="W1220" t="s">
        <v>25</v>
      </c>
      <c r="X1220" t="s">
        <v>23</v>
      </c>
      <c r="Y1220" t="e">
        <f>+_xlfn.XLOOKUP(tbl_encuesta[[#This Row],[Considero a Limtek como un buen lugar para trabajar]],#REF!,#REF!)</f>
        <v>#REF!</v>
      </c>
      <c r="Z1220" t="s">
        <v>3028</v>
      </c>
      <c r="AA1220" t="s">
        <v>1400</v>
      </c>
      <c r="AB1220" t="s">
        <v>28</v>
      </c>
      <c r="AC1220" s="3" t="s">
        <v>3716</v>
      </c>
      <c r="AD1220" s="3" t="s">
        <v>3716</v>
      </c>
      <c r="AE1220" t="s">
        <v>29</v>
      </c>
    </row>
    <row r="1221" spans="1:31" x14ac:dyDescent="0.25">
      <c r="A1221">
        <v>119025836464</v>
      </c>
      <c r="B1221">
        <v>462598545</v>
      </c>
      <c r="C1221" s="1">
        <v>46014.669629629629</v>
      </c>
      <c r="D1221" s="1">
        <v>46014.676435185182</v>
      </c>
      <c r="E1221" t="s">
        <v>3029</v>
      </c>
      <c r="F1221" t="s">
        <v>22</v>
      </c>
      <c r="G1221" t="e">
        <f>+_xlfn.XLOOKUP(tbl_encuesta[[#This Row],[Me siento a gusto con el ambiente de trabajo que se genera en mi equipo.]],#REF!,#REF!)</f>
        <v>#REF!</v>
      </c>
      <c r="H1221" t="s">
        <v>22</v>
      </c>
      <c r="I1221" t="e">
        <f>+_xlfn.XLOOKUP(tbl_encuesta[[#This Row],[Me siento motivado a dar lo mejor de mí y hacer un buen trabajo]],#REF!,#REF!)</f>
        <v>#REF!</v>
      </c>
      <c r="J1221" t="s">
        <v>22</v>
      </c>
      <c r="K1221" t="e">
        <f>+_xlfn.XLOOKUP(tbl_encuesta[[#This Row],[Mi supervisor o jefe directo me otorga el soporte que necesito para afrontar cualquier problema que afecte mi trabajo]],#REF!,#REF!)</f>
        <v>#REF!</v>
      </c>
      <c r="L1221" t="s">
        <v>23</v>
      </c>
      <c r="M1221" t="e">
        <f>+_xlfn.XLOOKUP(tbl_encuesta[[#This Row],[Mi supervisor o jefe directo fomenta que nos apoyemos entre todos en el equipo]],#REF!,#REF!)</f>
        <v>#REF!</v>
      </c>
      <c r="N1221" t="s">
        <v>23</v>
      </c>
      <c r="O1221" t="e">
        <f>+_xlfn.XLOOKUP(tbl_encuesta[[#This Row],[Siento que mi trabajo es reconocido por mi supervisor o jefe directo.]],#REF!,#REF!)</f>
        <v>#REF!</v>
      </c>
      <c r="P1221" t="s">
        <v>67</v>
      </c>
      <c r="Q1221" t="e">
        <f xml:space="preserve">
_xlfn.XLOOKUP(
tbl_encuesta[[#This Row],[Mi supervisor o jefe directo nos brinda charlas de 5 minutos y comunica las novedades relevantes a mi puesto de trabajo]],#REF!,#REF!
)</f>
        <v>#REF!</v>
      </c>
      <c r="R1221" t="s">
        <v>17</v>
      </c>
      <c r="U1221" t="s">
        <v>20</v>
      </c>
      <c r="W1221" t="s">
        <v>25</v>
      </c>
      <c r="X1221" t="s">
        <v>23</v>
      </c>
      <c r="Y1221" t="e">
        <f>+_xlfn.XLOOKUP(tbl_encuesta[[#This Row],[Considero a Limtek como un buen lugar para trabajar]],#REF!,#REF!)</f>
        <v>#REF!</v>
      </c>
      <c r="Z1221" t="s">
        <v>3030</v>
      </c>
      <c r="AA1221" t="s">
        <v>3031</v>
      </c>
      <c r="AB1221" t="s">
        <v>28</v>
      </c>
      <c r="AC1221" t="s">
        <v>3598</v>
      </c>
      <c r="AD1221" s="3" t="s">
        <v>3601</v>
      </c>
      <c r="AE1221" t="s">
        <v>69</v>
      </c>
    </row>
    <row r="1222" spans="1:31" x14ac:dyDescent="0.25">
      <c r="A1222">
        <v>119025835509</v>
      </c>
      <c r="B1222">
        <v>462598545</v>
      </c>
      <c r="C1222" s="1">
        <v>46014.668055555558</v>
      </c>
      <c r="D1222" s="1">
        <v>46014.674745370372</v>
      </c>
      <c r="E1222" t="s">
        <v>3032</v>
      </c>
      <c r="F1222" t="s">
        <v>23</v>
      </c>
      <c r="G1222" t="e">
        <f>+_xlfn.XLOOKUP(tbl_encuesta[[#This Row],[Me siento a gusto con el ambiente de trabajo que se genera en mi equipo.]],#REF!,#REF!)</f>
        <v>#REF!</v>
      </c>
      <c r="H1222" t="s">
        <v>23</v>
      </c>
      <c r="I1222" t="e">
        <f>+_xlfn.XLOOKUP(tbl_encuesta[[#This Row],[Me siento motivado a dar lo mejor de mí y hacer un buen trabajo]],#REF!,#REF!)</f>
        <v>#REF!</v>
      </c>
      <c r="J1222" t="s">
        <v>23</v>
      </c>
      <c r="K1222" t="e">
        <f>+_xlfn.XLOOKUP(tbl_encuesta[[#This Row],[Mi supervisor o jefe directo me otorga el soporte que necesito para afrontar cualquier problema que afecte mi trabajo]],#REF!,#REF!)</f>
        <v>#REF!</v>
      </c>
      <c r="L1222" t="s">
        <v>23</v>
      </c>
      <c r="M1222" t="e">
        <f>+_xlfn.XLOOKUP(tbl_encuesta[[#This Row],[Mi supervisor o jefe directo fomenta que nos apoyemos entre todos en el equipo]],#REF!,#REF!)</f>
        <v>#REF!</v>
      </c>
      <c r="N1222" t="s">
        <v>23</v>
      </c>
      <c r="O1222" t="e">
        <f>+_xlfn.XLOOKUP(tbl_encuesta[[#This Row],[Siento que mi trabajo es reconocido por mi supervisor o jefe directo.]],#REF!,#REF!)</f>
        <v>#REF!</v>
      </c>
      <c r="P1222" t="s">
        <v>31</v>
      </c>
      <c r="Q1222" t="e">
        <f xml:space="preserve">
_xlfn.XLOOKUP(
tbl_encuesta[[#This Row],[Mi supervisor o jefe directo nos brinda charlas de 5 minutos y comunica las novedades relevantes a mi puesto de trabajo]],#REF!,#REF!
)</f>
        <v>#REF!</v>
      </c>
      <c r="R1222" t="s">
        <v>17</v>
      </c>
      <c r="S1222" t="s">
        <v>18</v>
      </c>
      <c r="W1222" t="s">
        <v>25</v>
      </c>
      <c r="X1222" t="s">
        <v>23</v>
      </c>
      <c r="Y1222" t="e">
        <f>+_xlfn.XLOOKUP(tbl_encuesta[[#This Row],[Considero a Limtek como un buen lugar para trabajar]],#REF!,#REF!)</f>
        <v>#REF!</v>
      </c>
      <c r="Z1222" t="s">
        <v>3033</v>
      </c>
      <c r="AA1222" t="s">
        <v>3034</v>
      </c>
      <c r="AB1222" t="s">
        <v>28</v>
      </c>
      <c r="AC1222" s="3" t="s">
        <v>3736</v>
      </c>
      <c r="AD1222" s="3" t="s">
        <v>3740</v>
      </c>
      <c r="AE1222" t="s">
        <v>69</v>
      </c>
    </row>
    <row r="1223" spans="1:31" x14ac:dyDescent="0.25">
      <c r="A1223">
        <v>119025833783</v>
      </c>
      <c r="B1223">
        <v>462598545</v>
      </c>
      <c r="C1223" s="1">
        <v>46014.66851851852</v>
      </c>
      <c r="D1223" s="1">
        <v>46014.671574074076</v>
      </c>
      <c r="E1223" t="s">
        <v>3035</v>
      </c>
      <c r="F1223" t="s">
        <v>23</v>
      </c>
      <c r="G1223" t="e">
        <f>+_xlfn.XLOOKUP(tbl_encuesta[[#This Row],[Me siento a gusto con el ambiente de trabajo que se genera en mi equipo.]],#REF!,#REF!)</f>
        <v>#REF!</v>
      </c>
      <c r="H1223" t="s">
        <v>22</v>
      </c>
      <c r="I1223" t="e">
        <f>+_xlfn.XLOOKUP(tbl_encuesta[[#This Row],[Me siento motivado a dar lo mejor de mí y hacer un buen trabajo]],#REF!,#REF!)</f>
        <v>#REF!</v>
      </c>
      <c r="J1223" t="s">
        <v>23</v>
      </c>
      <c r="K1223" t="e">
        <f>+_xlfn.XLOOKUP(tbl_encuesta[[#This Row],[Mi supervisor o jefe directo me otorga el soporte que necesito para afrontar cualquier problema que afecte mi trabajo]],#REF!,#REF!)</f>
        <v>#REF!</v>
      </c>
      <c r="L1223" t="s">
        <v>23</v>
      </c>
      <c r="M1223" t="e">
        <f>+_xlfn.XLOOKUP(tbl_encuesta[[#This Row],[Mi supervisor o jefe directo fomenta que nos apoyemos entre todos en el equipo]],#REF!,#REF!)</f>
        <v>#REF!</v>
      </c>
      <c r="N1223" t="s">
        <v>22</v>
      </c>
      <c r="O1223" t="e">
        <f>+_xlfn.XLOOKUP(tbl_encuesta[[#This Row],[Siento que mi trabajo es reconocido por mi supervisor o jefe directo.]],#REF!,#REF!)</f>
        <v>#REF!</v>
      </c>
      <c r="P1223" t="s">
        <v>31</v>
      </c>
      <c r="Q1223" t="e">
        <f xml:space="preserve">
_xlfn.XLOOKUP(
tbl_encuesta[[#This Row],[Mi supervisor o jefe directo nos brinda charlas de 5 minutos y comunica las novedades relevantes a mi puesto de trabajo]],#REF!,#REF!
)</f>
        <v>#REF!</v>
      </c>
      <c r="R1223" t="s">
        <v>17</v>
      </c>
      <c r="W1223" t="s">
        <v>25</v>
      </c>
      <c r="X1223" t="s">
        <v>22</v>
      </c>
      <c r="Y1223" t="e">
        <f>+_xlfn.XLOOKUP(tbl_encuesta[[#This Row],[Considero a Limtek como un buen lugar para trabajar]],#REF!,#REF!)</f>
        <v>#REF!</v>
      </c>
      <c r="Z1223" t="s">
        <v>3036</v>
      </c>
      <c r="AA1223" t="s">
        <v>3037</v>
      </c>
      <c r="AB1223" t="s">
        <v>28</v>
      </c>
      <c r="AC1223" s="3" t="s">
        <v>3716</v>
      </c>
      <c r="AD1223" s="3" t="s">
        <v>3716</v>
      </c>
      <c r="AE1223" t="s">
        <v>69</v>
      </c>
    </row>
    <row r="1224" spans="1:31" x14ac:dyDescent="0.25">
      <c r="A1224">
        <v>119025833593</v>
      </c>
      <c r="B1224">
        <v>462598545</v>
      </c>
      <c r="C1224" s="1">
        <v>46014.658738425926</v>
      </c>
      <c r="D1224" s="1">
        <v>46014.671261574076</v>
      </c>
      <c r="E1224" t="s">
        <v>3038</v>
      </c>
      <c r="F1224" t="s">
        <v>23</v>
      </c>
      <c r="G1224" t="e">
        <f>+_xlfn.XLOOKUP(tbl_encuesta[[#This Row],[Me siento a gusto con el ambiente de trabajo que se genera en mi equipo.]],#REF!,#REF!)</f>
        <v>#REF!</v>
      </c>
      <c r="H1224" t="s">
        <v>23</v>
      </c>
      <c r="I1224" t="e">
        <f>+_xlfn.XLOOKUP(tbl_encuesta[[#This Row],[Me siento motivado a dar lo mejor de mí y hacer un buen trabajo]],#REF!,#REF!)</f>
        <v>#REF!</v>
      </c>
      <c r="J1224" t="s">
        <v>23</v>
      </c>
      <c r="K1224" t="e">
        <f>+_xlfn.XLOOKUP(tbl_encuesta[[#This Row],[Mi supervisor o jefe directo me otorga el soporte que necesito para afrontar cualquier problema que afecte mi trabajo]],#REF!,#REF!)</f>
        <v>#REF!</v>
      </c>
      <c r="L1224" t="s">
        <v>23</v>
      </c>
      <c r="M1224" t="e">
        <f>+_xlfn.XLOOKUP(tbl_encuesta[[#This Row],[Mi supervisor o jefe directo fomenta que nos apoyemos entre todos en el equipo]],#REF!,#REF!)</f>
        <v>#REF!</v>
      </c>
      <c r="N1224" t="s">
        <v>23</v>
      </c>
      <c r="O1224" t="e">
        <f>+_xlfn.XLOOKUP(tbl_encuesta[[#This Row],[Siento que mi trabajo es reconocido por mi supervisor o jefe directo.]],#REF!,#REF!)</f>
        <v>#REF!</v>
      </c>
      <c r="P1224" t="s">
        <v>31</v>
      </c>
      <c r="Q1224" t="e">
        <f xml:space="preserve">
_xlfn.XLOOKUP(
tbl_encuesta[[#This Row],[Mi supervisor o jefe directo nos brinda charlas de 5 minutos y comunica las novedades relevantes a mi puesto de trabajo]],#REF!,#REF!
)</f>
        <v>#REF!</v>
      </c>
      <c r="R1224" t="s">
        <v>17</v>
      </c>
      <c r="W1224" t="s">
        <v>25</v>
      </c>
      <c r="X1224" t="s">
        <v>23</v>
      </c>
      <c r="Y1224" t="e">
        <f>+_xlfn.XLOOKUP(tbl_encuesta[[#This Row],[Considero a Limtek como un buen lugar para trabajar]],#REF!,#REF!)</f>
        <v>#REF!</v>
      </c>
      <c r="Z1224" t="s">
        <v>3039</v>
      </c>
      <c r="AA1224" t="s">
        <v>3040</v>
      </c>
      <c r="AB1224" t="s">
        <v>28</v>
      </c>
      <c r="AC1224" s="3" t="s">
        <v>3716</v>
      </c>
      <c r="AD1224" s="3" t="s">
        <v>3721</v>
      </c>
      <c r="AE1224" t="s">
        <v>29</v>
      </c>
    </row>
    <row r="1225" spans="1:31" x14ac:dyDescent="0.25">
      <c r="A1225">
        <v>119025832552</v>
      </c>
      <c r="B1225">
        <v>462598545</v>
      </c>
      <c r="C1225" s="1">
        <v>46014.666562500002</v>
      </c>
      <c r="D1225" s="1">
        <v>46014.669317129628</v>
      </c>
      <c r="E1225" t="s">
        <v>3041</v>
      </c>
      <c r="F1225" t="s">
        <v>23</v>
      </c>
      <c r="G1225" t="e">
        <f>+_xlfn.XLOOKUP(tbl_encuesta[[#This Row],[Me siento a gusto con el ambiente de trabajo que se genera en mi equipo.]],#REF!,#REF!)</f>
        <v>#REF!</v>
      </c>
      <c r="H1225" t="s">
        <v>23</v>
      </c>
      <c r="I1225" t="e">
        <f>+_xlfn.XLOOKUP(tbl_encuesta[[#This Row],[Me siento motivado a dar lo mejor de mí y hacer un buen trabajo]],#REF!,#REF!)</f>
        <v>#REF!</v>
      </c>
      <c r="J1225" t="s">
        <v>23</v>
      </c>
      <c r="K1225" t="e">
        <f>+_xlfn.XLOOKUP(tbl_encuesta[[#This Row],[Mi supervisor o jefe directo me otorga el soporte que necesito para afrontar cualquier problema que afecte mi trabajo]],#REF!,#REF!)</f>
        <v>#REF!</v>
      </c>
      <c r="L1225" t="s">
        <v>23</v>
      </c>
      <c r="M1225" t="e">
        <f>+_xlfn.XLOOKUP(tbl_encuesta[[#This Row],[Mi supervisor o jefe directo fomenta que nos apoyemos entre todos en el equipo]],#REF!,#REF!)</f>
        <v>#REF!</v>
      </c>
      <c r="N1225" t="s">
        <v>23</v>
      </c>
      <c r="O1225" t="e">
        <f>+_xlfn.XLOOKUP(tbl_encuesta[[#This Row],[Siento que mi trabajo es reconocido por mi supervisor o jefe directo.]],#REF!,#REF!)</f>
        <v>#REF!</v>
      </c>
      <c r="P1225" t="s">
        <v>31</v>
      </c>
      <c r="Q1225" t="e">
        <f xml:space="preserve">
_xlfn.XLOOKUP(
tbl_encuesta[[#This Row],[Mi supervisor o jefe directo nos brinda charlas de 5 minutos y comunica las novedades relevantes a mi puesto de trabajo]],#REF!,#REF!
)</f>
        <v>#REF!</v>
      </c>
      <c r="R1225" t="s">
        <v>17</v>
      </c>
      <c r="S1225" t="s">
        <v>18</v>
      </c>
      <c r="W1225" t="s">
        <v>25</v>
      </c>
      <c r="X1225" t="s">
        <v>23</v>
      </c>
      <c r="Y1225" t="e">
        <f>+_xlfn.XLOOKUP(tbl_encuesta[[#This Row],[Considero a Limtek como un buen lugar para trabajar]],#REF!,#REF!)</f>
        <v>#REF!</v>
      </c>
      <c r="Z1225" t="s">
        <v>3042</v>
      </c>
      <c r="AA1225" t="s">
        <v>3043</v>
      </c>
      <c r="AB1225" t="s">
        <v>28</v>
      </c>
      <c r="AC1225" s="3" t="s">
        <v>3714</v>
      </c>
      <c r="AD1225" s="3" t="s">
        <v>3724</v>
      </c>
      <c r="AE1225" t="s">
        <v>69</v>
      </c>
    </row>
    <row r="1226" spans="1:31" x14ac:dyDescent="0.25">
      <c r="A1226">
        <v>119025832505</v>
      </c>
      <c r="B1226">
        <v>462598545</v>
      </c>
      <c r="C1226" s="1">
        <v>46014.660914351851</v>
      </c>
      <c r="D1226" s="1">
        <v>46014.669224537036</v>
      </c>
      <c r="E1226" t="s">
        <v>3044</v>
      </c>
      <c r="F1226" t="s">
        <v>22</v>
      </c>
      <c r="G1226" t="e">
        <f>+_xlfn.XLOOKUP(tbl_encuesta[[#This Row],[Me siento a gusto con el ambiente de trabajo que se genera en mi equipo.]],#REF!,#REF!)</f>
        <v>#REF!</v>
      </c>
      <c r="H1226" t="s">
        <v>23</v>
      </c>
      <c r="I1226" t="e">
        <f>+_xlfn.XLOOKUP(tbl_encuesta[[#This Row],[Me siento motivado a dar lo mejor de mí y hacer un buen trabajo]],#REF!,#REF!)</f>
        <v>#REF!</v>
      </c>
      <c r="J1226" t="s">
        <v>23</v>
      </c>
      <c r="K1226" t="e">
        <f>+_xlfn.XLOOKUP(tbl_encuesta[[#This Row],[Mi supervisor o jefe directo me otorga el soporte que necesito para afrontar cualquier problema que afecte mi trabajo]],#REF!,#REF!)</f>
        <v>#REF!</v>
      </c>
      <c r="L1226" t="s">
        <v>23</v>
      </c>
      <c r="M1226" t="e">
        <f>+_xlfn.XLOOKUP(tbl_encuesta[[#This Row],[Mi supervisor o jefe directo fomenta que nos apoyemos entre todos en el equipo]],#REF!,#REF!)</f>
        <v>#REF!</v>
      </c>
      <c r="N1226" t="s">
        <v>23</v>
      </c>
      <c r="O1226" t="e">
        <f>+_xlfn.XLOOKUP(tbl_encuesta[[#This Row],[Siento que mi trabajo es reconocido por mi supervisor o jefe directo.]],#REF!,#REF!)</f>
        <v>#REF!</v>
      </c>
      <c r="P1226" t="s">
        <v>31</v>
      </c>
      <c r="Q1226" t="e">
        <f xml:space="preserve">
_xlfn.XLOOKUP(
tbl_encuesta[[#This Row],[Mi supervisor o jefe directo nos brinda charlas de 5 minutos y comunica las novedades relevantes a mi puesto de trabajo]],#REF!,#REF!
)</f>
        <v>#REF!</v>
      </c>
      <c r="R1226" t="s">
        <v>17</v>
      </c>
      <c r="W1226" t="s">
        <v>25</v>
      </c>
      <c r="X1226" t="s">
        <v>23</v>
      </c>
      <c r="Y1226" t="e">
        <f>+_xlfn.XLOOKUP(tbl_encuesta[[#This Row],[Considero a Limtek como un buen lugar para trabajar]],#REF!,#REF!)</f>
        <v>#REF!</v>
      </c>
      <c r="Z1226" t="s">
        <v>3045</v>
      </c>
      <c r="AA1226" t="s">
        <v>3046</v>
      </c>
      <c r="AB1226" t="s">
        <v>28</v>
      </c>
      <c r="AC1226" s="3" t="s">
        <v>3736</v>
      </c>
      <c r="AD1226" s="3" t="s">
        <v>3740</v>
      </c>
      <c r="AE1226" t="s">
        <v>29</v>
      </c>
    </row>
    <row r="1227" spans="1:31" x14ac:dyDescent="0.25">
      <c r="A1227">
        <v>119025832335</v>
      </c>
      <c r="B1227">
        <v>462598545</v>
      </c>
      <c r="C1227" s="1">
        <v>46014.665937500002</v>
      </c>
      <c r="D1227" s="1">
        <v>46014.668900462966</v>
      </c>
      <c r="E1227" t="s">
        <v>3047</v>
      </c>
      <c r="F1227" t="s">
        <v>22</v>
      </c>
      <c r="G1227" t="e">
        <f>+_xlfn.XLOOKUP(tbl_encuesta[[#This Row],[Me siento a gusto con el ambiente de trabajo que se genera en mi equipo.]],#REF!,#REF!)</f>
        <v>#REF!</v>
      </c>
      <c r="H1227" t="s">
        <v>23</v>
      </c>
      <c r="I1227" t="e">
        <f>+_xlfn.XLOOKUP(tbl_encuesta[[#This Row],[Me siento motivado a dar lo mejor de mí y hacer un buen trabajo]],#REF!,#REF!)</f>
        <v>#REF!</v>
      </c>
      <c r="J1227" t="s">
        <v>23</v>
      </c>
      <c r="K1227" t="e">
        <f>+_xlfn.XLOOKUP(tbl_encuesta[[#This Row],[Mi supervisor o jefe directo me otorga el soporte que necesito para afrontar cualquier problema que afecte mi trabajo]],#REF!,#REF!)</f>
        <v>#REF!</v>
      </c>
      <c r="L1227" t="s">
        <v>23</v>
      </c>
      <c r="M1227" t="e">
        <f>+_xlfn.XLOOKUP(tbl_encuesta[[#This Row],[Mi supervisor o jefe directo fomenta que nos apoyemos entre todos en el equipo]],#REF!,#REF!)</f>
        <v>#REF!</v>
      </c>
      <c r="N1227" t="s">
        <v>22</v>
      </c>
      <c r="O1227" t="e">
        <f>+_xlfn.XLOOKUP(tbl_encuesta[[#This Row],[Siento que mi trabajo es reconocido por mi supervisor o jefe directo.]],#REF!,#REF!)</f>
        <v>#REF!</v>
      </c>
      <c r="P1227" t="s">
        <v>31</v>
      </c>
      <c r="Q1227" t="e">
        <f xml:space="preserve">
_xlfn.XLOOKUP(
tbl_encuesta[[#This Row],[Mi supervisor o jefe directo nos brinda charlas de 5 minutos y comunica las novedades relevantes a mi puesto de trabajo]],#REF!,#REF!
)</f>
        <v>#REF!</v>
      </c>
      <c r="U1227" t="s">
        <v>20</v>
      </c>
      <c r="W1227" t="s">
        <v>25</v>
      </c>
      <c r="X1227" t="s">
        <v>22</v>
      </c>
      <c r="Y1227" t="e">
        <f>+_xlfn.XLOOKUP(tbl_encuesta[[#This Row],[Considero a Limtek como un buen lugar para trabajar]],#REF!,#REF!)</f>
        <v>#REF!</v>
      </c>
      <c r="Z1227" t="s">
        <v>3048</v>
      </c>
      <c r="AA1227" t="s">
        <v>3049</v>
      </c>
      <c r="AB1227" t="s">
        <v>28</v>
      </c>
      <c r="AC1227" s="3" t="s">
        <v>3736</v>
      </c>
      <c r="AD1227" s="3" t="s">
        <v>3740</v>
      </c>
      <c r="AE1227" t="s">
        <v>61</v>
      </c>
    </row>
    <row r="1228" spans="1:31" x14ac:dyDescent="0.25">
      <c r="A1228">
        <v>119025832281</v>
      </c>
      <c r="B1228">
        <v>462598545</v>
      </c>
      <c r="C1228" s="1">
        <v>46014.662777777776</v>
      </c>
      <c r="D1228" s="1">
        <v>46014.668796296297</v>
      </c>
      <c r="E1228" t="s">
        <v>3050</v>
      </c>
      <c r="F1228" t="s">
        <v>22</v>
      </c>
      <c r="G1228" t="e">
        <f>+_xlfn.XLOOKUP(tbl_encuesta[[#This Row],[Me siento a gusto con el ambiente de trabajo que se genera en mi equipo.]],#REF!,#REF!)</f>
        <v>#REF!</v>
      </c>
      <c r="H1228" t="s">
        <v>23</v>
      </c>
      <c r="I1228" t="e">
        <f>+_xlfn.XLOOKUP(tbl_encuesta[[#This Row],[Me siento motivado a dar lo mejor de mí y hacer un buen trabajo]],#REF!,#REF!)</f>
        <v>#REF!</v>
      </c>
      <c r="J1228" t="s">
        <v>22</v>
      </c>
      <c r="K1228" t="e">
        <f>+_xlfn.XLOOKUP(tbl_encuesta[[#This Row],[Mi supervisor o jefe directo me otorga el soporte que necesito para afrontar cualquier problema que afecte mi trabajo]],#REF!,#REF!)</f>
        <v>#REF!</v>
      </c>
      <c r="L1228" t="s">
        <v>23</v>
      </c>
      <c r="M1228" t="e">
        <f>+_xlfn.XLOOKUP(tbl_encuesta[[#This Row],[Mi supervisor o jefe directo fomenta que nos apoyemos entre todos en el equipo]],#REF!,#REF!)</f>
        <v>#REF!</v>
      </c>
      <c r="N1228" t="s">
        <v>23</v>
      </c>
      <c r="O1228" t="e">
        <f>+_xlfn.XLOOKUP(tbl_encuesta[[#This Row],[Siento que mi trabajo es reconocido por mi supervisor o jefe directo.]],#REF!,#REF!)</f>
        <v>#REF!</v>
      </c>
      <c r="P1228" t="s">
        <v>31</v>
      </c>
      <c r="Q1228" t="e">
        <f xml:space="preserve">
_xlfn.XLOOKUP(
tbl_encuesta[[#This Row],[Mi supervisor o jefe directo nos brinda charlas de 5 minutos y comunica las novedades relevantes a mi puesto de trabajo]],#REF!,#REF!
)</f>
        <v>#REF!</v>
      </c>
      <c r="S1228" t="s">
        <v>18</v>
      </c>
      <c r="U1228" t="s">
        <v>20</v>
      </c>
      <c r="W1228" t="s">
        <v>25</v>
      </c>
      <c r="X1228" t="s">
        <v>22</v>
      </c>
      <c r="Y1228" t="e">
        <f>+_xlfn.XLOOKUP(tbl_encuesta[[#This Row],[Considero a Limtek como un buen lugar para trabajar]],#REF!,#REF!)</f>
        <v>#REF!</v>
      </c>
      <c r="Z1228" t="s">
        <v>3051</v>
      </c>
      <c r="AA1228" t="s">
        <v>3052</v>
      </c>
      <c r="AB1228" t="s">
        <v>28</v>
      </c>
      <c r="AC1228" s="3" t="s">
        <v>3736</v>
      </c>
      <c r="AD1228" s="3" t="s">
        <v>3740</v>
      </c>
      <c r="AE1228" t="s">
        <v>34</v>
      </c>
    </row>
    <row r="1229" spans="1:31" x14ac:dyDescent="0.25">
      <c r="A1229">
        <v>119025831994</v>
      </c>
      <c r="B1229">
        <v>462598545</v>
      </c>
      <c r="C1229" s="1">
        <v>46014.666319444441</v>
      </c>
      <c r="D1229" s="1">
        <v>46014.668252314812</v>
      </c>
      <c r="E1229" t="s">
        <v>3053</v>
      </c>
      <c r="F1229" t="s">
        <v>22</v>
      </c>
      <c r="G1229" t="e">
        <f>+_xlfn.XLOOKUP(tbl_encuesta[[#This Row],[Me siento a gusto con el ambiente de trabajo que se genera en mi equipo.]],#REF!,#REF!)</f>
        <v>#REF!</v>
      </c>
      <c r="H1229" t="s">
        <v>23</v>
      </c>
      <c r="I1229" t="e">
        <f>+_xlfn.XLOOKUP(tbl_encuesta[[#This Row],[Me siento motivado a dar lo mejor de mí y hacer un buen trabajo]],#REF!,#REF!)</f>
        <v>#REF!</v>
      </c>
      <c r="J1229" t="s">
        <v>23</v>
      </c>
      <c r="K1229" t="e">
        <f>+_xlfn.XLOOKUP(tbl_encuesta[[#This Row],[Mi supervisor o jefe directo me otorga el soporte que necesito para afrontar cualquier problema que afecte mi trabajo]],#REF!,#REF!)</f>
        <v>#REF!</v>
      </c>
      <c r="L1229" t="s">
        <v>23</v>
      </c>
      <c r="M1229" t="e">
        <f>+_xlfn.XLOOKUP(tbl_encuesta[[#This Row],[Mi supervisor o jefe directo fomenta que nos apoyemos entre todos en el equipo]],#REF!,#REF!)</f>
        <v>#REF!</v>
      </c>
      <c r="N1229" t="s">
        <v>23</v>
      </c>
      <c r="O1229" t="e">
        <f>+_xlfn.XLOOKUP(tbl_encuesta[[#This Row],[Siento que mi trabajo es reconocido por mi supervisor o jefe directo.]],#REF!,#REF!)</f>
        <v>#REF!</v>
      </c>
      <c r="P1229" t="s">
        <v>31</v>
      </c>
      <c r="Q1229" t="e">
        <f xml:space="preserve">
_xlfn.XLOOKUP(
tbl_encuesta[[#This Row],[Mi supervisor o jefe directo nos brinda charlas de 5 minutos y comunica las novedades relevantes a mi puesto de trabajo]],#REF!,#REF!
)</f>
        <v>#REF!</v>
      </c>
      <c r="R1229" t="s">
        <v>17</v>
      </c>
      <c r="U1229" t="s">
        <v>20</v>
      </c>
      <c r="W1229" t="s">
        <v>25</v>
      </c>
      <c r="X1229" t="s">
        <v>23</v>
      </c>
      <c r="Y1229" t="e">
        <f>+_xlfn.XLOOKUP(tbl_encuesta[[#This Row],[Considero a Limtek como un buen lugar para trabajar]],#REF!,#REF!)</f>
        <v>#REF!</v>
      </c>
      <c r="Z1229" t="s">
        <v>3054</v>
      </c>
      <c r="AA1229" t="s">
        <v>3055</v>
      </c>
      <c r="AB1229" t="s">
        <v>28</v>
      </c>
      <c r="AC1229" s="3" t="s">
        <v>3714</v>
      </c>
      <c r="AD1229" s="3" t="s">
        <v>3714</v>
      </c>
      <c r="AE1229" t="s">
        <v>29</v>
      </c>
    </row>
    <row r="1230" spans="1:31" x14ac:dyDescent="0.25">
      <c r="A1230">
        <v>119025831791</v>
      </c>
      <c r="B1230">
        <v>462598545</v>
      </c>
      <c r="C1230" s="1">
        <v>46014.665162037039</v>
      </c>
      <c r="D1230" s="1">
        <v>46014.667870370373</v>
      </c>
      <c r="E1230" t="s">
        <v>3029</v>
      </c>
      <c r="F1230" t="s">
        <v>23</v>
      </c>
      <c r="G1230" t="e">
        <f>+_xlfn.XLOOKUP(tbl_encuesta[[#This Row],[Me siento a gusto con el ambiente de trabajo que se genera en mi equipo.]],#REF!,#REF!)</f>
        <v>#REF!</v>
      </c>
      <c r="H1230" t="s">
        <v>23</v>
      </c>
      <c r="I1230" t="e">
        <f>+_xlfn.XLOOKUP(tbl_encuesta[[#This Row],[Me siento motivado a dar lo mejor de mí y hacer un buen trabajo]],#REF!,#REF!)</f>
        <v>#REF!</v>
      </c>
      <c r="J1230" t="s">
        <v>97</v>
      </c>
      <c r="K1230" t="e">
        <f>+_xlfn.XLOOKUP(tbl_encuesta[[#This Row],[Mi supervisor o jefe directo me otorga el soporte que necesito para afrontar cualquier problema que afecte mi trabajo]],#REF!,#REF!)</f>
        <v>#REF!</v>
      </c>
      <c r="L1230" t="s">
        <v>22</v>
      </c>
      <c r="M1230" t="e">
        <f>+_xlfn.XLOOKUP(tbl_encuesta[[#This Row],[Mi supervisor o jefe directo fomenta que nos apoyemos entre todos en el equipo]],#REF!,#REF!)</f>
        <v>#REF!</v>
      </c>
      <c r="N1230" t="s">
        <v>23</v>
      </c>
      <c r="O1230" t="e">
        <f>+_xlfn.XLOOKUP(tbl_encuesta[[#This Row],[Siento que mi trabajo es reconocido por mi supervisor o jefe directo.]],#REF!,#REF!)</f>
        <v>#REF!</v>
      </c>
      <c r="P1230" t="s">
        <v>67</v>
      </c>
      <c r="Q1230" t="e">
        <f xml:space="preserve">
_xlfn.XLOOKUP(
tbl_encuesta[[#This Row],[Mi supervisor o jefe directo nos brinda charlas de 5 minutos y comunica las novedades relevantes a mi puesto de trabajo]],#REF!,#REF!
)</f>
        <v>#REF!</v>
      </c>
      <c r="R1230" t="s">
        <v>17</v>
      </c>
      <c r="U1230" t="s">
        <v>20</v>
      </c>
      <c r="W1230" t="s">
        <v>25</v>
      </c>
      <c r="X1230" t="s">
        <v>23</v>
      </c>
      <c r="Y1230" t="e">
        <f>+_xlfn.XLOOKUP(tbl_encuesta[[#This Row],[Considero a Limtek como un buen lugar para trabajar]],#REF!,#REF!)</f>
        <v>#REF!</v>
      </c>
      <c r="Z1230" t="s">
        <v>3056</v>
      </c>
      <c r="AA1230" t="s">
        <v>3057</v>
      </c>
      <c r="AB1230" t="s">
        <v>28</v>
      </c>
      <c r="AC1230" t="s">
        <v>3598</v>
      </c>
      <c r="AD1230" s="3" t="s">
        <v>3601</v>
      </c>
      <c r="AE1230" t="s">
        <v>69</v>
      </c>
    </row>
    <row r="1231" spans="1:31" x14ac:dyDescent="0.25">
      <c r="A1231">
        <v>119025831781</v>
      </c>
      <c r="B1231">
        <v>462598545</v>
      </c>
      <c r="C1231" s="1">
        <v>46014.666620370372</v>
      </c>
      <c r="D1231" s="1">
        <v>46014.667847222219</v>
      </c>
      <c r="E1231" t="s">
        <v>3058</v>
      </c>
      <c r="F1231" t="s">
        <v>22</v>
      </c>
      <c r="G1231" t="e">
        <f>+_xlfn.XLOOKUP(tbl_encuesta[[#This Row],[Me siento a gusto con el ambiente de trabajo que se genera en mi equipo.]],#REF!,#REF!)</f>
        <v>#REF!</v>
      </c>
      <c r="H1231" t="s">
        <v>22</v>
      </c>
      <c r="I1231" t="e">
        <f>+_xlfn.XLOOKUP(tbl_encuesta[[#This Row],[Me siento motivado a dar lo mejor de mí y hacer un buen trabajo]],#REF!,#REF!)</f>
        <v>#REF!</v>
      </c>
      <c r="J1231" t="s">
        <v>22</v>
      </c>
      <c r="K1231" t="e">
        <f>+_xlfn.XLOOKUP(tbl_encuesta[[#This Row],[Mi supervisor o jefe directo me otorga el soporte que necesito para afrontar cualquier problema que afecte mi trabajo]],#REF!,#REF!)</f>
        <v>#REF!</v>
      </c>
      <c r="L1231" t="s">
        <v>22</v>
      </c>
      <c r="M1231" t="e">
        <f>+_xlfn.XLOOKUP(tbl_encuesta[[#This Row],[Mi supervisor o jefe directo fomenta que nos apoyemos entre todos en el equipo]],#REF!,#REF!)</f>
        <v>#REF!</v>
      </c>
      <c r="N1231" t="s">
        <v>22</v>
      </c>
      <c r="O1231" t="e">
        <f>+_xlfn.XLOOKUP(tbl_encuesta[[#This Row],[Siento que mi trabajo es reconocido por mi supervisor o jefe directo.]],#REF!,#REF!)</f>
        <v>#REF!</v>
      </c>
      <c r="P1231" t="s">
        <v>67</v>
      </c>
      <c r="Q1231" t="e">
        <f xml:space="preserve">
_xlfn.XLOOKUP(
tbl_encuesta[[#This Row],[Mi supervisor o jefe directo nos brinda charlas de 5 minutos y comunica las novedades relevantes a mi puesto de trabajo]],#REF!,#REF!
)</f>
        <v>#REF!</v>
      </c>
      <c r="T1231" t="s">
        <v>19</v>
      </c>
      <c r="U1231" t="s">
        <v>20</v>
      </c>
      <c r="W1231" t="s">
        <v>25</v>
      </c>
      <c r="X1231" t="s">
        <v>22</v>
      </c>
      <c r="Y1231" t="e">
        <f>+_xlfn.XLOOKUP(tbl_encuesta[[#This Row],[Considero a Limtek como un buen lugar para trabajar]],#REF!,#REF!)</f>
        <v>#REF!</v>
      </c>
      <c r="Z1231" t="s">
        <v>3059</v>
      </c>
      <c r="AA1231" t="s">
        <v>3060</v>
      </c>
      <c r="AB1231" t="s">
        <v>28</v>
      </c>
      <c r="AC1231" s="3" t="s">
        <v>3736</v>
      </c>
      <c r="AD1231" s="3" t="s">
        <v>3736</v>
      </c>
      <c r="AE1231" t="s">
        <v>55</v>
      </c>
    </row>
    <row r="1232" spans="1:31" x14ac:dyDescent="0.25">
      <c r="A1232">
        <v>119025831768</v>
      </c>
      <c r="B1232">
        <v>462598545</v>
      </c>
      <c r="C1232" s="1">
        <v>46014.661307870374</v>
      </c>
      <c r="D1232" s="1">
        <v>46014.667824074073</v>
      </c>
      <c r="E1232" t="s">
        <v>3061</v>
      </c>
      <c r="F1232" t="s">
        <v>43</v>
      </c>
      <c r="G1232" t="e">
        <f>+_xlfn.XLOOKUP(tbl_encuesta[[#This Row],[Me siento a gusto con el ambiente de trabajo que se genera en mi equipo.]],#REF!,#REF!)</f>
        <v>#REF!</v>
      </c>
      <c r="H1232" t="s">
        <v>43</v>
      </c>
      <c r="I1232" t="e">
        <f>+_xlfn.XLOOKUP(tbl_encuesta[[#This Row],[Me siento motivado a dar lo mejor de mí y hacer un buen trabajo]],#REF!,#REF!)</f>
        <v>#REF!</v>
      </c>
      <c r="J1232" t="s">
        <v>43</v>
      </c>
      <c r="K1232" t="e">
        <f>+_xlfn.XLOOKUP(tbl_encuesta[[#This Row],[Mi supervisor o jefe directo me otorga el soporte que necesito para afrontar cualquier problema que afecte mi trabajo]],#REF!,#REF!)</f>
        <v>#REF!</v>
      </c>
      <c r="L1232" t="s">
        <v>97</v>
      </c>
      <c r="M1232" t="e">
        <f>+_xlfn.XLOOKUP(tbl_encuesta[[#This Row],[Mi supervisor o jefe directo fomenta que nos apoyemos entre todos en el equipo]],#REF!,#REF!)</f>
        <v>#REF!</v>
      </c>
      <c r="N1232" t="s">
        <v>43</v>
      </c>
      <c r="O1232" t="e">
        <f>+_xlfn.XLOOKUP(tbl_encuesta[[#This Row],[Siento que mi trabajo es reconocido por mi supervisor o jefe directo.]],#REF!,#REF!)</f>
        <v>#REF!</v>
      </c>
      <c r="P1232" t="s">
        <v>67</v>
      </c>
      <c r="Q1232" t="e">
        <f xml:space="preserve">
_xlfn.XLOOKUP(
tbl_encuesta[[#This Row],[Mi supervisor o jefe directo nos brinda charlas de 5 minutos y comunica las novedades relevantes a mi puesto de trabajo]],#REF!,#REF!
)</f>
        <v>#REF!</v>
      </c>
      <c r="R1232" t="s">
        <v>17</v>
      </c>
      <c r="W1232" t="s">
        <v>25</v>
      </c>
      <c r="X1232" t="s">
        <v>22</v>
      </c>
      <c r="Y1232" t="e">
        <f>+_xlfn.XLOOKUP(tbl_encuesta[[#This Row],[Considero a Limtek como un buen lugar para trabajar]],#REF!,#REF!)</f>
        <v>#REF!</v>
      </c>
      <c r="Z1232" t="s">
        <v>3062</v>
      </c>
      <c r="AA1232" t="s">
        <v>3063</v>
      </c>
      <c r="AB1232" t="s">
        <v>563</v>
      </c>
      <c r="AC1232" s="3" t="s">
        <v>3716</v>
      </c>
      <c r="AD1232" s="3" t="s">
        <v>3716</v>
      </c>
      <c r="AE1232" t="s">
        <v>69</v>
      </c>
    </row>
    <row r="1233" spans="1:31" x14ac:dyDescent="0.25">
      <c r="A1233">
        <v>119025831670</v>
      </c>
      <c r="B1233">
        <v>462598545</v>
      </c>
      <c r="C1233" s="1">
        <v>46014.662962962961</v>
      </c>
      <c r="D1233" s="1">
        <v>46014.667638888888</v>
      </c>
      <c r="E1233" t="s">
        <v>2673</v>
      </c>
      <c r="F1233" t="s">
        <v>23</v>
      </c>
      <c r="G1233" t="e">
        <f>+_xlfn.XLOOKUP(tbl_encuesta[[#This Row],[Me siento a gusto con el ambiente de trabajo que se genera en mi equipo.]],#REF!,#REF!)</f>
        <v>#REF!</v>
      </c>
      <c r="H1233" t="s">
        <v>23</v>
      </c>
      <c r="I1233" t="e">
        <f>+_xlfn.XLOOKUP(tbl_encuesta[[#This Row],[Me siento motivado a dar lo mejor de mí y hacer un buen trabajo]],#REF!,#REF!)</f>
        <v>#REF!</v>
      </c>
      <c r="J1233" t="s">
        <v>23</v>
      </c>
      <c r="K1233" t="e">
        <f>+_xlfn.XLOOKUP(tbl_encuesta[[#This Row],[Mi supervisor o jefe directo me otorga el soporte que necesito para afrontar cualquier problema que afecte mi trabajo]],#REF!,#REF!)</f>
        <v>#REF!</v>
      </c>
      <c r="L1233" t="s">
        <v>23</v>
      </c>
      <c r="M1233" t="e">
        <f>+_xlfn.XLOOKUP(tbl_encuesta[[#This Row],[Mi supervisor o jefe directo fomenta que nos apoyemos entre todos en el equipo]],#REF!,#REF!)</f>
        <v>#REF!</v>
      </c>
      <c r="N1233" t="s">
        <v>23</v>
      </c>
      <c r="O1233" t="e">
        <f>+_xlfn.XLOOKUP(tbl_encuesta[[#This Row],[Siento que mi trabajo es reconocido por mi supervisor o jefe directo.]],#REF!,#REF!)</f>
        <v>#REF!</v>
      </c>
      <c r="P1233" t="s">
        <v>67</v>
      </c>
      <c r="Q1233" t="e">
        <f xml:space="preserve">
_xlfn.XLOOKUP(
tbl_encuesta[[#This Row],[Mi supervisor o jefe directo nos brinda charlas de 5 minutos y comunica las novedades relevantes a mi puesto de trabajo]],#REF!,#REF!
)</f>
        <v>#REF!</v>
      </c>
      <c r="V1233" t="s">
        <v>3064</v>
      </c>
      <c r="W1233" t="s">
        <v>25</v>
      </c>
      <c r="X1233" t="s">
        <v>23</v>
      </c>
      <c r="Y1233" t="e">
        <f>+_xlfn.XLOOKUP(tbl_encuesta[[#This Row],[Considero a Limtek como un buen lugar para trabajar]],#REF!,#REF!)</f>
        <v>#REF!</v>
      </c>
      <c r="Z1233" t="s">
        <v>332</v>
      </c>
      <c r="AA1233" t="s">
        <v>527</v>
      </c>
      <c r="AB1233" t="s">
        <v>28</v>
      </c>
      <c r="AC1233" s="3" t="s">
        <v>3736</v>
      </c>
      <c r="AD1233" s="3" t="s">
        <v>3736</v>
      </c>
      <c r="AE1233" t="s">
        <v>69</v>
      </c>
    </row>
    <row r="1234" spans="1:31" x14ac:dyDescent="0.25">
      <c r="A1234">
        <v>119025831562</v>
      </c>
      <c r="B1234">
        <v>462598545</v>
      </c>
      <c r="C1234" s="1">
        <v>46014.662210648145</v>
      </c>
      <c r="D1234" s="1">
        <v>46014.667442129627</v>
      </c>
      <c r="E1234" t="s">
        <v>3065</v>
      </c>
      <c r="F1234" t="s">
        <v>23</v>
      </c>
      <c r="G1234" t="e">
        <f>+_xlfn.XLOOKUP(tbl_encuesta[[#This Row],[Me siento a gusto con el ambiente de trabajo que se genera en mi equipo.]],#REF!,#REF!)</f>
        <v>#REF!</v>
      </c>
      <c r="H1234" t="s">
        <v>23</v>
      </c>
      <c r="I1234" t="e">
        <f>+_xlfn.XLOOKUP(tbl_encuesta[[#This Row],[Me siento motivado a dar lo mejor de mí y hacer un buen trabajo]],#REF!,#REF!)</f>
        <v>#REF!</v>
      </c>
      <c r="J1234" t="s">
        <v>23</v>
      </c>
      <c r="K1234" t="e">
        <f>+_xlfn.XLOOKUP(tbl_encuesta[[#This Row],[Mi supervisor o jefe directo me otorga el soporte que necesito para afrontar cualquier problema que afecte mi trabajo]],#REF!,#REF!)</f>
        <v>#REF!</v>
      </c>
      <c r="L1234" t="s">
        <v>23</v>
      </c>
      <c r="M1234" t="e">
        <f>+_xlfn.XLOOKUP(tbl_encuesta[[#This Row],[Mi supervisor o jefe directo fomenta que nos apoyemos entre todos en el equipo]],#REF!,#REF!)</f>
        <v>#REF!</v>
      </c>
      <c r="N1234" t="s">
        <v>23</v>
      </c>
      <c r="O1234" t="e">
        <f>+_xlfn.XLOOKUP(tbl_encuesta[[#This Row],[Siento que mi trabajo es reconocido por mi supervisor o jefe directo.]],#REF!,#REF!)</f>
        <v>#REF!</v>
      </c>
      <c r="P1234" t="s">
        <v>31</v>
      </c>
      <c r="Q1234" t="e">
        <f xml:space="preserve">
_xlfn.XLOOKUP(
tbl_encuesta[[#This Row],[Mi supervisor o jefe directo nos brinda charlas de 5 minutos y comunica las novedades relevantes a mi puesto de trabajo]],#REF!,#REF!
)</f>
        <v>#REF!</v>
      </c>
      <c r="R1234" t="s">
        <v>17</v>
      </c>
      <c r="S1234" t="s">
        <v>18</v>
      </c>
      <c r="W1234" t="s">
        <v>25</v>
      </c>
      <c r="X1234" t="s">
        <v>23</v>
      </c>
      <c r="Y1234" t="e">
        <f>+_xlfn.XLOOKUP(tbl_encuesta[[#This Row],[Considero a Limtek como un buen lugar para trabajar]],#REF!,#REF!)</f>
        <v>#REF!</v>
      </c>
      <c r="Z1234" t="s">
        <v>3066</v>
      </c>
      <c r="AA1234" t="s">
        <v>3067</v>
      </c>
      <c r="AB1234" t="s">
        <v>28</v>
      </c>
      <c r="AC1234" s="3" t="s">
        <v>3736</v>
      </c>
      <c r="AD1234" s="3" t="s">
        <v>3736</v>
      </c>
      <c r="AE1234" t="s">
        <v>69</v>
      </c>
    </row>
    <row r="1235" spans="1:31" x14ac:dyDescent="0.25">
      <c r="A1235">
        <v>119025831397</v>
      </c>
      <c r="B1235">
        <v>462598545</v>
      </c>
      <c r="C1235" s="1">
        <v>46014.660740740743</v>
      </c>
      <c r="D1235" s="1">
        <v>46014.66715277778</v>
      </c>
      <c r="E1235" t="s">
        <v>3068</v>
      </c>
      <c r="F1235" t="s">
        <v>23</v>
      </c>
      <c r="G1235" t="e">
        <f>+_xlfn.XLOOKUP(tbl_encuesta[[#This Row],[Me siento a gusto con el ambiente de trabajo que se genera en mi equipo.]],#REF!,#REF!)</f>
        <v>#REF!</v>
      </c>
      <c r="H1235" t="s">
        <v>23</v>
      </c>
      <c r="I1235" t="e">
        <f>+_xlfn.XLOOKUP(tbl_encuesta[[#This Row],[Me siento motivado a dar lo mejor de mí y hacer un buen trabajo]],#REF!,#REF!)</f>
        <v>#REF!</v>
      </c>
      <c r="J1235" t="s">
        <v>23</v>
      </c>
      <c r="K1235" t="e">
        <f>+_xlfn.XLOOKUP(tbl_encuesta[[#This Row],[Mi supervisor o jefe directo me otorga el soporte que necesito para afrontar cualquier problema que afecte mi trabajo]],#REF!,#REF!)</f>
        <v>#REF!</v>
      </c>
      <c r="L1235" t="s">
        <v>23</v>
      </c>
      <c r="M1235" t="e">
        <f>+_xlfn.XLOOKUP(tbl_encuesta[[#This Row],[Mi supervisor o jefe directo fomenta que nos apoyemos entre todos en el equipo]],#REF!,#REF!)</f>
        <v>#REF!</v>
      </c>
      <c r="N1235" t="s">
        <v>22</v>
      </c>
      <c r="O1235" t="e">
        <f>+_xlfn.XLOOKUP(tbl_encuesta[[#This Row],[Siento que mi trabajo es reconocido por mi supervisor o jefe directo.]],#REF!,#REF!)</f>
        <v>#REF!</v>
      </c>
      <c r="P1235" t="s">
        <v>31</v>
      </c>
      <c r="Q1235" t="e">
        <f xml:space="preserve">
_xlfn.XLOOKUP(
tbl_encuesta[[#This Row],[Mi supervisor o jefe directo nos brinda charlas de 5 minutos y comunica las novedades relevantes a mi puesto de trabajo]],#REF!,#REF!
)</f>
        <v>#REF!</v>
      </c>
      <c r="R1235" t="s">
        <v>17</v>
      </c>
      <c r="T1235" t="s">
        <v>19</v>
      </c>
      <c r="W1235" t="s">
        <v>25</v>
      </c>
      <c r="X1235" t="s">
        <v>23</v>
      </c>
      <c r="Y1235" t="e">
        <f>+_xlfn.XLOOKUP(tbl_encuesta[[#This Row],[Considero a Limtek como un buen lugar para trabajar]],#REF!,#REF!)</f>
        <v>#REF!</v>
      </c>
      <c r="Z1235" t="s">
        <v>3069</v>
      </c>
      <c r="AA1235" t="s">
        <v>3070</v>
      </c>
      <c r="AB1235" t="s">
        <v>38</v>
      </c>
      <c r="AC1235" s="3" t="s">
        <v>3610</v>
      </c>
      <c r="AD1235" s="3" t="s">
        <v>3610</v>
      </c>
      <c r="AE1235" t="s">
        <v>34</v>
      </c>
    </row>
    <row r="1236" spans="1:31" x14ac:dyDescent="0.25">
      <c r="A1236">
        <v>119025830911</v>
      </c>
      <c r="B1236">
        <v>462598545</v>
      </c>
      <c r="C1236" s="1">
        <v>46014.662499999999</v>
      </c>
      <c r="D1236" s="1">
        <v>46014.666226851848</v>
      </c>
      <c r="E1236" t="s">
        <v>3071</v>
      </c>
      <c r="F1236" t="s">
        <v>23</v>
      </c>
      <c r="G1236" t="e">
        <f>+_xlfn.XLOOKUP(tbl_encuesta[[#This Row],[Me siento a gusto con el ambiente de trabajo que se genera en mi equipo.]],#REF!,#REF!)</f>
        <v>#REF!</v>
      </c>
      <c r="H1236" t="s">
        <v>23</v>
      </c>
      <c r="I1236" t="e">
        <f>+_xlfn.XLOOKUP(tbl_encuesta[[#This Row],[Me siento motivado a dar lo mejor de mí y hacer un buen trabajo]],#REF!,#REF!)</f>
        <v>#REF!</v>
      </c>
      <c r="J1236" t="s">
        <v>23</v>
      </c>
      <c r="K1236" t="e">
        <f>+_xlfn.XLOOKUP(tbl_encuesta[[#This Row],[Mi supervisor o jefe directo me otorga el soporte que necesito para afrontar cualquier problema que afecte mi trabajo]],#REF!,#REF!)</f>
        <v>#REF!</v>
      </c>
      <c r="L1236" t="s">
        <v>23</v>
      </c>
      <c r="M1236" t="e">
        <f>+_xlfn.XLOOKUP(tbl_encuesta[[#This Row],[Mi supervisor o jefe directo fomenta que nos apoyemos entre todos en el equipo]],#REF!,#REF!)</f>
        <v>#REF!</v>
      </c>
      <c r="N1236" t="s">
        <v>22</v>
      </c>
      <c r="O1236" t="e">
        <f>+_xlfn.XLOOKUP(tbl_encuesta[[#This Row],[Siento que mi trabajo es reconocido por mi supervisor o jefe directo.]],#REF!,#REF!)</f>
        <v>#REF!</v>
      </c>
      <c r="P1236" t="s">
        <v>31</v>
      </c>
      <c r="Q1236" t="e">
        <f xml:space="preserve">
_xlfn.XLOOKUP(
tbl_encuesta[[#This Row],[Mi supervisor o jefe directo nos brinda charlas de 5 minutos y comunica las novedades relevantes a mi puesto de trabajo]],#REF!,#REF!
)</f>
        <v>#REF!</v>
      </c>
      <c r="R1236" t="s">
        <v>17</v>
      </c>
      <c r="W1236" t="s">
        <v>46</v>
      </c>
      <c r="X1236" t="s">
        <v>23</v>
      </c>
      <c r="Y1236" t="e">
        <f>+_xlfn.XLOOKUP(tbl_encuesta[[#This Row],[Considero a Limtek como un buen lugar para trabajar]],#REF!,#REF!)</f>
        <v>#REF!</v>
      </c>
      <c r="Z1236" t="s">
        <v>727</v>
      </c>
      <c r="AA1236" t="s">
        <v>725</v>
      </c>
      <c r="AB1236" t="s">
        <v>28</v>
      </c>
      <c r="AC1236" s="3" t="s">
        <v>3736</v>
      </c>
      <c r="AD1236" s="3" t="s">
        <v>3736</v>
      </c>
      <c r="AE1236" t="s">
        <v>55</v>
      </c>
    </row>
    <row r="1237" spans="1:31" x14ac:dyDescent="0.25">
      <c r="A1237">
        <v>119025830610</v>
      </c>
      <c r="B1237">
        <v>462598545</v>
      </c>
      <c r="C1237" s="1">
        <v>46014.660405092596</v>
      </c>
      <c r="D1237" s="1">
        <v>46014.665636574071</v>
      </c>
      <c r="E1237" t="s">
        <v>3072</v>
      </c>
      <c r="F1237" t="s">
        <v>22</v>
      </c>
      <c r="G1237" t="e">
        <f>+_xlfn.XLOOKUP(tbl_encuesta[[#This Row],[Me siento a gusto con el ambiente de trabajo que se genera en mi equipo.]],#REF!,#REF!)</f>
        <v>#REF!</v>
      </c>
      <c r="H1237" t="s">
        <v>23</v>
      </c>
      <c r="I1237" t="e">
        <f>+_xlfn.XLOOKUP(tbl_encuesta[[#This Row],[Me siento motivado a dar lo mejor de mí y hacer un buen trabajo]],#REF!,#REF!)</f>
        <v>#REF!</v>
      </c>
      <c r="J1237" t="s">
        <v>22</v>
      </c>
      <c r="K1237" t="e">
        <f>+_xlfn.XLOOKUP(tbl_encuesta[[#This Row],[Mi supervisor o jefe directo me otorga el soporte que necesito para afrontar cualquier problema que afecte mi trabajo]],#REF!,#REF!)</f>
        <v>#REF!</v>
      </c>
      <c r="L1237" t="s">
        <v>23</v>
      </c>
      <c r="M1237" t="e">
        <f>+_xlfn.XLOOKUP(tbl_encuesta[[#This Row],[Mi supervisor o jefe directo fomenta que nos apoyemos entre todos en el equipo]],#REF!,#REF!)</f>
        <v>#REF!</v>
      </c>
      <c r="N1237" t="s">
        <v>23</v>
      </c>
      <c r="O1237" t="e">
        <f>+_xlfn.XLOOKUP(tbl_encuesta[[#This Row],[Siento que mi trabajo es reconocido por mi supervisor o jefe directo.]],#REF!,#REF!)</f>
        <v>#REF!</v>
      </c>
      <c r="P1237" t="s">
        <v>24</v>
      </c>
      <c r="Q1237" t="e">
        <f xml:space="preserve">
_xlfn.XLOOKUP(
tbl_encuesta[[#This Row],[Mi supervisor o jefe directo nos brinda charlas de 5 minutos y comunica las novedades relevantes a mi puesto de trabajo]],#REF!,#REF!
)</f>
        <v>#REF!</v>
      </c>
      <c r="T1237" t="s">
        <v>19</v>
      </c>
      <c r="W1237" t="s">
        <v>25</v>
      </c>
      <c r="X1237" t="s">
        <v>23</v>
      </c>
      <c r="Y1237" t="e">
        <f>+_xlfn.XLOOKUP(tbl_encuesta[[#This Row],[Considero a Limtek como un buen lugar para trabajar]],#REF!,#REF!)</f>
        <v>#REF!</v>
      </c>
      <c r="Z1237" t="s">
        <v>3073</v>
      </c>
      <c r="AA1237" t="s">
        <v>3074</v>
      </c>
      <c r="AB1237" t="s">
        <v>28</v>
      </c>
      <c r="AC1237" s="3" t="s">
        <v>3769</v>
      </c>
      <c r="AD1237" s="3" t="s">
        <v>3769</v>
      </c>
      <c r="AE1237" t="s">
        <v>69</v>
      </c>
    </row>
    <row r="1238" spans="1:31" x14ac:dyDescent="0.25">
      <c r="A1238">
        <v>119025830545</v>
      </c>
      <c r="B1238">
        <v>462598545</v>
      </c>
      <c r="C1238" s="1">
        <v>46014.662106481483</v>
      </c>
      <c r="D1238" s="1">
        <v>46014.665486111109</v>
      </c>
      <c r="E1238" t="s">
        <v>2993</v>
      </c>
      <c r="F1238" t="s">
        <v>22</v>
      </c>
      <c r="G1238" t="e">
        <f>+_xlfn.XLOOKUP(tbl_encuesta[[#This Row],[Me siento a gusto con el ambiente de trabajo que se genera en mi equipo.]],#REF!,#REF!)</f>
        <v>#REF!</v>
      </c>
      <c r="H1238" t="s">
        <v>22</v>
      </c>
      <c r="I1238" t="e">
        <f>+_xlfn.XLOOKUP(tbl_encuesta[[#This Row],[Me siento motivado a dar lo mejor de mí y hacer un buen trabajo]],#REF!,#REF!)</f>
        <v>#REF!</v>
      </c>
      <c r="J1238" t="s">
        <v>23</v>
      </c>
      <c r="K1238" t="e">
        <f>+_xlfn.XLOOKUP(tbl_encuesta[[#This Row],[Mi supervisor o jefe directo me otorga el soporte que necesito para afrontar cualquier problema que afecte mi trabajo]],#REF!,#REF!)</f>
        <v>#REF!</v>
      </c>
      <c r="L1238" t="s">
        <v>23</v>
      </c>
      <c r="M1238" t="e">
        <f>+_xlfn.XLOOKUP(tbl_encuesta[[#This Row],[Mi supervisor o jefe directo fomenta que nos apoyemos entre todos en el equipo]],#REF!,#REF!)</f>
        <v>#REF!</v>
      </c>
      <c r="N1238" t="s">
        <v>22</v>
      </c>
      <c r="O1238" t="e">
        <f>+_xlfn.XLOOKUP(tbl_encuesta[[#This Row],[Siento que mi trabajo es reconocido por mi supervisor o jefe directo.]],#REF!,#REF!)</f>
        <v>#REF!</v>
      </c>
      <c r="P1238" t="s">
        <v>67</v>
      </c>
      <c r="Q1238" t="e">
        <f xml:space="preserve">
_xlfn.XLOOKUP(
tbl_encuesta[[#This Row],[Mi supervisor o jefe directo nos brinda charlas de 5 minutos y comunica las novedades relevantes a mi puesto de trabajo]],#REF!,#REF!
)</f>
        <v>#REF!</v>
      </c>
      <c r="S1238" t="s">
        <v>18</v>
      </c>
      <c r="T1238" t="s">
        <v>19</v>
      </c>
      <c r="W1238" t="s">
        <v>25</v>
      </c>
      <c r="X1238" t="s">
        <v>22</v>
      </c>
      <c r="Y1238" t="e">
        <f>+_xlfn.XLOOKUP(tbl_encuesta[[#This Row],[Considero a Limtek como un buen lugar para trabajar]],#REF!,#REF!)</f>
        <v>#REF!</v>
      </c>
      <c r="Z1238" t="s">
        <v>3075</v>
      </c>
      <c r="AA1238" t="s">
        <v>3076</v>
      </c>
      <c r="AB1238" t="s">
        <v>28</v>
      </c>
      <c r="AC1238" s="3" t="s">
        <v>3736</v>
      </c>
      <c r="AD1238" s="3" t="s">
        <v>3740</v>
      </c>
      <c r="AE1238" t="s">
        <v>69</v>
      </c>
    </row>
    <row r="1239" spans="1:31" x14ac:dyDescent="0.25">
      <c r="A1239">
        <v>119025830414</v>
      </c>
      <c r="B1239">
        <v>462598545</v>
      </c>
      <c r="C1239" s="1">
        <v>46014.661400462966</v>
      </c>
      <c r="D1239" s="1">
        <v>46014.665266203701</v>
      </c>
      <c r="E1239" t="s">
        <v>3077</v>
      </c>
      <c r="F1239" t="s">
        <v>23</v>
      </c>
      <c r="G1239" t="e">
        <f>+_xlfn.XLOOKUP(tbl_encuesta[[#This Row],[Me siento a gusto con el ambiente de trabajo que se genera en mi equipo.]],#REF!,#REF!)</f>
        <v>#REF!</v>
      </c>
      <c r="H1239" t="s">
        <v>23</v>
      </c>
      <c r="I1239" t="e">
        <f>+_xlfn.XLOOKUP(tbl_encuesta[[#This Row],[Me siento motivado a dar lo mejor de mí y hacer un buen trabajo]],#REF!,#REF!)</f>
        <v>#REF!</v>
      </c>
      <c r="J1239" t="s">
        <v>22</v>
      </c>
      <c r="K1239" t="e">
        <f>+_xlfn.XLOOKUP(tbl_encuesta[[#This Row],[Mi supervisor o jefe directo me otorga el soporte que necesito para afrontar cualquier problema que afecte mi trabajo]],#REF!,#REF!)</f>
        <v>#REF!</v>
      </c>
      <c r="L1239" t="s">
        <v>23</v>
      </c>
      <c r="M1239" t="e">
        <f>+_xlfn.XLOOKUP(tbl_encuesta[[#This Row],[Mi supervisor o jefe directo fomenta que nos apoyemos entre todos en el equipo]],#REF!,#REF!)</f>
        <v>#REF!</v>
      </c>
      <c r="N1239" t="s">
        <v>97</v>
      </c>
      <c r="O1239" t="e">
        <f>+_xlfn.XLOOKUP(tbl_encuesta[[#This Row],[Siento que mi trabajo es reconocido por mi supervisor o jefe directo.]],#REF!,#REF!)</f>
        <v>#REF!</v>
      </c>
      <c r="P1239" t="s">
        <v>31</v>
      </c>
      <c r="Q1239" t="e">
        <f xml:space="preserve">
_xlfn.XLOOKUP(
tbl_encuesta[[#This Row],[Mi supervisor o jefe directo nos brinda charlas de 5 minutos y comunica las novedades relevantes a mi puesto de trabajo]],#REF!,#REF!
)</f>
        <v>#REF!</v>
      </c>
      <c r="U1239" t="s">
        <v>20</v>
      </c>
      <c r="V1239" t="s">
        <v>638</v>
      </c>
      <c r="W1239" t="s">
        <v>25</v>
      </c>
      <c r="X1239" t="s">
        <v>23</v>
      </c>
      <c r="Y1239" t="e">
        <f>+_xlfn.XLOOKUP(tbl_encuesta[[#This Row],[Considero a Limtek como un buen lugar para trabajar]],#REF!,#REF!)</f>
        <v>#REF!</v>
      </c>
      <c r="Z1239" t="s">
        <v>3078</v>
      </c>
      <c r="AA1239" t="s">
        <v>3079</v>
      </c>
      <c r="AB1239" t="s">
        <v>28</v>
      </c>
      <c r="AC1239" s="3" t="s">
        <v>3716</v>
      </c>
      <c r="AD1239" s="3" t="s">
        <v>3721</v>
      </c>
      <c r="AE1239" t="s">
        <v>29</v>
      </c>
    </row>
    <row r="1240" spans="1:31" x14ac:dyDescent="0.25">
      <c r="A1240">
        <v>119025827443</v>
      </c>
      <c r="B1240">
        <v>462598545</v>
      </c>
      <c r="C1240" s="1">
        <v>46014.654745370368</v>
      </c>
      <c r="D1240" s="1">
        <v>46014.659861111111</v>
      </c>
      <c r="E1240" t="s">
        <v>3080</v>
      </c>
      <c r="F1240" t="s">
        <v>23</v>
      </c>
      <c r="G1240" t="e">
        <f>+_xlfn.XLOOKUP(tbl_encuesta[[#This Row],[Me siento a gusto con el ambiente de trabajo que se genera en mi equipo.]],#REF!,#REF!)</f>
        <v>#REF!</v>
      </c>
      <c r="H1240" t="s">
        <v>23</v>
      </c>
      <c r="I1240" t="e">
        <f>+_xlfn.XLOOKUP(tbl_encuesta[[#This Row],[Me siento motivado a dar lo mejor de mí y hacer un buen trabajo]],#REF!,#REF!)</f>
        <v>#REF!</v>
      </c>
      <c r="J1240" t="s">
        <v>23</v>
      </c>
      <c r="K1240" t="e">
        <f>+_xlfn.XLOOKUP(tbl_encuesta[[#This Row],[Mi supervisor o jefe directo me otorga el soporte que necesito para afrontar cualquier problema que afecte mi trabajo]],#REF!,#REF!)</f>
        <v>#REF!</v>
      </c>
      <c r="L1240" t="s">
        <v>23</v>
      </c>
      <c r="M1240" t="e">
        <f>+_xlfn.XLOOKUP(tbl_encuesta[[#This Row],[Mi supervisor o jefe directo fomenta que nos apoyemos entre todos en el equipo]],#REF!,#REF!)</f>
        <v>#REF!</v>
      </c>
      <c r="N1240" t="s">
        <v>22</v>
      </c>
      <c r="O1240" t="e">
        <f>+_xlfn.XLOOKUP(tbl_encuesta[[#This Row],[Siento que mi trabajo es reconocido por mi supervisor o jefe directo.]],#REF!,#REF!)</f>
        <v>#REF!</v>
      </c>
      <c r="P1240" t="s">
        <v>31</v>
      </c>
      <c r="Q1240" t="e">
        <f xml:space="preserve">
_xlfn.XLOOKUP(
tbl_encuesta[[#This Row],[Mi supervisor o jefe directo nos brinda charlas de 5 minutos y comunica las novedades relevantes a mi puesto de trabajo]],#REF!,#REF!
)</f>
        <v>#REF!</v>
      </c>
      <c r="R1240" t="s">
        <v>17</v>
      </c>
      <c r="T1240" t="s">
        <v>19</v>
      </c>
      <c r="W1240" t="s">
        <v>25</v>
      </c>
      <c r="X1240" t="s">
        <v>22</v>
      </c>
      <c r="Y1240" t="e">
        <f>+_xlfn.XLOOKUP(tbl_encuesta[[#This Row],[Considero a Limtek como un buen lugar para trabajar]],#REF!,#REF!)</f>
        <v>#REF!</v>
      </c>
      <c r="Z1240" t="s">
        <v>841</v>
      </c>
      <c r="AA1240" t="s">
        <v>87</v>
      </c>
      <c r="AB1240" t="s">
        <v>28</v>
      </c>
      <c r="AC1240" s="3" t="s">
        <v>3716</v>
      </c>
      <c r="AD1240" s="3" t="s">
        <v>3727</v>
      </c>
      <c r="AE1240" t="s">
        <v>69</v>
      </c>
    </row>
    <row r="1241" spans="1:31" x14ac:dyDescent="0.25">
      <c r="A1241">
        <v>119025827427</v>
      </c>
      <c r="B1241">
        <v>462598545</v>
      </c>
      <c r="C1241" s="1">
        <v>46014.655717592592</v>
      </c>
      <c r="D1241" s="1">
        <v>46014.659837962965</v>
      </c>
      <c r="E1241" t="s">
        <v>3081</v>
      </c>
      <c r="F1241" t="s">
        <v>23</v>
      </c>
      <c r="G1241" t="e">
        <f>+_xlfn.XLOOKUP(tbl_encuesta[[#This Row],[Me siento a gusto con el ambiente de trabajo que se genera en mi equipo.]],#REF!,#REF!)</f>
        <v>#REF!</v>
      </c>
      <c r="H1241" t="s">
        <v>23</v>
      </c>
      <c r="I1241" t="e">
        <f>+_xlfn.XLOOKUP(tbl_encuesta[[#This Row],[Me siento motivado a dar lo mejor de mí y hacer un buen trabajo]],#REF!,#REF!)</f>
        <v>#REF!</v>
      </c>
      <c r="J1241" t="s">
        <v>23</v>
      </c>
      <c r="K1241" t="e">
        <f>+_xlfn.XLOOKUP(tbl_encuesta[[#This Row],[Mi supervisor o jefe directo me otorga el soporte que necesito para afrontar cualquier problema que afecte mi trabajo]],#REF!,#REF!)</f>
        <v>#REF!</v>
      </c>
      <c r="L1241" t="s">
        <v>23</v>
      </c>
      <c r="M1241" t="e">
        <f>+_xlfn.XLOOKUP(tbl_encuesta[[#This Row],[Mi supervisor o jefe directo fomenta que nos apoyemos entre todos en el equipo]],#REF!,#REF!)</f>
        <v>#REF!</v>
      </c>
      <c r="N1241" t="s">
        <v>23</v>
      </c>
      <c r="O1241" t="e">
        <f>+_xlfn.XLOOKUP(tbl_encuesta[[#This Row],[Siento que mi trabajo es reconocido por mi supervisor o jefe directo.]],#REF!,#REF!)</f>
        <v>#REF!</v>
      </c>
      <c r="P1241" t="s">
        <v>31</v>
      </c>
      <c r="Q1241" t="e">
        <f xml:space="preserve">
_xlfn.XLOOKUP(
tbl_encuesta[[#This Row],[Mi supervisor o jefe directo nos brinda charlas de 5 minutos y comunica las novedades relevantes a mi puesto de trabajo]],#REF!,#REF!
)</f>
        <v>#REF!</v>
      </c>
      <c r="U1241" t="s">
        <v>20</v>
      </c>
      <c r="W1241" t="s">
        <v>25</v>
      </c>
      <c r="X1241" t="s">
        <v>23</v>
      </c>
      <c r="Y1241" t="e">
        <f>+_xlfn.XLOOKUP(tbl_encuesta[[#This Row],[Considero a Limtek como un buen lugar para trabajar]],#REF!,#REF!)</f>
        <v>#REF!</v>
      </c>
      <c r="Z1241" t="s">
        <v>3082</v>
      </c>
      <c r="AA1241" t="s">
        <v>3083</v>
      </c>
      <c r="AB1241" t="s">
        <v>28</v>
      </c>
      <c r="AC1241" t="s">
        <v>3598</v>
      </c>
      <c r="AD1241" s="3" t="s">
        <v>3602</v>
      </c>
      <c r="AE1241" t="s">
        <v>69</v>
      </c>
    </row>
    <row r="1242" spans="1:31" x14ac:dyDescent="0.25">
      <c r="A1242">
        <v>119025824281</v>
      </c>
      <c r="B1242">
        <v>462598545</v>
      </c>
      <c r="C1242" s="1">
        <v>46014.652083333334</v>
      </c>
      <c r="D1242" s="1">
        <v>46014.653958333336</v>
      </c>
      <c r="E1242" t="s">
        <v>3084</v>
      </c>
      <c r="F1242" t="s">
        <v>23</v>
      </c>
      <c r="G1242" t="e">
        <f>+_xlfn.XLOOKUP(tbl_encuesta[[#This Row],[Me siento a gusto con el ambiente de trabajo que se genera en mi equipo.]],#REF!,#REF!)</f>
        <v>#REF!</v>
      </c>
      <c r="H1242" t="s">
        <v>23</v>
      </c>
      <c r="I1242" t="e">
        <f>+_xlfn.XLOOKUP(tbl_encuesta[[#This Row],[Me siento motivado a dar lo mejor de mí y hacer un buen trabajo]],#REF!,#REF!)</f>
        <v>#REF!</v>
      </c>
      <c r="J1242" t="s">
        <v>23</v>
      </c>
      <c r="K1242" t="e">
        <f>+_xlfn.XLOOKUP(tbl_encuesta[[#This Row],[Mi supervisor o jefe directo me otorga el soporte que necesito para afrontar cualquier problema que afecte mi trabajo]],#REF!,#REF!)</f>
        <v>#REF!</v>
      </c>
      <c r="L1242" t="s">
        <v>23</v>
      </c>
      <c r="M1242" t="e">
        <f>+_xlfn.XLOOKUP(tbl_encuesta[[#This Row],[Mi supervisor o jefe directo fomenta que nos apoyemos entre todos en el equipo]],#REF!,#REF!)</f>
        <v>#REF!</v>
      </c>
      <c r="N1242" t="s">
        <v>22</v>
      </c>
      <c r="O1242" t="e">
        <f>+_xlfn.XLOOKUP(tbl_encuesta[[#This Row],[Siento que mi trabajo es reconocido por mi supervisor o jefe directo.]],#REF!,#REF!)</f>
        <v>#REF!</v>
      </c>
      <c r="P1242" t="s">
        <v>31</v>
      </c>
      <c r="Q1242" t="e">
        <f xml:space="preserve">
_xlfn.XLOOKUP(
tbl_encuesta[[#This Row],[Mi supervisor o jefe directo nos brinda charlas de 5 minutos y comunica las novedades relevantes a mi puesto de trabajo]],#REF!,#REF!
)</f>
        <v>#REF!</v>
      </c>
      <c r="T1242" t="s">
        <v>19</v>
      </c>
      <c r="U1242" t="s">
        <v>20</v>
      </c>
      <c r="W1242" t="s">
        <v>25</v>
      </c>
      <c r="X1242" t="s">
        <v>23</v>
      </c>
      <c r="Y1242" t="e">
        <f>+_xlfn.XLOOKUP(tbl_encuesta[[#This Row],[Considero a Limtek como un buen lugar para trabajar]],#REF!,#REF!)</f>
        <v>#REF!</v>
      </c>
      <c r="Z1242" t="s">
        <v>500</v>
      </c>
      <c r="AA1242" t="s">
        <v>114</v>
      </c>
      <c r="AB1242" t="s">
        <v>28</v>
      </c>
      <c r="AC1242" t="s">
        <v>3598</v>
      </c>
      <c r="AD1242" s="3" t="s">
        <v>3602</v>
      </c>
      <c r="AE1242" t="s">
        <v>69</v>
      </c>
    </row>
    <row r="1243" spans="1:31" x14ac:dyDescent="0.25">
      <c r="A1243">
        <v>119025823648</v>
      </c>
      <c r="B1243">
        <v>462598545</v>
      </c>
      <c r="C1243" s="1">
        <v>46014.650277777779</v>
      </c>
      <c r="D1243" s="1">
        <v>46014.652685185189</v>
      </c>
      <c r="E1243" t="s">
        <v>3085</v>
      </c>
      <c r="F1243" t="s">
        <v>23</v>
      </c>
      <c r="G1243" t="e">
        <f>+_xlfn.XLOOKUP(tbl_encuesta[[#This Row],[Me siento a gusto con el ambiente de trabajo que se genera en mi equipo.]],#REF!,#REF!)</f>
        <v>#REF!</v>
      </c>
      <c r="H1243" t="s">
        <v>23</v>
      </c>
      <c r="I1243" t="e">
        <f>+_xlfn.XLOOKUP(tbl_encuesta[[#This Row],[Me siento motivado a dar lo mejor de mí y hacer un buen trabajo]],#REF!,#REF!)</f>
        <v>#REF!</v>
      </c>
      <c r="J1243" t="s">
        <v>23</v>
      </c>
      <c r="K1243" t="e">
        <f>+_xlfn.XLOOKUP(tbl_encuesta[[#This Row],[Mi supervisor o jefe directo me otorga el soporte que necesito para afrontar cualquier problema que afecte mi trabajo]],#REF!,#REF!)</f>
        <v>#REF!</v>
      </c>
      <c r="L1243" t="s">
        <v>23</v>
      </c>
      <c r="M1243" t="e">
        <f>+_xlfn.XLOOKUP(tbl_encuesta[[#This Row],[Mi supervisor o jefe directo fomenta que nos apoyemos entre todos en el equipo]],#REF!,#REF!)</f>
        <v>#REF!</v>
      </c>
      <c r="N1243" t="s">
        <v>23</v>
      </c>
      <c r="O1243" t="e">
        <f>+_xlfn.XLOOKUP(tbl_encuesta[[#This Row],[Siento que mi trabajo es reconocido por mi supervisor o jefe directo.]],#REF!,#REF!)</f>
        <v>#REF!</v>
      </c>
      <c r="P1243" t="s">
        <v>31</v>
      </c>
      <c r="Q1243" t="e">
        <f xml:space="preserve">
_xlfn.XLOOKUP(
tbl_encuesta[[#This Row],[Mi supervisor o jefe directo nos brinda charlas de 5 minutos y comunica las novedades relevantes a mi puesto de trabajo]],#REF!,#REF!
)</f>
        <v>#REF!</v>
      </c>
      <c r="R1243" t="s">
        <v>17</v>
      </c>
      <c r="V1243" t="s">
        <v>3086</v>
      </c>
      <c r="W1243" t="s">
        <v>25</v>
      </c>
      <c r="X1243" t="s">
        <v>23</v>
      </c>
      <c r="Y1243" t="e">
        <f>+_xlfn.XLOOKUP(tbl_encuesta[[#This Row],[Considero a Limtek como un buen lugar para trabajar]],#REF!,#REF!)</f>
        <v>#REF!</v>
      </c>
      <c r="Z1243" t="s">
        <v>1490</v>
      </c>
      <c r="AA1243" t="s">
        <v>3087</v>
      </c>
      <c r="AB1243" t="s">
        <v>38</v>
      </c>
      <c r="AC1243" s="3" t="s">
        <v>3610</v>
      </c>
      <c r="AD1243" s="3" t="s">
        <v>3621</v>
      </c>
      <c r="AE1243" t="s">
        <v>34</v>
      </c>
    </row>
    <row r="1244" spans="1:31" x14ac:dyDescent="0.25">
      <c r="A1244">
        <v>119025823501</v>
      </c>
      <c r="B1244">
        <v>462598545</v>
      </c>
      <c r="C1244" s="1">
        <v>46014.649050925924</v>
      </c>
      <c r="D1244" s="1">
        <v>46014.652407407404</v>
      </c>
      <c r="E1244" t="s">
        <v>3088</v>
      </c>
      <c r="F1244" t="s">
        <v>23</v>
      </c>
      <c r="G1244" t="e">
        <f>+_xlfn.XLOOKUP(tbl_encuesta[[#This Row],[Me siento a gusto con el ambiente de trabajo que se genera en mi equipo.]],#REF!,#REF!)</f>
        <v>#REF!</v>
      </c>
      <c r="H1244" t="s">
        <v>23</v>
      </c>
      <c r="I1244" t="e">
        <f>+_xlfn.XLOOKUP(tbl_encuesta[[#This Row],[Me siento motivado a dar lo mejor de mí y hacer un buen trabajo]],#REF!,#REF!)</f>
        <v>#REF!</v>
      </c>
      <c r="J1244" t="s">
        <v>23</v>
      </c>
      <c r="K1244" t="e">
        <f>+_xlfn.XLOOKUP(tbl_encuesta[[#This Row],[Mi supervisor o jefe directo me otorga el soporte que necesito para afrontar cualquier problema que afecte mi trabajo]],#REF!,#REF!)</f>
        <v>#REF!</v>
      </c>
      <c r="L1244" t="s">
        <v>23</v>
      </c>
      <c r="M1244" t="e">
        <f>+_xlfn.XLOOKUP(tbl_encuesta[[#This Row],[Mi supervisor o jefe directo fomenta que nos apoyemos entre todos en el equipo]],#REF!,#REF!)</f>
        <v>#REF!</v>
      </c>
      <c r="N1244" t="s">
        <v>23</v>
      </c>
      <c r="O1244" t="e">
        <f>+_xlfn.XLOOKUP(tbl_encuesta[[#This Row],[Siento que mi trabajo es reconocido por mi supervisor o jefe directo.]],#REF!,#REF!)</f>
        <v>#REF!</v>
      </c>
      <c r="P1244" t="s">
        <v>31</v>
      </c>
      <c r="Q1244" t="e">
        <f xml:space="preserve">
_xlfn.XLOOKUP(
tbl_encuesta[[#This Row],[Mi supervisor o jefe directo nos brinda charlas de 5 minutos y comunica las novedades relevantes a mi puesto de trabajo]],#REF!,#REF!
)</f>
        <v>#REF!</v>
      </c>
      <c r="R1244" t="s">
        <v>17</v>
      </c>
      <c r="S1244" t="s">
        <v>18</v>
      </c>
      <c r="W1244" t="s">
        <v>25</v>
      </c>
      <c r="X1244" t="s">
        <v>23</v>
      </c>
      <c r="Y1244" t="e">
        <f>+_xlfn.XLOOKUP(tbl_encuesta[[#This Row],[Considero a Limtek como un buen lugar para trabajar]],#REF!,#REF!)</f>
        <v>#REF!</v>
      </c>
      <c r="Z1244" t="s">
        <v>576</v>
      </c>
      <c r="AA1244" t="s">
        <v>3089</v>
      </c>
      <c r="AB1244" t="s">
        <v>28</v>
      </c>
      <c r="AC1244" s="3" t="s">
        <v>3716</v>
      </c>
      <c r="AD1244" s="3" t="s">
        <v>3721</v>
      </c>
      <c r="AE1244" t="s">
        <v>61</v>
      </c>
    </row>
    <row r="1245" spans="1:31" x14ac:dyDescent="0.25">
      <c r="A1245">
        <v>119025820696</v>
      </c>
      <c r="B1245">
        <v>462598545</v>
      </c>
      <c r="C1245" s="1">
        <v>46014.643495370372</v>
      </c>
      <c r="D1245" s="1">
        <v>46014.647256944445</v>
      </c>
      <c r="E1245" t="s">
        <v>3090</v>
      </c>
      <c r="F1245" t="s">
        <v>23</v>
      </c>
      <c r="G1245" t="e">
        <f>+_xlfn.XLOOKUP(tbl_encuesta[[#This Row],[Me siento a gusto con el ambiente de trabajo que se genera en mi equipo.]],#REF!,#REF!)</f>
        <v>#REF!</v>
      </c>
      <c r="H1245" t="s">
        <v>23</v>
      </c>
      <c r="I1245" t="e">
        <f>+_xlfn.XLOOKUP(tbl_encuesta[[#This Row],[Me siento motivado a dar lo mejor de mí y hacer un buen trabajo]],#REF!,#REF!)</f>
        <v>#REF!</v>
      </c>
      <c r="J1245" t="s">
        <v>23</v>
      </c>
      <c r="K1245" t="e">
        <f>+_xlfn.XLOOKUP(tbl_encuesta[[#This Row],[Mi supervisor o jefe directo me otorga el soporte que necesito para afrontar cualquier problema que afecte mi trabajo]],#REF!,#REF!)</f>
        <v>#REF!</v>
      </c>
      <c r="L1245" t="s">
        <v>23</v>
      </c>
      <c r="M1245" t="e">
        <f>+_xlfn.XLOOKUP(tbl_encuesta[[#This Row],[Mi supervisor o jefe directo fomenta que nos apoyemos entre todos en el equipo]],#REF!,#REF!)</f>
        <v>#REF!</v>
      </c>
      <c r="N1245" t="s">
        <v>23</v>
      </c>
      <c r="O1245" t="e">
        <f>+_xlfn.XLOOKUP(tbl_encuesta[[#This Row],[Siento que mi trabajo es reconocido por mi supervisor o jefe directo.]],#REF!,#REF!)</f>
        <v>#REF!</v>
      </c>
      <c r="P1245" t="s">
        <v>31</v>
      </c>
      <c r="Q1245" t="e">
        <f xml:space="preserve">
_xlfn.XLOOKUP(
tbl_encuesta[[#This Row],[Mi supervisor o jefe directo nos brinda charlas de 5 minutos y comunica las novedades relevantes a mi puesto de trabajo]],#REF!,#REF!
)</f>
        <v>#REF!</v>
      </c>
      <c r="R1245" t="s">
        <v>17</v>
      </c>
      <c r="S1245" t="s">
        <v>18</v>
      </c>
      <c r="W1245" t="s">
        <v>25</v>
      </c>
      <c r="X1245" t="s">
        <v>23</v>
      </c>
      <c r="Y1245" t="e">
        <f>+_xlfn.XLOOKUP(tbl_encuesta[[#This Row],[Considero a Limtek como un buen lugar para trabajar]],#REF!,#REF!)</f>
        <v>#REF!</v>
      </c>
      <c r="Z1245" t="s">
        <v>145</v>
      </c>
      <c r="AA1245" t="s">
        <v>3091</v>
      </c>
      <c r="AB1245" t="s">
        <v>28</v>
      </c>
      <c r="AC1245" s="3" t="s">
        <v>3769</v>
      </c>
      <c r="AD1245" s="3" t="s">
        <v>3769</v>
      </c>
      <c r="AE1245" t="s">
        <v>61</v>
      </c>
    </row>
    <row r="1246" spans="1:31" x14ac:dyDescent="0.25">
      <c r="A1246">
        <v>119025819611</v>
      </c>
      <c r="B1246">
        <v>462598545</v>
      </c>
      <c r="C1246" s="1">
        <v>46014.641331018516</v>
      </c>
      <c r="D1246" s="1">
        <v>46014.645243055558</v>
      </c>
      <c r="E1246" t="s">
        <v>3092</v>
      </c>
      <c r="F1246" t="s">
        <v>23</v>
      </c>
      <c r="G1246" t="e">
        <f>+_xlfn.XLOOKUP(tbl_encuesta[[#This Row],[Me siento a gusto con el ambiente de trabajo que se genera en mi equipo.]],#REF!,#REF!)</f>
        <v>#REF!</v>
      </c>
      <c r="H1246" t="s">
        <v>23</v>
      </c>
      <c r="I1246" t="e">
        <f>+_xlfn.XLOOKUP(tbl_encuesta[[#This Row],[Me siento motivado a dar lo mejor de mí y hacer un buen trabajo]],#REF!,#REF!)</f>
        <v>#REF!</v>
      </c>
      <c r="J1246" t="s">
        <v>23</v>
      </c>
      <c r="K1246" t="e">
        <f>+_xlfn.XLOOKUP(tbl_encuesta[[#This Row],[Mi supervisor o jefe directo me otorga el soporte que necesito para afrontar cualquier problema que afecte mi trabajo]],#REF!,#REF!)</f>
        <v>#REF!</v>
      </c>
      <c r="L1246" t="s">
        <v>23</v>
      </c>
      <c r="M1246" t="e">
        <f>+_xlfn.XLOOKUP(tbl_encuesta[[#This Row],[Mi supervisor o jefe directo fomenta que nos apoyemos entre todos en el equipo]],#REF!,#REF!)</f>
        <v>#REF!</v>
      </c>
      <c r="N1246" t="s">
        <v>23</v>
      </c>
      <c r="O1246" t="e">
        <f>+_xlfn.XLOOKUP(tbl_encuesta[[#This Row],[Siento que mi trabajo es reconocido por mi supervisor o jefe directo.]],#REF!,#REF!)</f>
        <v>#REF!</v>
      </c>
      <c r="P1246" t="s">
        <v>31</v>
      </c>
      <c r="Q1246" t="e">
        <f xml:space="preserve">
_xlfn.XLOOKUP(
tbl_encuesta[[#This Row],[Mi supervisor o jefe directo nos brinda charlas de 5 minutos y comunica las novedades relevantes a mi puesto de trabajo]],#REF!,#REF!
)</f>
        <v>#REF!</v>
      </c>
      <c r="R1246" t="s">
        <v>17</v>
      </c>
      <c r="S1246" t="s">
        <v>18</v>
      </c>
      <c r="W1246" t="s">
        <v>25</v>
      </c>
      <c r="X1246" t="s">
        <v>23</v>
      </c>
      <c r="Y1246" t="e">
        <f>+_xlfn.XLOOKUP(tbl_encuesta[[#This Row],[Considero a Limtek como un buen lugar para trabajar]],#REF!,#REF!)</f>
        <v>#REF!</v>
      </c>
      <c r="Z1246" t="s">
        <v>3093</v>
      </c>
      <c r="AA1246" t="s">
        <v>3094</v>
      </c>
      <c r="AB1246" t="s">
        <v>28</v>
      </c>
      <c r="AC1246" s="3" t="s">
        <v>3769</v>
      </c>
      <c r="AD1246" s="3" t="s">
        <v>3772</v>
      </c>
      <c r="AE1246" t="s">
        <v>69</v>
      </c>
    </row>
    <row r="1247" spans="1:31" x14ac:dyDescent="0.25">
      <c r="A1247">
        <v>119025817925</v>
      </c>
      <c r="B1247">
        <v>462598545</v>
      </c>
      <c r="C1247" s="1">
        <v>46014.640393518515</v>
      </c>
      <c r="D1247" s="1">
        <v>46014.64203703704</v>
      </c>
      <c r="E1247" t="s">
        <v>2738</v>
      </c>
      <c r="F1247" t="s">
        <v>23</v>
      </c>
      <c r="G1247" t="e">
        <f>+_xlfn.XLOOKUP(tbl_encuesta[[#This Row],[Me siento a gusto con el ambiente de trabajo que se genera en mi equipo.]],#REF!,#REF!)</f>
        <v>#REF!</v>
      </c>
      <c r="H1247" t="s">
        <v>23</v>
      </c>
      <c r="I1247" t="e">
        <f>+_xlfn.XLOOKUP(tbl_encuesta[[#This Row],[Me siento motivado a dar lo mejor de mí y hacer un buen trabajo]],#REF!,#REF!)</f>
        <v>#REF!</v>
      </c>
      <c r="J1247" t="s">
        <v>23</v>
      </c>
      <c r="K1247" t="e">
        <f>+_xlfn.XLOOKUP(tbl_encuesta[[#This Row],[Mi supervisor o jefe directo me otorga el soporte que necesito para afrontar cualquier problema que afecte mi trabajo]],#REF!,#REF!)</f>
        <v>#REF!</v>
      </c>
      <c r="L1247" t="s">
        <v>23</v>
      </c>
      <c r="M1247" t="e">
        <f>+_xlfn.XLOOKUP(tbl_encuesta[[#This Row],[Mi supervisor o jefe directo fomenta que nos apoyemos entre todos en el equipo]],#REF!,#REF!)</f>
        <v>#REF!</v>
      </c>
      <c r="N1247" t="s">
        <v>23</v>
      </c>
      <c r="O1247" t="e">
        <f>+_xlfn.XLOOKUP(tbl_encuesta[[#This Row],[Siento que mi trabajo es reconocido por mi supervisor o jefe directo.]],#REF!,#REF!)</f>
        <v>#REF!</v>
      </c>
      <c r="P1247" t="s">
        <v>31</v>
      </c>
      <c r="Q1247" t="e">
        <f xml:space="preserve">
_xlfn.XLOOKUP(
tbl_encuesta[[#This Row],[Mi supervisor o jefe directo nos brinda charlas de 5 minutos y comunica las novedades relevantes a mi puesto de trabajo]],#REF!,#REF!
)</f>
        <v>#REF!</v>
      </c>
      <c r="S1247" t="s">
        <v>18</v>
      </c>
      <c r="T1247" t="s">
        <v>19</v>
      </c>
      <c r="W1247" t="s">
        <v>25</v>
      </c>
      <c r="X1247" t="s">
        <v>23</v>
      </c>
      <c r="Y1247" t="e">
        <f>+_xlfn.XLOOKUP(tbl_encuesta[[#This Row],[Considero a Limtek como un buen lugar para trabajar]],#REF!,#REF!)</f>
        <v>#REF!</v>
      </c>
      <c r="Z1247" t="s">
        <v>2137</v>
      </c>
      <c r="AA1247" t="s">
        <v>3095</v>
      </c>
      <c r="AB1247" t="s">
        <v>28</v>
      </c>
      <c r="AC1247" s="3" t="s">
        <v>3769</v>
      </c>
      <c r="AD1247" s="3" t="s">
        <v>3769</v>
      </c>
      <c r="AE1247" t="s">
        <v>61</v>
      </c>
    </row>
    <row r="1248" spans="1:31" x14ac:dyDescent="0.25">
      <c r="A1248">
        <v>119025816476</v>
      </c>
      <c r="B1248">
        <v>462598545</v>
      </c>
      <c r="C1248" s="1">
        <v>46014.636631944442</v>
      </c>
      <c r="D1248" s="1">
        <v>46014.639386574076</v>
      </c>
      <c r="E1248" t="s">
        <v>2738</v>
      </c>
      <c r="F1248" t="s">
        <v>22</v>
      </c>
      <c r="G1248" t="e">
        <f>+_xlfn.XLOOKUP(tbl_encuesta[[#This Row],[Me siento a gusto con el ambiente de trabajo que se genera en mi equipo.]],#REF!,#REF!)</f>
        <v>#REF!</v>
      </c>
      <c r="H1248" t="s">
        <v>23</v>
      </c>
      <c r="I1248" t="e">
        <f>+_xlfn.XLOOKUP(tbl_encuesta[[#This Row],[Me siento motivado a dar lo mejor de mí y hacer un buen trabajo]],#REF!,#REF!)</f>
        <v>#REF!</v>
      </c>
      <c r="J1248" t="s">
        <v>23</v>
      </c>
      <c r="K1248" t="e">
        <f>+_xlfn.XLOOKUP(tbl_encuesta[[#This Row],[Mi supervisor o jefe directo me otorga el soporte que necesito para afrontar cualquier problema que afecte mi trabajo]],#REF!,#REF!)</f>
        <v>#REF!</v>
      </c>
      <c r="L1248" t="s">
        <v>23</v>
      </c>
      <c r="M1248" t="e">
        <f>+_xlfn.XLOOKUP(tbl_encuesta[[#This Row],[Mi supervisor o jefe directo fomenta que nos apoyemos entre todos en el equipo]],#REF!,#REF!)</f>
        <v>#REF!</v>
      </c>
      <c r="N1248" t="s">
        <v>23</v>
      </c>
      <c r="O1248" t="e">
        <f>+_xlfn.XLOOKUP(tbl_encuesta[[#This Row],[Siento que mi trabajo es reconocido por mi supervisor o jefe directo.]],#REF!,#REF!)</f>
        <v>#REF!</v>
      </c>
      <c r="P1248" t="s">
        <v>31</v>
      </c>
      <c r="Q1248" t="e">
        <f xml:space="preserve">
_xlfn.XLOOKUP(
tbl_encuesta[[#This Row],[Mi supervisor o jefe directo nos brinda charlas de 5 minutos y comunica las novedades relevantes a mi puesto de trabajo]],#REF!,#REF!
)</f>
        <v>#REF!</v>
      </c>
      <c r="S1248" t="s">
        <v>18</v>
      </c>
      <c r="T1248" t="s">
        <v>19</v>
      </c>
      <c r="W1248" t="s">
        <v>25</v>
      </c>
      <c r="X1248" t="s">
        <v>23</v>
      </c>
      <c r="Y1248" t="e">
        <f>+_xlfn.XLOOKUP(tbl_encuesta[[#This Row],[Considero a Limtek como un buen lugar para trabajar]],#REF!,#REF!)</f>
        <v>#REF!</v>
      </c>
      <c r="Z1248" t="s">
        <v>3096</v>
      </c>
      <c r="AA1248" t="s">
        <v>3095</v>
      </c>
      <c r="AB1248" t="s">
        <v>28</v>
      </c>
      <c r="AC1248" s="3" t="s">
        <v>3769</v>
      </c>
      <c r="AD1248" s="3" t="s">
        <v>3769</v>
      </c>
      <c r="AE1248" t="s">
        <v>61</v>
      </c>
    </row>
    <row r="1249" spans="1:31" x14ac:dyDescent="0.25">
      <c r="A1249">
        <v>119025814419</v>
      </c>
      <c r="B1249">
        <v>462598545</v>
      </c>
      <c r="C1249" s="1">
        <v>46014.634421296294</v>
      </c>
      <c r="D1249" s="1">
        <v>46014.635613425926</v>
      </c>
      <c r="E1249" t="s">
        <v>3097</v>
      </c>
      <c r="F1249" t="s">
        <v>23</v>
      </c>
      <c r="G1249" t="e">
        <f>+_xlfn.XLOOKUP(tbl_encuesta[[#This Row],[Me siento a gusto con el ambiente de trabajo que se genera en mi equipo.]],#REF!,#REF!)</f>
        <v>#REF!</v>
      </c>
      <c r="H1249" t="s">
        <v>23</v>
      </c>
      <c r="I1249" t="e">
        <f>+_xlfn.XLOOKUP(tbl_encuesta[[#This Row],[Me siento motivado a dar lo mejor de mí y hacer un buen trabajo]],#REF!,#REF!)</f>
        <v>#REF!</v>
      </c>
      <c r="J1249" t="s">
        <v>23</v>
      </c>
      <c r="K1249" t="e">
        <f>+_xlfn.XLOOKUP(tbl_encuesta[[#This Row],[Mi supervisor o jefe directo me otorga el soporte que necesito para afrontar cualquier problema que afecte mi trabajo]],#REF!,#REF!)</f>
        <v>#REF!</v>
      </c>
      <c r="L1249" t="s">
        <v>23</v>
      </c>
      <c r="M1249" t="e">
        <f>+_xlfn.XLOOKUP(tbl_encuesta[[#This Row],[Mi supervisor o jefe directo fomenta que nos apoyemos entre todos en el equipo]],#REF!,#REF!)</f>
        <v>#REF!</v>
      </c>
      <c r="N1249" t="s">
        <v>23</v>
      </c>
      <c r="O1249" t="e">
        <f>+_xlfn.XLOOKUP(tbl_encuesta[[#This Row],[Siento que mi trabajo es reconocido por mi supervisor o jefe directo.]],#REF!,#REF!)</f>
        <v>#REF!</v>
      </c>
      <c r="P1249" t="s">
        <v>31</v>
      </c>
      <c r="Q1249" t="e">
        <f xml:space="preserve">
_xlfn.XLOOKUP(
tbl_encuesta[[#This Row],[Mi supervisor o jefe directo nos brinda charlas de 5 minutos y comunica las novedades relevantes a mi puesto de trabajo]],#REF!,#REF!
)</f>
        <v>#REF!</v>
      </c>
      <c r="R1249" t="s">
        <v>17</v>
      </c>
      <c r="S1249" t="s">
        <v>18</v>
      </c>
      <c r="W1249" t="s">
        <v>25</v>
      </c>
      <c r="X1249" t="s">
        <v>23</v>
      </c>
      <c r="Y1249" t="e">
        <f>+_xlfn.XLOOKUP(tbl_encuesta[[#This Row],[Considero a Limtek como un buen lugar para trabajar]],#REF!,#REF!)</f>
        <v>#REF!</v>
      </c>
      <c r="Z1249" t="s">
        <v>3098</v>
      </c>
      <c r="AA1249" t="s">
        <v>3099</v>
      </c>
      <c r="AB1249" t="s">
        <v>28</v>
      </c>
      <c r="AC1249" s="3" t="s">
        <v>3769</v>
      </c>
      <c r="AD1249" s="3" t="s">
        <v>3795</v>
      </c>
      <c r="AE1249" t="s">
        <v>61</v>
      </c>
    </row>
    <row r="1250" spans="1:31" x14ac:dyDescent="0.25">
      <c r="A1250">
        <v>119025813248</v>
      </c>
      <c r="B1250">
        <v>462598545</v>
      </c>
      <c r="C1250" s="1">
        <v>46014.632233796299</v>
      </c>
      <c r="D1250" s="1">
        <v>46014.633483796293</v>
      </c>
      <c r="E1250" t="s">
        <v>2738</v>
      </c>
      <c r="F1250" t="s">
        <v>23</v>
      </c>
      <c r="G1250" t="e">
        <f>+_xlfn.XLOOKUP(tbl_encuesta[[#This Row],[Me siento a gusto con el ambiente de trabajo que se genera en mi equipo.]],#REF!,#REF!)</f>
        <v>#REF!</v>
      </c>
      <c r="H1250" t="s">
        <v>23</v>
      </c>
      <c r="I1250" t="e">
        <f>+_xlfn.XLOOKUP(tbl_encuesta[[#This Row],[Me siento motivado a dar lo mejor de mí y hacer un buen trabajo]],#REF!,#REF!)</f>
        <v>#REF!</v>
      </c>
      <c r="J1250" t="s">
        <v>23</v>
      </c>
      <c r="K1250" t="e">
        <f>+_xlfn.XLOOKUP(tbl_encuesta[[#This Row],[Mi supervisor o jefe directo me otorga el soporte que necesito para afrontar cualquier problema que afecte mi trabajo]],#REF!,#REF!)</f>
        <v>#REF!</v>
      </c>
      <c r="L1250" t="s">
        <v>23</v>
      </c>
      <c r="M1250" t="e">
        <f>+_xlfn.XLOOKUP(tbl_encuesta[[#This Row],[Mi supervisor o jefe directo fomenta que nos apoyemos entre todos en el equipo]],#REF!,#REF!)</f>
        <v>#REF!</v>
      </c>
      <c r="N1250" t="s">
        <v>23</v>
      </c>
      <c r="O1250" t="e">
        <f>+_xlfn.XLOOKUP(tbl_encuesta[[#This Row],[Siento que mi trabajo es reconocido por mi supervisor o jefe directo.]],#REF!,#REF!)</f>
        <v>#REF!</v>
      </c>
      <c r="P1250" t="s">
        <v>31</v>
      </c>
      <c r="Q1250" t="e">
        <f xml:space="preserve">
_xlfn.XLOOKUP(
tbl_encuesta[[#This Row],[Mi supervisor o jefe directo nos brinda charlas de 5 minutos y comunica las novedades relevantes a mi puesto de trabajo]],#REF!,#REF!
)</f>
        <v>#REF!</v>
      </c>
      <c r="R1250" t="s">
        <v>17</v>
      </c>
      <c r="S1250" t="s">
        <v>18</v>
      </c>
      <c r="W1250" t="s">
        <v>25</v>
      </c>
      <c r="X1250" t="s">
        <v>23</v>
      </c>
      <c r="Y1250" t="e">
        <f>+_xlfn.XLOOKUP(tbl_encuesta[[#This Row],[Considero a Limtek como un buen lugar para trabajar]],#REF!,#REF!)</f>
        <v>#REF!</v>
      </c>
      <c r="Z1250" t="s">
        <v>3100</v>
      </c>
      <c r="AA1250" t="s">
        <v>3101</v>
      </c>
      <c r="AB1250" t="s">
        <v>28</v>
      </c>
      <c r="AC1250" s="3" t="s">
        <v>3769</v>
      </c>
      <c r="AD1250" s="3" t="s">
        <v>3795</v>
      </c>
      <c r="AE1250" t="s">
        <v>61</v>
      </c>
    </row>
    <row r="1251" spans="1:31" x14ac:dyDescent="0.25">
      <c r="A1251">
        <v>119025811921</v>
      </c>
      <c r="B1251">
        <v>462598545</v>
      </c>
      <c r="C1251" s="1">
        <v>46014.629548611112</v>
      </c>
      <c r="D1251" s="1">
        <v>46014.631215277775</v>
      </c>
      <c r="E1251" t="s">
        <v>3097</v>
      </c>
      <c r="F1251" t="s">
        <v>23</v>
      </c>
      <c r="G1251" t="e">
        <f>+_xlfn.XLOOKUP(tbl_encuesta[[#This Row],[Me siento a gusto con el ambiente de trabajo que se genera en mi equipo.]],#REF!,#REF!)</f>
        <v>#REF!</v>
      </c>
      <c r="H1251" t="s">
        <v>23</v>
      </c>
      <c r="I1251" t="e">
        <f>+_xlfn.XLOOKUP(tbl_encuesta[[#This Row],[Me siento motivado a dar lo mejor de mí y hacer un buen trabajo]],#REF!,#REF!)</f>
        <v>#REF!</v>
      </c>
      <c r="J1251" t="s">
        <v>23</v>
      </c>
      <c r="K1251" t="e">
        <f>+_xlfn.XLOOKUP(tbl_encuesta[[#This Row],[Mi supervisor o jefe directo me otorga el soporte que necesito para afrontar cualquier problema que afecte mi trabajo]],#REF!,#REF!)</f>
        <v>#REF!</v>
      </c>
      <c r="L1251" t="s">
        <v>23</v>
      </c>
      <c r="M1251" t="e">
        <f>+_xlfn.XLOOKUP(tbl_encuesta[[#This Row],[Mi supervisor o jefe directo fomenta que nos apoyemos entre todos en el equipo]],#REF!,#REF!)</f>
        <v>#REF!</v>
      </c>
      <c r="N1251" t="s">
        <v>23</v>
      </c>
      <c r="O1251" t="e">
        <f>+_xlfn.XLOOKUP(tbl_encuesta[[#This Row],[Siento que mi trabajo es reconocido por mi supervisor o jefe directo.]],#REF!,#REF!)</f>
        <v>#REF!</v>
      </c>
      <c r="P1251" t="s">
        <v>31</v>
      </c>
      <c r="Q1251" t="e">
        <f xml:space="preserve">
_xlfn.XLOOKUP(
tbl_encuesta[[#This Row],[Mi supervisor o jefe directo nos brinda charlas de 5 minutos y comunica las novedades relevantes a mi puesto de trabajo]],#REF!,#REF!
)</f>
        <v>#REF!</v>
      </c>
      <c r="R1251" t="s">
        <v>17</v>
      </c>
      <c r="S1251" t="s">
        <v>18</v>
      </c>
      <c r="W1251" t="s">
        <v>25</v>
      </c>
      <c r="X1251" t="s">
        <v>23</v>
      </c>
      <c r="Y1251" t="e">
        <f>+_xlfn.XLOOKUP(tbl_encuesta[[#This Row],[Considero a Limtek como un buen lugar para trabajar]],#REF!,#REF!)</f>
        <v>#REF!</v>
      </c>
      <c r="Z1251" t="s">
        <v>3102</v>
      </c>
      <c r="AA1251" t="s">
        <v>2740</v>
      </c>
      <c r="AB1251" t="s">
        <v>28</v>
      </c>
      <c r="AC1251" s="3" t="s">
        <v>3769</v>
      </c>
      <c r="AD1251" s="3" t="s">
        <v>3795</v>
      </c>
      <c r="AE1251" t="s">
        <v>61</v>
      </c>
    </row>
    <row r="1252" spans="1:31" x14ac:dyDescent="0.25">
      <c r="A1252">
        <v>119025811799</v>
      </c>
      <c r="B1252">
        <v>462598545</v>
      </c>
      <c r="C1252" s="1">
        <v>46014.625706018516</v>
      </c>
      <c r="D1252" s="1">
        <v>46014.630972222221</v>
      </c>
      <c r="E1252" t="s">
        <v>3103</v>
      </c>
      <c r="F1252" t="s">
        <v>22</v>
      </c>
      <c r="G1252" t="e">
        <f>+_xlfn.XLOOKUP(tbl_encuesta[[#This Row],[Me siento a gusto con el ambiente de trabajo que se genera en mi equipo.]],#REF!,#REF!)</f>
        <v>#REF!</v>
      </c>
      <c r="H1252" t="s">
        <v>23</v>
      </c>
      <c r="I1252" t="e">
        <f>+_xlfn.XLOOKUP(tbl_encuesta[[#This Row],[Me siento motivado a dar lo mejor de mí y hacer un buen trabajo]],#REF!,#REF!)</f>
        <v>#REF!</v>
      </c>
      <c r="J1252" t="s">
        <v>22</v>
      </c>
      <c r="K1252" t="e">
        <f>+_xlfn.XLOOKUP(tbl_encuesta[[#This Row],[Mi supervisor o jefe directo me otorga el soporte que necesito para afrontar cualquier problema que afecte mi trabajo]],#REF!,#REF!)</f>
        <v>#REF!</v>
      </c>
      <c r="L1252" t="s">
        <v>23</v>
      </c>
      <c r="M1252" t="e">
        <f>+_xlfn.XLOOKUP(tbl_encuesta[[#This Row],[Mi supervisor o jefe directo fomenta que nos apoyemos entre todos en el equipo]],#REF!,#REF!)</f>
        <v>#REF!</v>
      </c>
      <c r="N1252" t="s">
        <v>22</v>
      </c>
      <c r="O1252" t="e">
        <f>+_xlfn.XLOOKUP(tbl_encuesta[[#This Row],[Siento que mi trabajo es reconocido por mi supervisor o jefe directo.]],#REF!,#REF!)</f>
        <v>#REF!</v>
      </c>
      <c r="P1252" t="s">
        <v>67</v>
      </c>
      <c r="Q1252" t="e">
        <f xml:space="preserve">
_xlfn.XLOOKUP(
tbl_encuesta[[#This Row],[Mi supervisor o jefe directo nos brinda charlas de 5 minutos y comunica las novedades relevantes a mi puesto de trabajo]],#REF!,#REF!
)</f>
        <v>#REF!</v>
      </c>
      <c r="R1252" t="s">
        <v>17</v>
      </c>
      <c r="S1252" t="s">
        <v>18</v>
      </c>
      <c r="W1252" t="s">
        <v>25</v>
      </c>
      <c r="X1252" t="s">
        <v>22</v>
      </c>
      <c r="Y1252" t="e">
        <f>+_xlfn.XLOOKUP(tbl_encuesta[[#This Row],[Considero a Limtek como un buen lugar para trabajar]],#REF!,#REF!)</f>
        <v>#REF!</v>
      </c>
      <c r="Z1252" t="s">
        <v>3104</v>
      </c>
      <c r="AA1252" t="s">
        <v>3105</v>
      </c>
      <c r="AB1252" t="s">
        <v>65</v>
      </c>
      <c r="AC1252" s="3" t="s">
        <v>3610</v>
      </c>
      <c r="AD1252" s="3" t="s">
        <v>3690</v>
      </c>
      <c r="AE1252" t="s">
        <v>29</v>
      </c>
    </row>
    <row r="1253" spans="1:31" x14ac:dyDescent="0.25">
      <c r="A1253">
        <v>119025809777</v>
      </c>
      <c r="B1253">
        <v>462598545</v>
      </c>
      <c r="C1253" s="1">
        <v>46014.623159722221</v>
      </c>
      <c r="D1253" s="1">
        <v>46014.627523148149</v>
      </c>
      <c r="E1253" t="s">
        <v>2738</v>
      </c>
      <c r="F1253" t="s">
        <v>23</v>
      </c>
      <c r="G1253" t="e">
        <f>+_xlfn.XLOOKUP(tbl_encuesta[[#This Row],[Me siento a gusto con el ambiente de trabajo que se genera en mi equipo.]],#REF!,#REF!)</f>
        <v>#REF!</v>
      </c>
      <c r="H1253" t="s">
        <v>23</v>
      </c>
      <c r="I1253" t="e">
        <f>+_xlfn.XLOOKUP(tbl_encuesta[[#This Row],[Me siento motivado a dar lo mejor de mí y hacer un buen trabajo]],#REF!,#REF!)</f>
        <v>#REF!</v>
      </c>
      <c r="J1253" t="s">
        <v>23</v>
      </c>
      <c r="K1253" t="e">
        <f>+_xlfn.XLOOKUP(tbl_encuesta[[#This Row],[Mi supervisor o jefe directo me otorga el soporte que necesito para afrontar cualquier problema que afecte mi trabajo]],#REF!,#REF!)</f>
        <v>#REF!</v>
      </c>
      <c r="L1253" t="s">
        <v>23</v>
      </c>
      <c r="M1253" t="e">
        <f>+_xlfn.XLOOKUP(tbl_encuesta[[#This Row],[Mi supervisor o jefe directo fomenta que nos apoyemos entre todos en el equipo]],#REF!,#REF!)</f>
        <v>#REF!</v>
      </c>
      <c r="N1253" t="s">
        <v>23</v>
      </c>
      <c r="O1253" t="e">
        <f>+_xlfn.XLOOKUP(tbl_encuesta[[#This Row],[Siento que mi trabajo es reconocido por mi supervisor o jefe directo.]],#REF!,#REF!)</f>
        <v>#REF!</v>
      </c>
      <c r="P1253" t="s">
        <v>31</v>
      </c>
      <c r="Q1253" t="e">
        <f xml:space="preserve">
_xlfn.XLOOKUP(
tbl_encuesta[[#This Row],[Mi supervisor o jefe directo nos brinda charlas de 5 minutos y comunica las novedades relevantes a mi puesto de trabajo]],#REF!,#REF!
)</f>
        <v>#REF!</v>
      </c>
      <c r="R1253" t="s">
        <v>17</v>
      </c>
      <c r="S1253" t="s">
        <v>18</v>
      </c>
      <c r="W1253" t="s">
        <v>25</v>
      </c>
      <c r="X1253" t="s">
        <v>23</v>
      </c>
      <c r="Y1253" t="e">
        <f>+_xlfn.XLOOKUP(tbl_encuesta[[#This Row],[Considero a Limtek como un buen lugar para trabajar]],#REF!,#REF!)</f>
        <v>#REF!</v>
      </c>
      <c r="Z1253" t="s">
        <v>3106</v>
      </c>
      <c r="AA1253" t="s">
        <v>2740</v>
      </c>
      <c r="AB1253" t="s">
        <v>28</v>
      </c>
      <c r="AC1253" s="3" t="s">
        <v>3769</v>
      </c>
      <c r="AD1253" s="3" t="s">
        <v>3795</v>
      </c>
      <c r="AE1253" t="s">
        <v>61</v>
      </c>
    </row>
    <row r="1254" spans="1:31" x14ac:dyDescent="0.25">
      <c r="A1254">
        <v>119025809325</v>
      </c>
      <c r="B1254">
        <v>462598545</v>
      </c>
      <c r="C1254" s="1">
        <v>46014.624537037038</v>
      </c>
      <c r="D1254" s="1">
        <v>46014.626828703702</v>
      </c>
      <c r="E1254" t="s">
        <v>3107</v>
      </c>
      <c r="F1254" t="s">
        <v>23</v>
      </c>
      <c r="G1254" t="e">
        <f>+_xlfn.XLOOKUP(tbl_encuesta[[#This Row],[Me siento a gusto con el ambiente de trabajo que se genera en mi equipo.]],#REF!,#REF!)</f>
        <v>#REF!</v>
      </c>
      <c r="H1254" t="s">
        <v>23</v>
      </c>
      <c r="I1254" t="e">
        <f>+_xlfn.XLOOKUP(tbl_encuesta[[#This Row],[Me siento motivado a dar lo mejor de mí y hacer un buen trabajo]],#REF!,#REF!)</f>
        <v>#REF!</v>
      </c>
      <c r="J1254" t="s">
        <v>22</v>
      </c>
      <c r="K1254" t="e">
        <f>+_xlfn.XLOOKUP(tbl_encuesta[[#This Row],[Mi supervisor o jefe directo me otorga el soporte que necesito para afrontar cualquier problema que afecte mi trabajo]],#REF!,#REF!)</f>
        <v>#REF!</v>
      </c>
      <c r="L1254" t="s">
        <v>23</v>
      </c>
      <c r="M1254" t="e">
        <f>+_xlfn.XLOOKUP(tbl_encuesta[[#This Row],[Mi supervisor o jefe directo fomenta que nos apoyemos entre todos en el equipo]],#REF!,#REF!)</f>
        <v>#REF!</v>
      </c>
      <c r="N1254" t="s">
        <v>22</v>
      </c>
      <c r="O1254" t="e">
        <f>+_xlfn.XLOOKUP(tbl_encuesta[[#This Row],[Siento que mi trabajo es reconocido por mi supervisor o jefe directo.]],#REF!,#REF!)</f>
        <v>#REF!</v>
      </c>
      <c r="P1254" t="s">
        <v>175</v>
      </c>
      <c r="Q1254" t="e">
        <f xml:space="preserve">
_xlfn.XLOOKUP(
tbl_encuesta[[#This Row],[Mi supervisor o jefe directo nos brinda charlas de 5 minutos y comunica las novedades relevantes a mi puesto de trabajo]],#REF!,#REF!
)</f>
        <v>#REF!</v>
      </c>
      <c r="U1254" t="s">
        <v>20</v>
      </c>
      <c r="W1254" t="s">
        <v>25</v>
      </c>
      <c r="X1254" t="s">
        <v>23</v>
      </c>
      <c r="Y1254" t="e">
        <f>+_xlfn.XLOOKUP(tbl_encuesta[[#This Row],[Considero a Limtek como un buen lugar para trabajar]],#REF!,#REF!)</f>
        <v>#REF!</v>
      </c>
      <c r="Z1254" t="s">
        <v>599</v>
      </c>
      <c r="AA1254" t="s">
        <v>3108</v>
      </c>
      <c r="AB1254" t="s">
        <v>28</v>
      </c>
      <c r="AC1254" t="s">
        <v>3744</v>
      </c>
      <c r="AD1254" t="s">
        <v>3744</v>
      </c>
      <c r="AE1254" t="s">
        <v>69</v>
      </c>
    </row>
    <row r="1255" spans="1:31" x14ac:dyDescent="0.25">
      <c r="A1255">
        <v>119025806690</v>
      </c>
      <c r="B1255">
        <v>462598545</v>
      </c>
      <c r="C1255" s="1">
        <v>46014.617002314815</v>
      </c>
      <c r="D1255" s="1">
        <v>46014.622685185182</v>
      </c>
      <c r="E1255" t="s">
        <v>3109</v>
      </c>
      <c r="F1255" t="s">
        <v>23</v>
      </c>
      <c r="G1255" t="e">
        <f>+_xlfn.XLOOKUP(tbl_encuesta[[#This Row],[Me siento a gusto con el ambiente de trabajo que se genera en mi equipo.]],#REF!,#REF!)</f>
        <v>#REF!</v>
      </c>
      <c r="H1255" t="s">
        <v>23</v>
      </c>
      <c r="I1255" t="e">
        <f>+_xlfn.XLOOKUP(tbl_encuesta[[#This Row],[Me siento motivado a dar lo mejor de mí y hacer un buen trabajo]],#REF!,#REF!)</f>
        <v>#REF!</v>
      </c>
      <c r="J1255" t="s">
        <v>22</v>
      </c>
      <c r="K1255" t="e">
        <f>+_xlfn.XLOOKUP(tbl_encuesta[[#This Row],[Mi supervisor o jefe directo me otorga el soporte que necesito para afrontar cualquier problema que afecte mi trabajo]],#REF!,#REF!)</f>
        <v>#REF!</v>
      </c>
      <c r="L1255" t="s">
        <v>22</v>
      </c>
      <c r="M1255" t="e">
        <f>+_xlfn.XLOOKUP(tbl_encuesta[[#This Row],[Mi supervisor o jefe directo fomenta que nos apoyemos entre todos en el equipo]],#REF!,#REF!)</f>
        <v>#REF!</v>
      </c>
      <c r="N1255" t="s">
        <v>22</v>
      </c>
      <c r="O1255" t="e">
        <f>+_xlfn.XLOOKUP(tbl_encuesta[[#This Row],[Siento que mi trabajo es reconocido por mi supervisor o jefe directo.]],#REF!,#REF!)</f>
        <v>#REF!</v>
      </c>
      <c r="P1255" t="s">
        <v>67</v>
      </c>
      <c r="Q1255" t="e">
        <f xml:space="preserve">
_xlfn.XLOOKUP(
tbl_encuesta[[#This Row],[Mi supervisor o jefe directo nos brinda charlas de 5 minutos y comunica las novedades relevantes a mi puesto de trabajo]],#REF!,#REF!
)</f>
        <v>#REF!</v>
      </c>
      <c r="S1255" t="s">
        <v>18</v>
      </c>
      <c r="W1255" t="s">
        <v>25</v>
      </c>
      <c r="X1255" t="s">
        <v>22</v>
      </c>
      <c r="Y1255" t="e">
        <f>+_xlfn.XLOOKUP(tbl_encuesta[[#This Row],[Considero a Limtek como un buen lugar para trabajar]],#REF!,#REF!)</f>
        <v>#REF!</v>
      </c>
      <c r="Z1255" t="s">
        <v>3110</v>
      </c>
      <c r="AA1255" t="s">
        <v>3111</v>
      </c>
      <c r="AB1255" t="s">
        <v>28</v>
      </c>
      <c r="AC1255" s="3" t="s">
        <v>3716</v>
      </c>
      <c r="AD1255" t="s">
        <v>1897</v>
      </c>
      <c r="AE1255" t="s">
        <v>29</v>
      </c>
    </row>
    <row r="1256" spans="1:31" x14ac:dyDescent="0.25">
      <c r="A1256">
        <v>119025806499</v>
      </c>
      <c r="B1256">
        <v>462598545</v>
      </c>
      <c r="C1256" s="1">
        <v>46014.617037037038</v>
      </c>
      <c r="D1256" s="1">
        <v>46014.622395833336</v>
      </c>
      <c r="E1256" t="s">
        <v>1874</v>
      </c>
      <c r="F1256" t="s">
        <v>23</v>
      </c>
      <c r="G1256" t="e">
        <f>+_xlfn.XLOOKUP(tbl_encuesta[[#This Row],[Me siento a gusto con el ambiente de trabajo que se genera en mi equipo.]],#REF!,#REF!)</f>
        <v>#REF!</v>
      </c>
      <c r="H1256" t="s">
        <v>23</v>
      </c>
      <c r="I1256" t="e">
        <f>+_xlfn.XLOOKUP(tbl_encuesta[[#This Row],[Me siento motivado a dar lo mejor de mí y hacer un buen trabajo]],#REF!,#REF!)</f>
        <v>#REF!</v>
      </c>
      <c r="J1256" t="s">
        <v>22</v>
      </c>
      <c r="K1256" t="e">
        <f>+_xlfn.XLOOKUP(tbl_encuesta[[#This Row],[Mi supervisor o jefe directo me otorga el soporte que necesito para afrontar cualquier problema que afecte mi trabajo]],#REF!,#REF!)</f>
        <v>#REF!</v>
      </c>
      <c r="L1256" t="s">
        <v>23</v>
      </c>
      <c r="M1256" t="e">
        <f>+_xlfn.XLOOKUP(tbl_encuesta[[#This Row],[Mi supervisor o jefe directo fomenta que nos apoyemos entre todos en el equipo]],#REF!,#REF!)</f>
        <v>#REF!</v>
      </c>
      <c r="N1256" t="s">
        <v>22</v>
      </c>
      <c r="O1256" t="e">
        <f>+_xlfn.XLOOKUP(tbl_encuesta[[#This Row],[Siento que mi trabajo es reconocido por mi supervisor o jefe directo.]],#REF!,#REF!)</f>
        <v>#REF!</v>
      </c>
      <c r="P1256" t="s">
        <v>67</v>
      </c>
      <c r="Q1256" t="e">
        <f xml:space="preserve">
_xlfn.XLOOKUP(
tbl_encuesta[[#This Row],[Mi supervisor o jefe directo nos brinda charlas de 5 minutos y comunica las novedades relevantes a mi puesto de trabajo]],#REF!,#REF!
)</f>
        <v>#REF!</v>
      </c>
      <c r="R1256" t="s">
        <v>17</v>
      </c>
      <c r="W1256" t="s">
        <v>25</v>
      </c>
      <c r="X1256" t="s">
        <v>23</v>
      </c>
      <c r="Y1256" t="e">
        <f>+_xlfn.XLOOKUP(tbl_encuesta[[#This Row],[Considero a Limtek como un buen lugar para trabajar]],#REF!,#REF!)</f>
        <v>#REF!</v>
      </c>
      <c r="Z1256" t="s">
        <v>3112</v>
      </c>
      <c r="AA1256" t="s">
        <v>1622</v>
      </c>
      <c r="AB1256" t="s">
        <v>28</v>
      </c>
      <c r="AC1256" s="3" t="s">
        <v>3716</v>
      </c>
      <c r="AD1256" s="3" t="s">
        <v>3726</v>
      </c>
      <c r="AE1256" t="s">
        <v>69</v>
      </c>
    </row>
    <row r="1257" spans="1:31" x14ac:dyDescent="0.25">
      <c r="A1257">
        <v>119025805486</v>
      </c>
      <c r="B1257">
        <v>462598545</v>
      </c>
      <c r="C1257" s="1">
        <v>46014.616018518522</v>
      </c>
      <c r="D1257" s="1">
        <v>46014.620671296296</v>
      </c>
      <c r="E1257" t="s">
        <v>3113</v>
      </c>
      <c r="F1257" t="s">
        <v>22</v>
      </c>
      <c r="G1257" t="e">
        <f>+_xlfn.XLOOKUP(tbl_encuesta[[#This Row],[Me siento a gusto con el ambiente de trabajo que se genera en mi equipo.]],#REF!,#REF!)</f>
        <v>#REF!</v>
      </c>
      <c r="H1257" t="s">
        <v>22</v>
      </c>
      <c r="I1257" t="e">
        <f>+_xlfn.XLOOKUP(tbl_encuesta[[#This Row],[Me siento motivado a dar lo mejor de mí y hacer un buen trabajo]],#REF!,#REF!)</f>
        <v>#REF!</v>
      </c>
      <c r="J1257" t="s">
        <v>22</v>
      </c>
      <c r="K1257" t="e">
        <f>+_xlfn.XLOOKUP(tbl_encuesta[[#This Row],[Mi supervisor o jefe directo me otorga el soporte que necesito para afrontar cualquier problema que afecte mi trabajo]],#REF!,#REF!)</f>
        <v>#REF!</v>
      </c>
      <c r="L1257" t="s">
        <v>22</v>
      </c>
      <c r="M1257" t="e">
        <f>+_xlfn.XLOOKUP(tbl_encuesta[[#This Row],[Mi supervisor o jefe directo fomenta que nos apoyemos entre todos en el equipo]],#REF!,#REF!)</f>
        <v>#REF!</v>
      </c>
      <c r="N1257" t="s">
        <v>22</v>
      </c>
      <c r="O1257" t="e">
        <f>+_xlfn.XLOOKUP(tbl_encuesta[[#This Row],[Siento que mi trabajo es reconocido por mi supervisor o jefe directo.]],#REF!,#REF!)</f>
        <v>#REF!</v>
      </c>
      <c r="P1257" t="s">
        <v>31</v>
      </c>
      <c r="Q1257" t="e">
        <f xml:space="preserve">
_xlfn.XLOOKUP(
tbl_encuesta[[#This Row],[Mi supervisor o jefe directo nos brinda charlas de 5 minutos y comunica las novedades relevantes a mi puesto de trabajo]],#REF!,#REF!
)</f>
        <v>#REF!</v>
      </c>
      <c r="R1257" t="s">
        <v>17</v>
      </c>
      <c r="U1257" t="s">
        <v>20</v>
      </c>
      <c r="W1257" t="s">
        <v>25</v>
      </c>
      <c r="X1257" t="s">
        <v>22</v>
      </c>
      <c r="Y1257" t="e">
        <f>+_xlfn.XLOOKUP(tbl_encuesta[[#This Row],[Considero a Limtek como un buen lugar para trabajar]],#REF!,#REF!)</f>
        <v>#REF!</v>
      </c>
      <c r="Z1257" t="s">
        <v>3114</v>
      </c>
      <c r="AA1257" t="s">
        <v>3115</v>
      </c>
      <c r="AB1257" t="s">
        <v>38</v>
      </c>
      <c r="AC1257" s="3" t="s">
        <v>3610</v>
      </c>
      <c r="AD1257" s="3" t="s">
        <v>3691</v>
      </c>
      <c r="AE1257" t="s">
        <v>61</v>
      </c>
    </row>
    <row r="1258" spans="1:31" x14ac:dyDescent="0.25">
      <c r="A1258">
        <v>119025804872</v>
      </c>
      <c r="B1258">
        <v>462598545</v>
      </c>
      <c r="C1258" s="1">
        <v>46014.586145833331</v>
      </c>
      <c r="D1258" s="1">
        <v>46014.619710648149</v>
      </c>
      <c r="E1258" t="s">
        <v>3116</v>
      </c>
      <c r="F1258" t="s">
        <v>23</v>
      </c>
      <c r="G1258" t="e">
        <f>+_xlfn.XLOOKUP(tbl_encuesta[[#This Row],[Me siento a gusto con el ambiente de trabajo que se genera en mi equipo.]],#REF!,#REF!)</f>
        <v>#REF!</v>
      </c>
      <c r="H1258" t="s">
        <v>23</v>
      </c>
      <c r="I1258" t="e">
        <f>+_xlfn.XLOOKUP(tbl_encuesta[[#This Row],[Me siento motivado a dar lo mejor de mí y hacer un buen trabajo]],#REF!,#REF!)</f>
        <v>#REF!</v>
      </c>
      <c r="J1258" t="s">
        <v>23</v>
      </c>
      <c r="K1258" t="e">
        <f>+_xlfn.XLOOKUP(tbl_encuesta[[#This Row],[Mi supervisor o jefe directo me otorga el soporte que necesito para afrontar cualquier problema que afecte mi trabajo]],#REF!,#REF!)</f>
        <v>#REF!</v>
      </c>
      <c r="L1258" t="s">
        <v>23</v>
      </c>
      <c r="M1258" t="e">
        <f>+_xlfn.XLOOKUP(tbl_encuesta[[#This Row],[Mi supervisor o jefe directo fomenta que nos apoyemos entre todos en el equipo]],#REF!,#REF!)</f>
        <v>#REF!</v>
      </c>
      <c r="N1258" t="s">
        <v>22</v>
      </c>
      <c r="O1258" t="e">
        <f>+_xlfn.XLOOKUP(tbl_encuesta[[#This Row],[Siento que mi trabajo es reconocido por mi supervisor o jefe directo.]],#REF!,#REF!)</f>
        <v>#REF!</v>
      </c>
      <c r="P1258" t="s">
        <v>31</v>
      </c>
      <c r="Q1258" t="e">
        <f xml:space="preserve">
_xlfn.XLOOKUP(
tbl_encuesta[[#This Row],[Mi supervisor o jefe directo nos brinda charlas de 5 minutos y comunica las novedades relevantes a mi puesto de trabajo]],#REF!,#REF!
)</f>
        <v>#REF!</v>
      </c>
      <c r="R1258" t="s">
        <v>17</v>
      </c>
      <c r="S1258" t="s">
        <v>18</v>
      </c>
      <c r="W1258" t="s">
        <v>25</v>
      </c>
      <c r="X1258" t="s">
        <v>23</v>
      </c>
      <c r="Y1258" t="e">
        <f>+_xlfn.XLOOKUP(tbl_encuesta[[#This Row],[Considero a Limtek como un buen lugar para trabajar]],#REF!,#REF!)</f>
        <v>#REF!</v>
      </c>
      <c r="Z1258" t="s">
        <v>3117</v>
      </c>
      <c r="AA1258" t="s">
        <v>3118</v>
      </c>
      <c r="AB1258" t="s">
        <v>883</v>
      </c>
      <c r="AC1258" s="3" t="s">
        <v>3610</v>
      </c>
      <c r="AD1258" s="3" t="s">
        <v>3669</v>
      </c>
      <c r="AE1258" t="s">
        <v>69</v>
      </c>
    </row>
    <row r="1259" spans="1:31" x14ac:dyDescent="0.25">
      <c r="A1259">
        <v>119025804836</v>
      </c>
      <c r="B1259">
        <v>462598545</v>
      </c>
      <c r="C1259" s="1">
        <v>46014.613715277781</v>
      </c>
      <c r="D1259" s="1">
        <v>46014.619641203702</v>
      </c>
      <c r="E1259" t="s">
        <v>3119</v>
      </c>
      <c r="F1259" t="s">
        <v>22</v>
      </c>
      <c r="G1259" t="e">
        <f>+_xlfn.XLOOKUP(tbl_encuesta[[#This Row],[Me siento a gusto con el ambiente de trabajo que se genera en mi equipo.]],#REF!,#REF!)</f>
        <v>#REF!</v>
      </c>
      <c r="H1259" t="s">
        <v>22</v>
      </c>
      <c r="I1259" t="e">
        <f>+_xlfn.XLOOKUP(tbl_encuesta[[#This Row],[Me siento motivado a dar lo mejor de mí y hacer un buen trabajo]],#REF!,#REF!)</f>
        <v>#REF!</v>
      </c>
      <c r="J1259" t="s">
        <v>22</v>
      </c>
      <c r="K1259" t="e">
        <f>+_xlfn.XLOOKUP(tbl_encuesta[[#This Row],[Mi supervisor o jefe directo me otorga el soporte que necesito para afrontar cualquier problema que afecte mi trabajo]],#REF!,#REF!)</f>
        <v>#REF!</v>
      </c>
      <c r="L1259" t="s">
        <v>22</v>
      </c>
      <c r="M1259" t="e">
        <f>+_xlfn.XLOOKUP(tbl_encuesta[[#This Row],[Mi supervisor o jefe directo fomenta que nos apoyemos entre todos en el equipo]],#REF!,#REF!)</f>
        <v>#REF!</v>
      </c>
      <c r="N1259" t="s">
        <v>22</v>
      </c>
      <c r="O1259" t="e">
        <f>+_xlfn.XLOOKUP(tbl_encuesta[[#This Row],[Siento que mi trabajo es reconocido por mi supervisor o jefe directo.]],#REF!,#REF!)</f>
        <v>#REF!</v>
      </c>
      <c r="P1259" t="s">
        <v>31</v>
      </c>
      <c r="Q1259" t="e">
        <f xml:space="preserve">
_xlfn.XLOOKUP(
tbl_encuesta[[#This Row],[Mi supervisor o jefe directo nos brinda charlas de 5 minutos y comunica las novedades relevantes a mi puesto de trabajo]],#REF!,#REF!
)</f>
        <v>#REF!</v>
      </c>
      <c r="T1259" t="s">
        <v>19</v>
      </c>
      <c r="W1259" t="s">
        <v>46</v>
      </c>
      <c r="X1259" t="s">
        <v>22</v>
      </c>
      <c r="Y1259" t="e">
        <f>+_xlfn.XLOOKUP(tbl_encuesta[[#This Row],[Considero a Limtek como un buen lugar para trabajar]],#REF!,#REF!)</f>
        <v>#REF!</v>
      </c>
      <c r="Z1259" t="s">
        <v>3120</v>
      </c>
      <c r="AA1259" t="s">
        <v>3121</v>
      </c>
      <c r="AB1259" t="s">
        <v>28</v>
      </c>
      <c r="AC1259" s="3" t="s">
        <v>3716</v>
      </c>
      <c r="AD1259" s="3" t="s">
        <v>3723</v>
      </c>
      <c r="AE1259" t="s">
        <v>69</v>
      </c>
    </row>
    <row r="1260" spans="1:31" x14ac:dyDescent="0.25">
      <c r="A1260">
        <v>119025804499</v>
      </c>
      <c r="B1260">
        <v>462598545</v>
      </c>
      <c r="C1260" s="1">
        <v>46014.612592592595</v>
      </c>
      <c r="D1260" s="1">
        <v>46014.619131944448</v>
      </c>
      <c r="E1260" t="s">
        <v>1829</v>
      </c>
      <c r="F1260" t="s">
        <v>23</v>
      </c>
      <c r="G1260" t="e">
        <f>+_xlfn.XLOOKUP(tbl_encuesta[[#This Row],[Me siento a gusto con el ambiente de trabajo que se genera en mi equipo.]],#REF!,#REF!)</f>
        <v>#REF!</v>
      </c>
      <c r="H1260" t="s">
        <v>23</v>
      </c>
      <c r="I1260" t="e">
        <f>+_xlfn.XLOOKUP(tbl_encuesta[[#This Row],[Me siento motivado a dar lo mejor de mí y hacer un buen trabajo]],#REF!,#REF!)</f>
        <v>#REF!</v>
      </c>
      <c r="J1260" t="s">
        <v>23</v>
      </c>
      <c r="K1260" t="e">
        <f>+_xlfn.XLOOKUP(tbl_encuesta[[#This Row],[Mi supervisor o jefe directo me otorga el soporte que necesito para afrontar cualquier problema que afecte mi trabajo]],#REF!,#REF!)</f>
        <v>#REF!</v>
      </c>
      <c r="L1260" t="s">
        <v>23</v>
      </c>
      <c r="M1260" t="e">
        <f>+_xlfn.XLOOKUP(tbl_encuesta[[#This Row],[Mi supervisor o jefe directo fomenta que nos apoyemos entre todos en el equipo]],#REF!,#REF!)</f>
        <v>#REF!</v>
      </c>
      <c r="N1260" t="s">
        <v>23</v>
      </c>
      <c r="O1260" t="e">
        <f>+_xlfn.XLOOKUP(tbl_encuesta[[#This Row],[Siento que mi trabajo es reconocido por mi supervisor o jefe directo.]],#REF!,#REF!)</f>
        <v>#REF!</v>
      </c>
      <c r="P1260" t="s">
        <v>31</v>
      </c>
      <c r="Q1260" t="e">
        <f xml:space="preserve">
_xlfn.XLOOKUP(
tbl_encuesta[[#This Row],[Mi supervisor o jefe directo nos brinda charlas de 5 minutos y comunica las novedades relevantes a mi puesto de trabajo]],#REF!,#REF!
)</f>
        <v>#REF!</v>
      </c>
      <c r="R1260" t="s">
        <v>17</v>
      </c>
      <c r="U1260" t="s">
        <v>20</v>
      </c>
      <c r="W1260" t="s">
        <v>25</v>
      </c>
      <c r="X1260" t="s">
        <v>23</v>
      </c>
      <c r="Y1260" t="e">
        <f>+_xlfn.XLOOKUP(tbl_encuesta[[#This Row],[Considero a Limtek como un buen lugar para trabajar]],#REF!,#REF!)</f>
        <v>#REF!</v>
      </c>
      <c r="Z1260" t="s">
        <v>3122</v>
      </c>
      <c r="AA1260" t="s">
        <v>3123</v>
      </c>
      <c r="AB1260" t="s">
        <v>28</v>
      </c>
      <c r="AC1260" s="3" t="s">
        <v>3716</v>
      </c>
      <c r="AD1260" s="3" t="s">
        <v>3721</v>
      </c>
      <c r="AE1260" t="s">
        <v>69</v>
      </c>
    </row>
    <row r="1261" spans="1:31" x14ac:dyDescent="0.25">
      <c r="A1261">
        <v>119025804308</v>
      </c>
      <c r="B1261">
        <v>462598545</v>
      </c>
      <c r="C1261" s="1">
        <v>46014.616053240738</v>
      </c>
      <c r="D1261" s="1">
        <v>46014.618796296294</v>
      </c>
      <c r="E1261" t="s">
        <v>3124</v>
      </c>
      <c r="F1261" t="s">
        <v>23</v>
      </c>
      <c r="G1261" t="e">
        <f>+_xlfn.XLOOKUP(tbl_encuesta[[#This Row],[Me siento a gusto con el ambiente de trabajo que se genera en mi equipo.]],#REF!,#REF!)</f>
        <v>#REF!</v>
      </c>
      <c r="H1261" t="s">
        <v>23</v>
      </c>
      <c r="I1261" t="e">
        <f>+_xlfn.XLOOKUP(tbl_encuesta[[#This Row],[Me siento motivado a dar lo mejor de mí y hacer un buen trabajo]],#REF!,#REF!)</f>
        <v>#REF!</v>
      </c>
      <c r="J1261" t="s">
        <v>23</v>
      </c>
      <c r="K1261" t="e">
        <f>+_xlfn.XLOOKUP(tbl_encuesta[[#This Row],[Mi supervisor o jefe directo me otorga el soporte que necesito para afrontar cualquier problema que afecte mi trabajo]],#REF!,#REF!)</f>
        <v>#REF!</v>
      </c>
      <c r="L1261" t="s">
        <v>23</v>
      </c>
      <c r="M1261" t="e">
        <f>+_xlfn.XLOOKUP(tbl_encuesta[[#This Row],[Mi supervisor o jefe directo fomenta que nos apoyemos entre todos en el equipo]],#REF!,#REF!)</f>
        <v>#REF!</v>
      </c>
      <c r="N1261" t="s">
        <v>23</v>
      </c>
      <c r="O1261" t="e">
        <f>+_xlfn.XLOOKUP(tbl_encuesta[[#This Row],[Siento que mi trabajo es reconocido por mi supervisor o jefe directo.]],#REF!,#REF!)</f>
        <v>#REF!</v>
      </c>
      <c r="P1261" t="s">
        <v>31</v>
      </c>
      <c r="Q1261" t="e">
        <f xml:space="preserve">
_xlfn.XLOOKUP(
tbl_encuesta[[#This Row],[Mi supervisor o jefe directo nos brinda charlas de 5 minutos y comunica las novedades relevantes a mi puesto de trabajo]],#REF!,#REF!
)</f>
        <v>#REF!</v>
      </c>
      <c r="S1261" t="s">
        <v>18</v>
      </c>
      <c r="U1261" t="s">
        <v>20</v>
      </c>
      <c r="W1261" t="s">
        <v>25</v>
      </c>
      <c r="X1261" t="s">
        <v>23</v>
      </c>
      <c r="Y1261" t="e">
        <f>+_xlfn.XLOOKUP(tbl_encuesta[[#This Row],[Considero a Limtek como un buen lugar para trabajar]],#REF!,#REF!)</f>
        <v>#REF!</v>
      </c>
      <c r="Z1261" t="s">
        <v>3125</v>
      </c>
      <c r="AA1261" t="s">
        <v>3126</v>
      </c>
      <c r="AB1261" t="s">
        <v>28</v>
      </c>
      <c r="AC1261" s="3" t="s">
        <v>3716</v>
      </c>
      <c r="AD1261" s="3" t="s">
        <v>3721</v>
      </c>
      <c r="AE1261" t="s">
        <v>69</v>
      </c>
    </row>
    <row r="1262" spans="1:31" x14ac:dyDescent="0.25">
      <c r="A1262">
        <v>119025803746</v>
      </c>
      <c r="B1262">
        <v>462598545</v>
      </c>
      <c r="C1262" s="1">
        <v>46014.611875000002</v>
      </c>
      <c r="D1262" s="1">
        <v>46014.617928240739</v>
      </c>
      <c r="E1262" t="s">
        <v>3127</v>
      </c>
      <c r="F1262" t="s">
        <v>23</v>
      </c>
      <c r="G1262" t="e">
        <f>+_xlfn.XLOOKUP(tbl_encuesta[[#This Row],[Me siento a gusto con el ambiente de trabajo que se genera en mi equipo.]],#REF!,#REF!)</f>
        <v>#REF!</v>
      </c>
      <c r="H1262" t="s">
        <v>23</v>
      </c>
      <c r="I1262" t="e">
        <f>+_xlfn.XLOOKUP(tbl_encuesta[[#This Row],[Me siento motivado a dar lo mejor de mí y hacer un buen trabajo]],#REF!,#REF!)</f>
        <v>#REF!</v>
      </c>
      <c r="J1262" t="s">
        <v>22</v>
      </c>
      <c r="K1262" t="e">
        <f>+_xlfn.XLOOKUP(tbl_encuesta[[#This Row],[Mi supervisor o jefe directo me otorga el soporte que necesito para afrontar cualquier problema que afecte mi trabajo]],#REF!,#REF!)</f>
        <v>#REF!</v>
      </c>
      <c r="L1262" t="s">
        <v>23</v>
      </c>
      <c r="M1262" t="e">
        <f>+_xlfn.XLOOKUP(tbl_encuesta[[#This Row],[Mi supervisor o jefe directo fomenta que nos apoyemos entre todos en el equipo]],#REF!,#REF!)</f>
        <v>#REF!</v>
      </c>
      <c r="N1262" t="s">
        <v>22</v>
      </c>
      <c r="O1262" t="e">
        <f>+_xlfn.XLOOKUP(tbl_encuesta[[#This Row],[Siento que mi trabajo es reconocido por mi supervisor o jefe directo.]],#REF!,#REF!)</f>
        <v>#REF!</v>
      </c>
      <c r="P1262" t="s">
        <v>31</v>
      </c>
      <c r="Q1262" t="e">
        <f xml:space="preserve">
_xlfn.XLOOKUP(
tbl_encuesta[[#This Row],[Mi supervisor o jefe directo nos brinda charlas de 5 minutos y comunica las novedades relevantes a mi puesto de trabajo]],#REF!,#REF!
)</f>
        <v>#REF!</v>
      </c>
      <c r="R1262" t="s">
        <v>17</v>
      </c>
      <c r="T1262" t="s">
        <v>19</v>
      </c>
      <c r="W1262" t="s">
        <v>25</v>
      </c>
      <c r="X1262" t="s">
        <v>23</v>
      </c>
      <c r="Y1262" t="e">
        <f>+_xlfn.XLOOKUP(tbl_encuesta[[#This Row],[Considero a Limtek como un buen lugar para trabajar]],#REF!,#REF!)</f>
        <v>#REF!</v>
      </c>
      <c r="Z1262" t="s">
        <v>3128</v>
      </c>
      <c r="AA1262" t="s">
        <v>3129</v>
      </c>
      <c r="AB1262" t="s">
        <v>28</v>
      </c>
      <c r="AC1262" s="3" t="s">
        <v>3716</v>
      </c>
      <c r="AD1262" s="3" t="s">
        <v>3717</v>
      </c>
      <c r="AE1262" t="s">
        <v>29</v>
      </c>
    </row>
    <row r="1263" spans="1:31" x14ac:dyDescent="0.25">
      <c r="A1263">
        <v>119025803392</v>
      </c>
      <c r="B1263">
        <v>462598545</v>
      </c>
      <c r="C1263" s="1">
        <v>46014.612488425926</v>
      </c>
      <c r="D1263" s="1">
        <v>46014.617361111108</v>
      </c>
      <c r="E1263" t="s">
        <v>3130</v>
      </c>
      <c r="F1263" t="s">
        <v>23</v>
      </c>
      <c r="G1263" t="e">
        <f>+_xlfn.XLOOKUP(tbl_encuesta[[#This Row],[Me siento a gusto con el ambiente de trabajo que se genera en mi equipo.]],#REF!,#REF!)</f>
        <v>#REF!</v>
      </c>
      <c r="H1263" t="s">
        <v>23</v>
      </c>
      <c r="I1263" t="e">
        <f>+_xlfn.XLOOKUP(tbl_encuesta[[#This Row],[Me siento motivado a dar lo mejor de mí y hacer un buen trabajo]],#REF!,#REF!)</f>
        <v>#REF!</v>
      </c>
      <c r="J1263" t="s">
        <v>23</v>
      </c>
      <c r="K1263" t="e">
        <f>+_xlfn.XLOOKUP(tbl_encuesta[[#This Row],[Mi supervisor o jefe directo me otorga el soporte que necesito para afrontar cualquier problema que afecte mi trabajo]],#REF!,#REF!)</f>
        <v>#REF!</v>
      </c>
      <c r="L1263" t="s">
        <v>23</v>
      </c>
      <c r="M1263" t="e">
        <f>+_xlfn.XLOOKUP(tbl_encuesta[[#This Row],[Mi supervisor o jefe directo fomenta que nos apoyemos entre todos en el equipo]],#REF!,#REF!)</f>
        <v>#REF!</v>
      </c>
      <c r="N1263" t="s">
        <v>23</v>
      </c>
      <c r="O1263" t="e">
        <f>+_xlfn.XLOOKUP(tbl_encuesta[[#This Row],[Siento que mi trabajo es reconocido por mi supervisor o jefe directo.]],#REF!,#REF!)</f>
        <v>#REF!</v>
      </c>
      <c r="P1263" t="s">
        <v>31</v>
      </c>
      <c r="Q1263" t="e">
        <f xml:space="preserve">
_xlfn.XLOOKUP(
tbl_encuesta[[#This Row],[Mi supervisor o jefe directo nos brinda charlas de 5 minutos y comunica las novedades relevantes a mi puesto de trabajo]],#REF!,#REF!
)</f>
        <v>#REF!</v>
      </c>
      <c r="R1263" t="s">
        <v>17</v>
      </c>
      <c r="S1263" t="s">
        <v>18</v>
      </c>
      <c r="W1263" t="s">
        <v>25</v>
      </c>
      <c r="X1263" t="s">
        <v>23</v>
      </c>
      <c r="Y1263" t="e">
        <f>+_xlfn.XLOOKUP(tbl_encuesta[[#This Row],[Considero a Limtek como un buen lugar para trabajar]],#REF!,#REF!)</f>
        <v>#REF!</v>
      </c>
      <c r="Z1263" t="s">
        <v>3131</v>
      </c>
      <c r="AA1263" t="s">
        <v>3132</v>
      </c>
      <c r="AB1263" t="s">
        <v>28</v>
      </c>
      <c r="AC1263" s="3" t="s">
        <v>3716</v>
      </c>
      <c r="AD1263" s="3" t="s">
        <v>3721</v>
      </c>
      <c r="AE1263" t="s">
        <v>29</v>
      </c>
    </row>
    <row r="1264" spans="1:31" x14ac:dyDescent="0.25">
      <c r="A1264">
        <v>119025803249</v>
      </c>
      <c r="B1264">
        <v>462598545</v>
      </c>
      <c r="C1264" s="1">
        <v>46014.6091087963</v>
      </c>
      <c r="D1264" s="1">
        <v>46014.617083333331</v>
      </c>
      <c r="E1264" t="s">
        <v>1842</v>
      </c>
      <c r="F1264" t="s">
        <v>23</v>
      </c>
      <c r="G1264" t="e">
        <f>+_xlfn.XLOOKUP(tbl_encuesta[[#This Row],[Me siento a gusto con el ambiente de trabajo que se genera en mi equipo.]],#REF!,#REF!)</f>
        <v>#REF!</v>
      </c>
      <c r="H1264" t="s">
        <v>23</v>
      </c>
      <c r="I1264" t="e">
        <f>+_xlfn.XLOOKUP(tbl_encuesta[[#This Row],[Me siento motivado a dar lo mejor de mí y hacer un buen trabajo]],#REF!,#REF!)</f>
        <v>#REF!</v>
      </c>
      <c r="J1264" t="s">
        <v>23</v>
      </c>
      <c r="K1264" t="e">
        <f>+_xlfn.XLOOKUP(tbl_encuesta[[#This Row],[Mi supervisor o jefe directo me otorga el soporte que necesito para afrontar cualquier problema que afecte mi trabajo]],#REF!,#REF!)</f>
        <v>#REF!</v>
      </c>
      <c r="L1264" t="s">
        <v>23</v>
      </c>
      <c r="M1264" t="e">
        <f>+_xlfn.XLOOKUP(tbl_encuesta[[#This Row],[Mi supervisor o jefe directo fomenta que nos apoyemos entre todos en el equipo]],#REF!,#REF!)</f>
        <v>#REF!</v>
      </c>
      <c r="N1264" t="s">
        <v>23</v>
      </c>
      <c r="O1264" t="e">
        <f>+_xlfn.XLOOKUP(tbl_encuesta[[#This Row],[Siento que mi trabajo es reconocido por mi supervisor o jefe directo.]],#REF!,#REF!)</f>
        <v>#REF!</v>
      </c>
      <c r="P1264" t="s">
        <v>31</v>
      </c>
      <c r="Q1264" t="e">
        <f xml:space="preserve">
_xlfn.XLOOKUP(
tbl_encuesta[[#This Row],[Mi supervisor o jefe directo nos brinda charlas de 5 minutos y comunica las novedades relevantes a mi puesto de trabajo]],#REF!,#REF!
)</f>
        <v>#REF!</v>
      </c>
      <c r="R1264" t="s">
        <v>17</v>
      </c>
      <c r="V1264" t="s">
        <v>3133</v>
      </c>
      <c r="W1264" t="s">
        <v>25</v>
      </c>
      <c r="X1264" t="s">
        <v>23</v>
      </c>
      <c r="Y1264" t="e">
        <f>+_xlfn.XLOOKUP(tbl_encuesta[[#This Row],[Considero a Limtek como un buen lugar para trabajar]],#REF!,#REF!)</f>
        <v>#REF!</v>
      </c>
      <c r="Z1264" t="s">
        <v>3134</v>
      </c>
      <c r="AA1264" t="s">
        <v>3135</v>
      </c>
      <c r="AB1264" t="s">
        <v>28</v>
      </c>
      <c r="AC1264" s="3" t="s">
        <v>3716</v>
      </c>
      <c r="AD1264" s="3" t="s">
        <v>3721</v>
      </c>
      <c r="AE1264" t="s">
        <v>69</v>
      </c>
    </row>
    <row r="1265" spans="1:31" x14ac:dyDescent="0.25">
      <c r="A1265">
        <v>119025800707</v>
      </c>
      <c r="B1265">
        <v>462598545</v>
      </c>
      <c r="C1265" s="1">
        <v>46014.605983796297</v>
      </c>
      <c r="D1265" s="1">
        <v>46014.613229166665</v>
      </c>
      <c r="E1265" t="s">
        <v>1842</v>
      </c>
      <c r="F1265" t="s">
        <v>22</v>
      </c>
      <c r="G1265" t="e">
        <f>+_xlfn.XLOOKUP(tbl_encuesta[[#This Row],[Me siento a gusto con el ambiente de trabajo que se genera en mi equipo.]],#REF!,#REF!)</f>
        <v>#REF!</v>
      </c>
      <c r="H1265" t="s">
        <v>23</v>
      </c>
      <c r="I1265" t="e">
        <f>+_xlfn.XLOOKUP(tbl_encuesta[[#This Row],[Me siento motivado a dar lo mejor de mí y hacer un buen trabajo]],#REF!,#REF!)</f>
        <v>#REF!</v>
      </c>
      <c r="J1265" t="s">
        <v>23</v>
      </c>
      <c r="K1265" t="e">
        <f>+_xlfn.XLOOKUP(tbl_encuesta[[#This Row],[Mi supervisor o jefe directo me otorga el soporte que necesito para afrontar cualquier problema que afecte mi trabajo]],#REF!,#REF!)</f>
        <v>#REF!</v>
      </c>
      <c r="L1265" t="s">
        <v>97</v>
      </c>
      <c r="M1265" t="e">
        <f>+_xlfn.XLOOKUP(tbl_encuesta[[#This Row],[Mi supervisor o jefe directo fomenta que nos apoyemos entre todos en el equipo]],#REF!,#REF!)</f>
        <v>#REF!</v>
      </c>
      <c r="N1265" t="s">
        <v>22</v>
      </c>
      <c r="O1265" t="e">
        <f>+_xlfn.XLOOKUP(tbl_encuesta[[#This Row],[Siento que mi trabajo es reconocido por mi supervisor o jefe directo.]],#REF!,#REF!)</f>
        <v>#REF!</v>
      </c>
      <c r="P1265" t="s">
        <v>31</v>
      </c>
      <c r="Q1265" t="e">
        <f xml:space="preserve">
_xlfn.XLOOKUP(
tbl_encuesta[[#This Row],[Mi supervisor o jefe directo nos brinda charlas de 5 minutos y comunica las novedades relevantes a mi puesto de trabajo]],#REF!,#REF!
)</f>
        <v>#REF!</v>
      </c>
      <c r="S1265" t="s">
        <v>18</v>
      </c>
      <c r="W1265" t="s">
        <v>25</v>
      </c>
      <c r="X1265" t="s">
        <v>22</v>
      </c>
      <c r="Y1265" t="e">
        <f>+_xlfn.XLOOKUP(tbl_encuesta[[#This Row],[Considero a Limtek como un buen lugar para trabajar]],#REF!,#REF!)</f>
        <v>#REF!</v>
      </c>
      <c r="Z1265" t="s">
        <v>3136</v>
      </c>
      <c r="AA1265" t="s">
        <v>3137</v>
      </c>
      <c r="AB1265" t="s">
        <v>28</v>
      </c>
      <c r="AC1265" t="s">
        <v>3744</v>
      </c>
      <c r="AD1265" t="s">
        <v>3744</v>
      </c>
      <c r="AE1265" t="s">
        <v>69</v>
      </c>
    </row>
    <row r="1266" spans="1:31" x14ac:dyDescent="0.25">
      <c r="A1266">
        <v>119025800038</v>
      </c>
      <c r="B1266">
        <v>462598545</v>
      </c>
      <c r="C1266" s="1">
        <v>46014.60564814815</v>
      </c>
      <c r="D1266" s="1">
        <v>46014.612060185187</v>
      </c>
      <c r="E1266" t="s">
        <v>1874</v>
      </c>
      <c r="F1266" t="s">
        <v>23</v>
      </c>
      <c r="G1266" t="e">
        <f>+_xlfn.XLOOKUP(tbl_encuesta[[#This Row],[Me siento a gusto con el ambiente de trabajo que se genera en mi equipo.]],#REF!,#REF!)</f>
        <v>#REF!</v>
      </c>
      <c r="H1266" t="s">
        <v>23</v>
      </c>
      <c r="I1266" t="e">
        <f>+_xlfn.XLOOKUP(tbl_encuesta[[#This Row],[Me siento motivado a dar lo mejor de mí y hacer un buen trabajo]],#REF!,#REF!)</f>
        <v>#REF!</v>
      </c>
      <c r="J1266" t="s">
        <v>22</v>
      </c>
      <c r="K1266" t="e">
        <f>+_xlfn.XLOOKUP(tbl_encuesta[[#This Row],[Mi supervisor o jefe directo me otorga el soporte que necesito para afrontar cualquier problema que afecte mi trabajo]],#REF!,#REF!)</f>
        <v>#REF!</v>
      </c>
      <c r="L1266" t="s">
        <v>23</v>
      </c>
      <c r="M1266" t="e">
        <f>+_xlfn.XLOOKUP(tbl_encuesta[[#This Row],[Mi supervisor o jefe directo fomenta que nos apoyemos entre todos en el equipo]],#REF!,#REF!)</f>
        <v>#REF!</v>
      </c>
      <c r="N1266" t="s">
        <v>22</v>
      </c>
      <c r="O1266" t="e">
        <f>+_xlfn.XLOOKUP(tbl_encuesta[[#This Row],[Siento que mi trabajo es reconocido por mi supervisor o jefe directo.]],#REF!,#REF!)</f>
        <v>#REF!</v>
      </c>
      <c r="P1266" t="s">
        <v>31</v>
      </c>
      <c r="Q1266" t="e">
        <f xml:space="preserve">
_xlfn.XLOOKUP(
tbl_encuesta[[#This Row],[Mi supervisor o jefe directo nos brinda charlas de 5 minutos y comunica las novedades relevantes a mi puesto de trabajo]],#REF!,#REF!
)</f>
        <v>#REF!</v>
      </c>
      <c r="R1266" t="s">
        <v>17</v>
      </c>
      <c r="S1266" t="s">
        <v>18</v>
      </c>
      <c r="W1266" t="s">
        <v>25</v>
      </c>
      <c r="X1266" t="s">
        <v>23</v>
      </c>
      <c r="Y1266" t="e">
        <f>+_xlfn.XLOOKUP(tbl_encuesta[[#This Row],[Considero a Limtek como un buen lugar para trabajar]],#REF!,#REF!)</f>
        <v>#REF!</v>
      </c>
      <c r="Z1266" t="s">
        <v>3138</v>
      </c>
      <c r="AA1266" t="s">
        <v>3139</v>
      </c>
      <c r="AB1266" t="s">
        <v>28</v>
      </c>
      <c r="AC1266" s="3" t="s">
        <v>3716</v>
      </c>
      <c r="AD1266" s="3" t="s">
        <v>3721</v>
      </c>
      <c r="AE1266" t="s">
        <v>29</v>
      </c>
    </row>
    <row r="1267" spans="1:31" x14ac:dyDescent="0.25">
      <c r="A1267">
        <v>119025799983</v>
      </c>
      <c r="B1267">
        <v>462598545</v>
      </c>
      <c r="C1267" s="1">
        <v>46014.609710648147</v>
      </c>
      <c r="D1267" s="1">
        <v>46014.611990740741</v>
      </c>
      <c r="E1267" t="s">
        <v>3140</v>
      </c>
      <c r="F1267" t="s">
        <v>22</v>
      </c>
      <c r="G1267" t="e">
        <f>+_xlfn.XLOOKUP(tbl_encuesta[[#This Row],[Me siento a gusto con el ambiente de trabajo que se genera en mi equipo.]],#REF!,#REF!)</f>
        <v>#REF!</v>
      </c>
      <c r="H1267" t="s">
        <v>22</v>
      </c>
      <c r="I1267" t="e">
        <f>+_xlfn.XLOOKUP(tbl_encuesta[[#This Row],[Me siento motivado a dar lo mejor de mí y hacer un buen trabajo]],#REF!,#REF!)</f>
        <v>#REF!</v>
      </c>
      <c r="J1267" t="s">
        <v>22</v>
      </c>
      <c r="K1267" t="e">
        <f>+_xlfn.XLOOKUP(tbl_encuesta[[#This Row],[Mi supervisor o jefe directo me otorga el soporte que necesito para afrontar cualquier problema que afecte mi trabajo]],#REF!,#REF!)</f>
        <v>#REF!</v>
      </c>
      <c r="L1267" t="s">
        <v>22</v>
      </c>
      <c r="M1267" t="e">
        <f>+_xlfn.XLOOKUP(tbl_encuesta[[#This Row],[Mi supervisor o jefe directo fomenta que nos apoyemos entre todos en el equipo]],#REF!,#REF!)</f>
        <v>#REF!</v>
      </c>
      <c r="N1267" t="s">
        <v>22</v>
      </c>
      <c r="O1267" t="e">
        <f>+_xlfn.XLOOKUP(tbl_encuesta[[#This Row],[Siento que mi trabajo es reconocido por mi supervisor o jefe directo.]],#REF!,#REF!)</f>
        <v>#REF!</v>
      </c>
      <c r="P1267" t="s">
        <v>31</v>
      </c>
      <c r="Q1267" t="e">
        <f xml:space="preserve">
_xlfn.XLOOKUP(
tbl_encuesta[[#This Row],[Mi supervisor o jefe directo nos brinda charlas de 5 minutos y comunica las novedades relevantes a mi puesto de trabajo]],#REF!,#REF!
)</f>
        <v>#REF!</v>
      </c>
      <c r="U1267" t="s">
        <v>20</v>
      </c>
      <c r="W1267" t="s">
        <v>46</v>
      </c>
      <c r="X1267" t="s">
        <v>22</v>
      </c>
      <c r="Y1267" t="e">
        <f>+_xlfn.XLOOKUP(tbl_encuesta[[#This Row],[Considero a Limtek como un buen lugar para trabajar]],#REF!,#REF!)</f>
        <v>#REF!</v>
      </c>
      <c r="Z1267" t="s">
        <v>537</v>
      </c>
      <c r="AA1267" t="s">
        <v>3141</v>
      </c>
      <c r="AB1267" t="s">
        <v>619</v>
      </c>
      <c r="AC1267" s="3" t="s">
        <v>3716</v>
      </c>
      <c r="AD1267" s="3" t="s">
        <v>3716</v>
      </c>
      <c r="AE1267" t="s">
        <v>69</v>
      </c>
    </row>
    <row r="1268" spans="1:31" x14ac:dyDescent="0.25">
      <c r="A1268">
        <v>119025799416</v>
      </c>
      <c r="B1268">
        <v>462598545</v>
      </c>
      <c r="C1268" s="1">
        <v>46014.606307870374</v>
      </c>
      <c r="D1268" s="1">
        <v>46014.61109953704</v>
      </c>
      <c r="E1268" t="s">
        <v>1874</v>
      </c>
      <c r="F1268" t="s">
        <v>23</v>
      </c>
      <c r="G1268" t="e">
        <f>+_xlfn.XLOOKUP(tbl_encuesta[[#This Row],[Me siento a gusto con el ambiente de trabajo que se genera en mi equipo.]],#REF!,#REF!)</f>
        <v>#REF!</v>
      </c>
      <c r="H1268" t="s">
        <v>23</v>
      </c>
      <c r="I1268" t="e">
        <f>+_xlfn.XLOOKUP(tbl_encuesta[[#This Row],[Me siento motivado a dar lo mejor de mí y hacer un buen trabajo]],#REF!,#REF!)</f>
        <v>#REF!</v>
      </c>
      <c r="J1268" t="s">
        <v>23</v>
      </c>
      <c r="K1268" t="e">
        <f>+_xlfn.XLOOKUP(tbl_encuesta[[#This Row],[Mi supervisor o jefe directo me otorga el soporte que necesito para afrontar cualquier problema que afecte mi trabajo]],#REF!,#REF!)</f>
        <v>#REF!</v>
      </c>
      <c r="L1268" t="s">
        <v>23</v>
      </c>
      <c r="M1268" t="e">
        <f>+_xlfn.XLOOKUP(tbl_encuesta[[#This Row],[Mi supervisor o jefe directo fomenta que nos apoyemos entre todos en el equipo]],#REF!,#REF!)</f>
        <v>#REF!</v>
      </c>
      <c r="N1268" t="s">
        <v>23</v>
      </c>
      <c r="O1268" t="e">
        <f>+_xlfn.XLOOKUP(tbl_encuesta[[#This Row],[Siento que mi trabajo es reconocido por mi supervisor o jefe directo.]],#REF!,#REF!)</f>
        <v>#REF!</v>
      </c>
      <c r="P1268" t="s">
        <v>31</v>
      </c>
      <c r="Q1268" t="e">
        <f xml:space="preserve">
_xlfn.XLOOKUP(
tbl_encuesta[[#This Row],[Mi supervisor o jefe directo nos brinda charlas de 5 minutos y comunica las novedades relevantes a mi puesto de trabajo]],#REF!,#REF!
)</f>
        <v>#REF!</v>
      </c>
      <c r="R1268" t="s">
        <v>17</v>
      </c>
      <c r="S1268" t="s">
        <v>18</v>
      </c>
      <c r="W1268" t="s">
        <v>25</v>
      </c>
      <c r="X1268" t="s">
        <v>23</v>
      </c>
      <c r="Y1268" t="e">
        <f>+_xlfn.XLOOKUP(tbl_encuesta[[#This Row],[Considero a Limtek como un buen lugar para trabajar]],#REF!,#REF!)</f>
        <v>#REF!</v>
      </c>
      <c r="Z1268" t="s">
        <v>3142</v>
      </c>
      <c r="AA1268" t="s">
        <v>3143</v>
      </c>
      <c r="AB1268" t="s">
        <v>28</v>
      </c>
      <c r="AC1268" s="3" t="s">
        <v>3716</v>
      </c>
      <c r="AD1268" s="3" t="s">
        <v>3721</v>
      </c>
      <c r="AE1268" t="s">
        <v>69</v>
      </c>
    </row>
    <row r="1269" spans="1:31" x14ac:dyDescent="0.25">
      <c r="A1269">
        <v>119025798794</v>
      </c>
      <c r="B1269">
        <v>462598545</v>
      </c>
      <c r="C1269" s="1">
        <v>46014.607812499999</v>
      </c>
      <c r="D1269" s="1">
        <v>46014.610081018516</v>
      </c>
      <c r="E1269" t="s">
        <v>1620</v>
      </c>
      <c r="F1269" t="s">
        <v>23</v>
      </c>
      <c r="G1269" t="e">
        <f>+_xlfn.XLOOKUP(tbl_encuesta[[#This Row],[Me siento a gusto con el ambiente de trabajo que se genera en mi equipo.]],#REF!,#REF!)</f>
        <v>#REF!</v>
      </c>
      <c r="H1269" t="s">
        <v>23</v>
      </c>
      <c r="I1269" t="e">
        <f>+_xlfn.XLOOKUP(tbl_encuesta[[#This Row],[Me siento motivado a dar lo mejor de mí y hacer un buen trabajo]],#REF!,#REF!)</f>
        <v>#REF!</v>
      </c>
      <c r="J1269" t="s">
        <v>97</v>
      </c>
      <c r="K1269" t="e">
        <f>+_xlfn.XLOOKUP(tbl_encuesta[[#This Row],[Mi supervisor o jefe directo me otorga el soporte que necesito para afrontar cualquier problema que afecte mi trabajo]],#REF!,#REF!)</f>
        <v>#REF!</v>
      </c>
      <c r="L1269" t="s">
        <v>22</v>
      </c>
      <c r="M1269" t="e">
        <f>+_xlfn.XLOOKUP(tbl_encuesta[[#This Row],[Mi supervisor o jefe directo fomenta que nos apoyemos entre todos en el equipo]],#REF!,#REF!)</f>
        <v>#REF!</v>
      </c>
      <c r="N1269" t="s">
        <v>22</v>
      </c>
      <c r="O1269" t="e">
        <f>+_xlfn.XLOOKUP(tbl_encuesta[[#This Row],[Siento que mi trabajo es reconocido por mi supervisor o jefe directo.]],#REF!,#REF!)</f>
        <v>#REF!</v>
      </c>
      <c r="P1269" t="s">
        <v>31</v>
      </c>
      <c r="Q1269" t="e">
        <f xml:space="preserve">
_xlfn.XLOOKUP(
tbl_encuesta[[#This Row],[Mi supervisor o jefe directo nos brinda charlas de 5 minutos y comunica las novedades relevantes a mi puesto de trabajo]],#REF!,#REF!
)</f>
        <v>#REF!</v>
      </c>
      <c r="R1269" t="s">
        <v>17</v>
      </c>
      <c r="W1269" t="s">
        <v>25</v>
      </c>
      <c r="X1269" t="s">
        <v>23</v>
      </c>
      <c r="Y1269" t="e">
        <f>+_xlfn.XLOOKUP(tbl_encuesta[[#This Row],[Considero a Limtek como un buen lugar para trabajar]],#REF!,#REF!)</f>
        <v>#REF!</v>
      </c>
      <c r="Z1269" t="s">
        <v>2163</v>
      </c>
      <c r="AA1269" t="s">
        <v>3144</v>
      </c>
      <c r="AB1269" t="s">
        <v>28</v>
      </c>
      <c r="AC1269" s="3" t="s">
        <v>3716</v>
      </c>
      <c r="AD1269" s="3" t="s">
        <v>3721</v>
      </c>
      <c r="AE1269" t="s">
        <v>69</v>
      </c>
    </row>
    <row r="1270" spans="1:31" x14ac:dyDescent="0.25">
      <c r="A1270">
        <v>119025798455</v>
      </c>
      <c r="B1270">
        <v>462598545</v>
      </c>
      <c r="C1270" s="1">
        <v>46014.608344907407</v>
      </c>
      <c r="D1270" s="1">
        <v>46014.609490740739</v>
      </c>
      <c r="E1270" t="s">
        <v>1620</v>
      </c>
      <c r="F1270" t="s">
        <v>22</v>
      </c>
      <c r="G1270" t="e">
        <f>+_xlfn.XLOOKUP(tbl_encuesta[[#This Row],[Me siento a gusto con el ambiente de trabajo que se genera en mi equipo.]],#REF!,#REF!)</f>
        <v>#REF!</v>
      </c>
      <c r="H1270" t="s">
        <v>22</v>
      </c>
      <c r="I1270" t="e">
        <f>+_xlfn.XLOOKUP(tbl_encuesta[[#This Row],[Me siento motivado a dar lo mejor de mí y hacer un buen trabajo]],#REF!,#REF!)</f>
        <v>#REF!</v>
      </c>
      <c r="J1270" t="s">
        <v>22</v>
      </c>
      <c r="K1270" t="e">
        <f>+_xlfn.XLOOKUP(tbl_encuesta[[#This Row],[Mi supervisor o jefe directo me otorga el soporte que necesito para afrontar cualquier problema que afecte mi trabajo]],#REF!,#REF!)</f>
        <v>#REF!</v>
      </c>
      <c r="L1270" t="s">
        <v>22</v>
      </c>
      <c r="M1270" t="e">
        <f>+_xlfn.XLOOKUP(tbl_encuesta[[#This Row],[Mi supervisor o jefe directo fomenta que nos apoyemos entre todos en el equipo]],#REF!,#REF!)</f>
        <v>#REF!</v>
      </c>
      <c r="N1270" t="s">
        <v>22</v>
      </c>
      <c r="O1270" t="e">
        <f>+_xlfn.XLOOKUP(tbl_encuesta[[#This Row],[Siento que mi trabajo es reconocido por mi supervisor o jefe directo.]],#REF!,#REF!)</f>
        <v>#REF!</v>
      </c>
      <c r="P1270" t="s">
        <v>31</v>
      </c>
      <c r="Q1270" t="e">
        <f xml:space="preserve">
_xlfn.XLOOKUP(
tbl_encuesta[[#This Row],[Mi supervisor o jefe directo nos brinda charlas de 5 minutos y comunica las novedades relevantes a mi puesto de trabajo]],#REF!,#REF!
)</f>
        <v>#REF!</v>
      </c>
      <c r="R1270" t="s">
        <v>17</v>
      </c>
      <c r="T1270" t="s">
        <v>19</v>
      </c>
      <c r="W1270" t="s">
        <v>25</v>
      </c>
      <c r="X1270" t="s">
        <v>23</v>
      </c>
      <c r="Y1270" t="e">
        <f>+_xlfn.XLOOKUP(tbl_encuesta[[#This Row],[Considero a Limtek como un buen lugar para trabajar]],#REF!,#REF!)</f>
        <v>#REF!</v>
      </c>
      <c r="Z1270" t="s">
        <v>3145</v>
      </c>
      <c r="AA1270" t="s">
        <v>1301</v>
      </c>
      <c r="AB1270" t="s">
        <v>28</v>
      </c>
      <c r="AC1270" s="3" t="s">
        <v>3716</v>
      </c>
      <c r="AD1270" s="3" t="s">
        <v>3721</v>
      </c>
      <c r="AE1270" t="s">
        <v>69</v>
      </c>
    </row>
    <row r="1271" spans="1:31" x14ac:dyDescent="0.25">
      <c r="A1271">
        <v>119025798337</v>
      </c>
      <c r="B1271">
        <v>462598545</v>
      </c>
      <c r="C1271" s="1">
        <v>46014.599745370368</v>
      </c>
      <c r="D1271" s="1">
        <v>46014.609317129631</v>
      </c>
      <c r="E1271" t="s">
        <v>3027</v>
      </c>
      <c r="F1271" t="s">
        <v>22</v>
      </c>
      <c r="G1271" t="e">
        <f>+_xlfn.XLOOKUP(tbl_encuesta[[#This Row],[Me siento a gusto con el ambiente de trabajo que se genera en mi equipo.]],#REF!,#REF!)</f>
        <v>#REF!</v>
      </c>
      <c r="H1271" t="s">
        <v>23</v>
      </c>
      <c r="I1271" t="e">
        <f>+_xlfn.XLOOKUP(tbl_encuesta[[#This Row],[Me siento motivado a dar lo mejor de mí y hacer un buen trabajo]],#REF!,#REF!)</f>
        <v>#REF!</v>
      </c>
      <c r="J1271" t="s">
        <v>23</v>
      </c>
      <c r="K1271" t="e">
        <f>+_xlfn.XLOOKUP(tbl_encuesta[[#This Row],[Mi supervisor o jefe directo me otorga el soporte que necesito para afrontar cualquier problema que afecte mi trabajo]],#REF!,#REF!)</f>
        <v>#REF!</v>
      </c>
      <c r="L1271" t="s">
        <v>22</v>
      </c>
      <c r="M1271" t="e">
        <f>+_xlfn.XLOOKUP(tbl_encuesta[[#This Row],[Mi supervisor o jefe directo fomenta que nos apoyemos entre todos en el equipo]],#REF!,#REF!)</f>
        <v>#REF!</v>
      </c>
      <c r="N1271" t="s">
        <v>22</v>
      </c>
      <c r="O1271" t="e">
        <f>+_xlfn.XLOOKUP(tbl_encuesta[[#This Row],[Siento que mi trabajo es reconocido por mi supervisor o jefe directo.]],#REF!,#REF!)</f>
        <v>#REF!</v>
      </c>
      <c r="P1271" t="s">
        <v>31</v>
      </c>
      <c r="Q1271" t="e">
        <f xml:space="preserve">
_xlfn.XLOOKUP(
tbl_encuesta[[#This Row],[Mi supervisor o jefe directo nos brinda charlas de 5 minutos y comunica las novedades relevantes a mi puesto de trabajo]],#REF!,#REF!
)</f>
        <v>#REF!</v>
      </c>
      <c r="R1271" t="s">
        <v>17</v>
      </c>
      <c r="U1271" t="s">
        <v>20</v>
      </c>
      <c r="W1271" t="s">
        <v>25</v>
      </c>
      <c r="X1271" t="s">
        <v>22</v>
      </c>
      <c r="Y1271" t="e">
        <f>+_xlfn.XLOOKUP(tbl_encuesta[[#This Row],[Considero a Limtek como un buen lugar para trabajar]],#REF!,#REF!)</f>
        <v>#REF!</v>
      </c>
      <c r="Z1271" t="s">
        <v>3146</v>
      </c>
      <c r="AA1271" t="s">
        <v>3147</v>
      </c>
      <c r="AB1271" t="s">
        <v>28</v>
      </c>
      <c r="AC1271" s="3" t="s">
        <v>3716</v>
      </c>
      <c r="AD1271" t="s">
        <v>3148</v>
      </c>
      <c r="AE1271" t="s">
        <v>29</v>
      </c>
    </row>
    <row r="1272" spans="1:31" x14ac:dyDescent="0.25">
      <c r="A1272">
        <v>119025797091</v>
      </c>
      <c r="B1272">
        <v>462598545</v>
      </c>
      <c r="C1272" s="1">
        <v>46014.604664351849</v>
      </c>
      <c r="D1272" s="1">
        <v>46014.607349537036</v>
      </c>
      <c r="E1272" t="s">
        <v>3149</v>
      </c>
      <c r="F1272" t="s">
        <v>22</v>
      </c>
      <c r="G1272" t="e">
        <f>+_xlfn.XLOOKUP(tbl_encuesta[[#This Row],[Me siento a gusto con el ambiente de trabajo que se genera en mi equipo.]],#REF!,#REF!)</f>
        <v>#REF!</v>
      </c>
      <c r="H1272" t="s">
        <v>23</v>
      </c>
      <c r="I1272" t="e">
        <f>+_xlfn.XLOOKUP(tbl_encuesta[[#This Row],[Me siento motivado a dar lo mejor de mí y hacer un buen trabajo]],#REF!,#REF!)</f>
        <v>#REF!</v>
      </c>
      <c r="J1272" t="s">
        <v>22</v>
      </c>
      <c r="K1272" t="e">
        <f>+_xlfn.XLOOKUP(tbl_encuesta[[#This Row],[Mi supervisor o jefe directo me otorga el soporte que necesito para afrontar cualquier problema que afecte mi trabajo]],#REF!,#REF!)</f>
        <v>#REF!</v>
      </c>
      <c r="L1272" t="s">
        <v>23</v>
      </c>
      <c r="M1272" t="e">
        <f>+_xlfn.XLOOKUP(tbl_encuesta[[#This Row],[Mi supervisor o jefe directo fomenta que nos apoyemos entre todos en el equipo]],#REF!,#REF!)</f>
        <v>#REF!</v>
      </c>
      <c r="N1272" t="s">
        <v>22</v>
      </c>
      <c r="O1272" t="e">
        <f>+_xlfn.XLOOKUP(tbl_encuesta[[#This Row],[Siento que mi trabajo es reconocido por mi supervisor o jefe directo.]],#REF!,#REF!)</f>
        <v>#REF!</v>
      </c>
      <c r="P1272" t="s">
        <v>31</v>
      </c>
      <c r="Q1272" t="e">
        <f xml:space="preserve">
_xlfn.XLOOKUP(
tbl_encuesta[[#This Row],[Mi supervisor o jefe directo nos brinda charlas de 5 minutos y comunica las novedades relevantes a mi puesto de trabajo]],#REF!,#REF!
)</f>
        <v>#REF!</v>
      </c>
      <c r="R1272" t="s">
        <v>17</v>
      </c>
      <c r="S1272" t="s">
        <v>18</v>
      </c>
      <c r="W1272" t="s">
        <v>25</v>
      </c>
      <c r="X1272" t="s">
        <v>23</v>
      </c>
      <c r="Y1272" t="e">
        <f>+_xlfn.XLOOKUP(tbl_encuesta[[#This Row],[Considero a Limtek como un buen lugar para trabajar]],#REF!,#REF!)</f>
        <v>#REF!</v>
      </c>
      <c r="Z1272" t="s">
        <v>3150</v>
      </c>
      <c r="AA1272" t="s">
        <v>3151</v>
      </c>
      <c r="AB1272" t="s">
        <v>28</v>
      </c>
      <c r="AC1272" s="3" t="s">
        <v>3716</v>
      </c>
      <c r="AD1272" s="3" t="s">
        <v>3721</v>
      </c>
      <c r="AE1272" t="s">
        <v>29</v>
      </c>
    </row>
    <row r="1273" spans="1:31" x14ac:dyDescent="0.25">
      <c r="A1273">
        <v>119025796749</v>
      </c>
      <c r="B1273">
        <v>462598545</v>
      </c>
      <c r="C1273" s="1">
        <v>46014.604803240742</v>
      </c>
      <c r="D1273" s="1">
        <v>46014.606817129628</v>
      </c>
      <c r="E1273" t="s">
        <v>3152</v>
      </c>
      <c r="F1273" t="s">
        <v>23</v>
      </c>
      <c r="G1273" t="e">
        <f>+_xlfn.XLOOKUP(tbl_encuesta[[#This Row],[Me siento a gusto con el ambiente de trabajo que se genera en mi equipo.]],#REF!,#REF!)</f>
        <v>#REF!</v>
      </c>
      <c r="H1273" t="s">
        <v>23</v>
      </c>
      <c r="I1273" t="e">
        <f>+_xlfn.XLOOKUP(tbl_encuesta[[#This Row],[Me siento motivado a dar lo mejor de mí y hacer un buen trabajo]],#REF!,#REF!)</f>
        <v>#REF!</v>
      </c>
      <c r="J1273" t="s">
        <v>23</v>
      </c>
      <c r="K1273" t="e">
        <f>+_xlfn.XLOOKUP(tbl_encuesta[[#This Row],[Mi supervisor o jefe directo me otorga el soporte que necesito para afrontar cualquier problema que afecte mi trabajo]],#REF!,#REF!)</f>
        <v>#REF!</v>
      </c>
      <c r="L1273" t="s">
        <v>23</v>
      </c>
      <c r="M1273" t="e">
        <f>+_xlfn.XLOOKUP(tbl_encuesta[[#This Row],[Mi supervisor o jefe directo fomenta que nos apoyemos entre todos en el equipo]],#REF!,#REF!)</f>
        <v>#REF!</v>
      </c>
      <c r="N1273" t="s">
        <v>23</v>
      </c>
      <c r="O1273" t="e">
        <f>+_xlfn.XLOOKUP(tbl_encuesta[[#This Row],[Siento que mi trabajo es reconocido por mi supervisor o jefe directo.]],#REF!,#REF!)</f>
        <v>#REF!</v>
      </c>
      <c r="P1273" t="s">
        <v>31</v>
      </c>
      <c r="Q1273" t="e">
        <f xml:space="preserve">
_xlfn.XLOOKUP(
tbl_encuesta[[#This Row],[Mi supervisor o jefe directo nos brinda charlas de 5 minutos y comunica las novedades relevantes a mi puesto de trabajo]],#REF!,#REF!
)</f>
        <v>#REF!</v>
      </c>
      <c r="R1273" t="s">
        <v>17</v>
      </c>
      <c r="W1273" t="s">
        <v>25</v>
      </c>
      <c r="X1273" t="s">
        <v>23</v>
      </c>
      <c r="Y1273" t="e">
        <f>+_xlfn.XLOOKUP(tbl_encuesta[[#This Row],[Considero a Limtek como un buen lugar para trabajar]],#REF!,#REF!)</f>
        <v>#REF!</v>
      </c>
      <c r="Z1273" t="s">
        <v>394</v>
      </c>
      <c r="AA1273" t="s">
        <v>527</v>
      </c>
      <c r="AB1273" t="s">
        <v>28</v>
      </c>
      <c r="AC1273" s="3" t="s">
        <v>3716</v>
      </c>
      <c r="AD1273" t="s">
        <v>3153</v>
      </c>
      <c r="AE1273" t="s">
        <v>29</v>
      </c>
    </row>
    <row r="1274" spans="1:31" x14ac:dyDescent="0.25">
      <c r="A1274">
        <v>119025795405</v>
      </c>
      <c r="B1274">
        <v>462598545</v>
      </c>
      <c r="C1274" s="1">
        <v>46014.60355324074</v>
      </c>
      <c r="D1274" s="1">
        <v>46014.604664351849</v>
      </c>
      <c r="E1274" t="s">
        <v>3154</v>
      </c>
      <c r="F1274" t="s">
        <v>23</v>
      </c>
      <c r="G1274" t="e">
        <f>+_xlfn.XLOOKUP(tbl_encuesta[[#This Row],[Me siento a gusto con el ambiente de trabajo que se genera en mi equipo.]],#REF!,#REF!)</f>
        <v>#REF!</v>
      </c>
      <c r="H1274" t="s">
        <v>23</v>
      </c>
      <c r="I1274" t="e">
        <f>+_xlfn.XLOOKUP(tbl_encuesta[[#This Row],[Me siento motivado a dar lo mejor de mí y hacer un buen trabajo]],#REF!,#REF!)</f>
        <v>#REF!</v>
      </c>
      <c r="J1274" t="s">
        <v>23</v>
      </c>
      <c r="K1274" t="e">
        <f>+_xlfn.XLOOKUP(tbl_encuesta[[#This Row],[Mi supervisor o jefe directo me otorga el soporte que necesito para afrontar cualquier problema que afecte mi trabajo]],#REF!,#REF!)</f>
        <v>#REF!</v>
      </c>
      <c r="L1274" t="s">
        <v>23</v>
      </c>
      <c r="M1274" t="e">
        <f>+_xlfn.XLOOKUP(tbl_encuesta[[#This Row],[Mi supervisor o jefe directo fomenta que nos apoyemos entre todos en el equipo]],#REF!,#REF!)</f>
        <v>#REF!</v>
      </c>
      <c r="N1274" t="s">
        <v>23</v>
      </c>
      <c r="O1274" t="e">
        <f>+_xlfn.XLOOKUP(tbl_encuesta[[#This Row],[Siento que mi trabajo es reconocido por mi supervisor o jefe directo.]],#REF!,#REF!)</f>
        <v>#REF!</v>
      </c>
      <c r="P1274" t="s">
        <v>31</v>
      </c>
      <c r="Q1274" t="e">
        <f xml:space="preserve">
_xlfn.XLOOKUP(
tbl_encuesta[[#This Row],[Mi supervisor o jefe directo nos brinda charlas de 5 minutos y comunica las novedades relevantes a mi puesto de trabajo]],#REF!,#REF!
)</f>
        <v>#REF!</v>
      </c>
      <c r="R1274" t="s">
        <v>17</v>
      </c>
      <c r="T1274" t="s">
        <v>19</v>
      </c>
      <c r="W1274" t="s">
        <v>25</v>
      </c>
      <c r="X1274" t="s">
        <v>23</v>
      </c>
      <c r="Y1274" t="e">
        <f>+_xlfn.XLOOKUP(tbl_encuesta[[#This Row],[Considero a Limtek como un buen lugar para trabajar]],#REF!,#REF!)</f>
        <v>#REF!</v>
      </c>
      <c r="Z1274" t="s">
        <v>3155</v>
      </c>
      <c r="AA1274" t="s">
        <v>3156</v>
      </c>
      <c r="AB1274" t="s">
        <v>65</v>
      </c>
      <c r="AC1274" t="s">
        <v>3592</v>
      </c>
      <c r="AD1274" t="s">
        <v>3157</v>
      </c>
      <c r="AE1274" t="s">
        <v>69</v>
      </c>
    </row>
    <row r="1275" spans="1:31" x14ac:dyDescent="0.25">
      <c r="A1275">
        <v>119025794892</v>
      </c>
      <c r="B1275">
        <v>462598545</v>
      </c>
      <c r="C1275" s="1">
        <v>46014.594537037039</v>
      </c>
      <c r="D1275" s="1">
        <v>46014.603888888887</v>
      </c>
      <c r="E1275" t="s">
        <v>1874</v>
      </c>
      <c r="F1275" t="s">
        <v>23</v>
      </c>
      <c r="G1275" t="e">
        <f>+_xlfn.XLOOKUP(tbl_encuesta[[#This Row],[Me siento a gusto con el ambiente de trabajo que se genera en mi equipo.]],#REF!,#REF!)</f>
        <v>#REF!</v>
      </c>
      <c r="H1275" t="s">
        <v>23</v>
      </c>
      <c r="I1275" t="e">
        <f>+_xlfn.XLOOKUP(tbl_encuesta[[#This Row],[Me siento motivado a dar lo mejor de mí y hacer un buen trabajo]],#REF!,#REF!)</f>
        <v>#REF!</v>
      </c>
      <c r="J1275" t="s">
        <v>23</v>
      </c>
      <c r="K1275" t="e">
        <f>+_xlfn.XLOOKUP(tbl_encuesta[[#This Row],[Mi supervisor o jefe directo me otorga el soporte que necesito para afrontar cualquier problema que afecte mi trabajo]],#REF!,#REF!)</f>
        <v>#REF!</v>
      </c>
      <c r="L1275" t="s">
        <v>23</v>
      </c>
      <c r="M1275" t="e">
        <f>+_xlfn.XLOOKUP(tbl_encuesta[[#This Row],[Mi supervisor o jefe directo fomenta que nos apoyemos entre todos en el equipo]],#REF!,#REF!)</f>
        <v>#REF!</v>
      </c>
      <c r="N1275" t="s">
        <v>23</v>
      </c>
      <c r="O1275" t="e">
        <f>+_xlfn.XLOOKUP(tbl_encuesta[[#This Row],[Siento que mi trabajo es reconocido por mi supervisor o jefe directo.]],#REF!,#REF!)</f>
        <v>#REF!</v>
      </c>
      <c r="P1275" t="s">
        <v>31</v>
      </c>
      <c r="Q1275" t="e">
        <f xml:space="preserve">
_xlfn.XLOOKUP(
tbl_encuesta[[#This Row],[Mi supervisor o jefe directo nos brinda charlas de 5 minutos y comunica las novedades relevantes a mi puesto de trabajo]],#REF!,#REF!
)</f>
        <v>#REF!</v>
      </c>
      <c r="R1275" t="s">
        <v>17</v>
      </c>
      <c r="S1275" t="s">
        <v>18</v>
      </c>
      <c r="W1275" t="s">
        <v>25</v>
      </c>
      <c r="X1275" t="s">
        <v>23</v>
      </c>
      <c r="Y1275" t="e">
        <f>+_xlfn.XLOOKUP(tbl_encuesta[[#This Row],[Considero a Limtek como un buen lugar para trabajar]],#REF!,#REF!)</f>
        <v>#REF!</v>
      </c>
      <c r="Z1275" t="s">
        <v>3158</v>
      </c>
      <c r="AA1275" t="s">
        <v>3159</v>
      </c>
      <c r="AB1275" t="s">
        <v>28</v>
      </c>
      <c r="AC1275" s="3" t="s">
        <v>3716</v>
      </c>
      <c r="AD1275" s="3" t="s">
        <v>3721</v>
      </c>
      <c r="AE1275" t="s">
        <v>69</v>
      </c>
    </row>
    <row r="1276" spans="1:31" x14ac:dyDescent="0.25">
      <c r="A1276">
        <v>119025794874</v>
      </c>
      <c r="B1276">
        <v>462598545</v>
      </c>
      <c r="C1276" s="1">
        <v>46014.596504629626</v>
      </c>
      <c r="D1276" s="1">
        <v>46014.603854166664</v>
      </c>
      <c r="E1276" t="s">
        <v>1874</v>
      </c>
      <c r="F1276" t="s">
        <v>23</v>
      </c>
      <c r="G1276" t="e">
        <f>+_xlfn.XLOOKUP(tbl_encuesta[[#This Row],[Me siento a gusto con el ambiente de trabajo que se genera en mi equipo.]],#REF!,#REF!)</f>
        <v>#REF!</v>
      </c>
      <c r="H1276" t="s">
        <v>23</v>
      </c>
      <c r="I1276" t="e">
        <f>+_xlfn.XLOOKUP(tbl_encuesta[[#This Row],[Me siento motivado a dar lo mejor de mí y hacer un buen trabajo]],#REF!,#REF!)</f>
        <v>#REF!</v>
      </c>
      <c r="J1276" t="s">
        <v>23</v>
      </c>
      <c r="K1276" t="e">
        <f>+_xlfn.XLOOKUP(tbl_encuesta[[#This Row],[Mi supervisor o jefe directo me otorga el soporte que necesito para afrontar cualquier problema que afecte mi trabajo]],#REF!,#REF!)</f>
        <v>#REF!</v>
      </c>
      <c r="L1276" t="s">
        <v>23</v>
      </c>
      <c r="M1276" t="e">
        <f>+_xlfn.XLOOKUP(tbl_encuesta[[#This Row],[Mi supervisor o jefe directo fomenta que nos apoyemos entre todos en el equipo]],#REF!,#REF!)</f>
        <v>#REF!</v>
      </c>
      <c r="N1276" t="s">
        <v>22</v>
      </c>
      <c r="O1276" t="e">
        <f>+_xlfn.XLOOKUP(tbl_encuesta[[#This Row],[Siento que mi trabajo es reconocido por mi supervisor o jefe directo.]],#REF!,#REF!)</f>
        <v>#REF!</v>
      </c>
      <c r="P1276" t="s">
        <v>31</v>
      </c>
      <c r="Q1276" t="e">
        <f xml:space="preserve">
_xlfn.XLOOKUP(
tbl_encuesta[[#This Row],[Mi supervisor o jefe directo nos brinda charlas de 5 minutos y comunica las novedades relevantes a mi puesto de trabajo]],#REF!,#REF!
)</f>
        <v>#REF!</v>
      </c>
      <c r="R1276" t="s">
        <v>17</v>
      </c>
      <c r="S1276" t="s">
        <v>18</v>
      </c>
      <c r="W1276" t="s">
        <v>25</v>
      </c>
      <c r="X1276" t="s">
        <v>23</v>
      </c>
      <c r="Y1276" t="e">
        <f>+_xlfn.XLOOKUP(tbl_encuesta[[#This Row],[Considero a Limtek como un buen lugar para trabajar]],#REF!,#REF!)</f>
        <v>#REF!</v>
      </c>
      <c r="Z1276" t="s">
        <v>3160</v>
      </c>
      <c r="AA1276" t="s">
        <v>3161</v>
      </c>
      <c r="AB1276" t="s">
        <v>28</v>
      </c>
      <c r="AC1276" s="3" t="s">
        <v>3716</v>
      </c>
      <c r="AD1276" s="3" t="s">
        <v>3721</v>
      </c>
      <c r="AE1276" t="s">
        <v>29</v>
      </c>
    </row>
    <row r="1277" spans="1:31" x14ac:dyDescent="0.25">
      <c r="A1277">
        <v>119025794861</v>
      </c>
      <c r="B1277">
        <v>462598545</v>
      </c>
      <c r="C1277" s="1">
        <v>46014.594004629631</v>
      </c>
      <c r="D1277" s="1">
        <v>46014.603819444441</v>
      </c>
      <c r="E1277" t="s">
        <v>3149</v>
      </c>
      <c r="F1277" t="s">
        <v>43</v>
      </c>
      <c r="G1277" t="e">
        <f>+_xlfn.XLOOKUP(tbl_encuesta[[#This Row],[Me siento a gusto con el ambiente de trabajo que se genera en mi equipo.]],#REF!,#REF!)</f>
        <v>#REF!</v>
      </c>
      <c r="H1277" t="s">
        <v>23</v>
      </c>
      <c r="I1277" t="e">
        <f>+_xlfn.XLOOKUP(tbl_encuesta[[#This Row],[Me siento motivado a dar lo mejor de mí y hacer un buen trabajo]],#REF!,#REF!)</f>
        <v>#REF!</v>
      </c>
      <c r="J1277" t="s">
        <v>22</v>
      </c>
      <c r="K1277" t="e">
        <f>+_xlfn.XLOOKUP(tbl_encuesta[[#This Row],[Mi supervisor o jefe directo me otorga el soporte que necesito para afrontar cualquier problema que afecte mi trabajo]],#REF!,#REF!)</f>
        <v>#REF!</v>
      </c>
      <c r="L1277" t="s">
        <v>23</v>
      </c>
      <c r="M1277" t="e">
        <f>+_xlfn.XLOOKUP(tbl_encuesta[[#This Row],[Mi supervisor o jefe directo fomenta que nos apoyemos entre todos en el equipo]],#REF!,#REF!)</f>
        <v>#REF!</v>
      </c>
      <c r="N1277" t="s">
        <v>22</v>
      </c>
      <c r="O1277" t="e">
        <f>+_xlfn.XLOOKUP(tbl_encuesta[[#This Row],[Siento que mi trabajo es reconocido por mi supervisor o jefe directo.]],#REF!,#REF!)</f>
        <v>#REF!</v>
      </c>
      <c r="P1277" t="s">
        <v>31</v>
      </c>
      <c r="Q1277" t="e">
        <f xml:space="preserve">
_xlfn.XLOOKUP(
tbl_encuesta[[#This Row],[Mi supervisor o jefe directo nos brinda charlas de 5 minutos y comunica las novedades relevantes a mi puesto de trabajo]],#REF!,#REF!
)</f>
        <v>#REF!</v>
      </c>
      <c r="R1277" t="s">
        <v>17</v>
      </c>
      <c r="S1277" t="s">
        <v>18</v>
      </c>
      <c r="W1277" t="s">
        <v>25</v>
      </c>
      <c r="X1277" t="s">
        <v>23</v>
      </c>
      <c r="Y1277" t="e">
        <f>+_xlfn.XLOOKUP(tbl_encuesta[[#This Row],[Considero a Limtek como un buen lugar para trabajar]],#REF!,#REF!)</f>
        <v>#REF!</v>
      </c>
      <c r="Z1277" t="s">
        <v>3162</v>
      </c>
      <c r="AA1277" t="s">
        <v>3163</v>
      </c>
      <c r="AB1277" t="s">
        <v>28</v>
      </c>
      <c r="AC1277" s="3" t="s">
        <v>3716</v>
      </c>
      <c r="AD1277" s="3" t="s">
        <v>3721</v>
      </c>
      <c r="AE1277" t="s">
        <v>29</v>
      </c>
    </row>
    <row r="1278" spans="1:31" x14ac:dyDescent="0.25">
      <c r="A1278">
        <v>119025794641</v>
      </c>
      <c r="B1278">
        <v>462598545</v>
      </c>
      <c r="C1278" s="1">
        <v>46014.600486111114</v>
      </c>
      <c r="D1278" s="1">
        <v>46014.603495370371</v>
      </c>
      <c r="E1278" t="s">
        <v>3164</v>
      </c>
      <c r="F1278" t="s">
        <v>23</v>
      </c>
      <c r="G1278" t="e">
        <f>+_xlfn.XLOOKUP(tbl_encuesta[[#This Row],[Me siento a gusto con el ambiente de trabajo que se genera en mi equipo.]],#REF!,#REF!)</f>
        <v>#REF!</v>
      </c>
      <c r="H1278" t="s">
        <v>23</v>
      </c>
      <c r="I1278" t="e">
        <f>+_xlfn.XLOOKUP(tbl_encuesta[[#This Row],[Me siento motivado a dar lo mejor de mí y hacer un buen trabajo]],#REF!,#REF!)</f>
        <v>#REF!</v>
      </c>
      <c r="J1278" t="s">
        <v>23</v>
      </c>
      <c r="K1278" t="e">
        <f>+_xlfn.XLOOKUP(tbl_encuesta[[#This Row],[Mi supervisor o jefe directo me otorga el soporte que necesito para afrontar cualquier problema que afecte mi trabajo]],#REF!,#REF!)</f>
        <v>#REF!</v>
      </c>
      <c r="L1278" t="s">
        <v>23</v>
      </c>
      <c r="M1278" t="e">
        <f>+_xlfn.XLOOKUP(tbl_encuesta[[#This Row],[Mi supervisor o jefe directo fomenta que nos apoyemos entre todos en el equipo]],#REF!,#REF!)</f>
        <v>#REF!</v>
      </c>
      <c r="N1278" t="s">
        <v>23</v>
      </c>
      <c r="O1278" t="e">
        <f>+_xlfn.XLOOKUP(tbl_encuesta[[#This Row],[Siento que mi trabajo es reconocido por mi supervisor o jefe directo.]],#REF!,#REF!)</f>
        <v>#REF!</v>
      </c>
      <c r="P1278" t="s">
        <v>31</v>
      </c>
      <c r="Q1278" t="e">
        <f xml:space="preserve">
_xlfn.XLOOKUP(
tbl_encuesta[[#This Row],[Mi supervisor o jefe directo nos brinda charlas de 5 minutos y comunica las novedades relevantes a mi puesto de trabajo]],#REF!,#REF!
)</f>
        <v>#REF!</v>
      </c>
      <c r="R1278" t="s">
        <v>17</v>
      </c>
      <c r="S1278" t="s">
        <v>18</v>
      </c>
      <c r="W1278" t="s">
        <v>25</v>
      </c>
      <c r="X1278" t="s">
        <v>23</v>
      </c>
      <c r="Y1278" t="e">
        <f>+_xlfn.XLOOKUP(tbl_encuesta[[#This Row],[Considero a Limtek como un buen lugar para trabajar]],#REF!,#REF!)</f>
        <v>#REF!</v>
      </c>
      <c r="Z1278" t="s">
        <v>3165</v>
      </c>
      <c r="AA1278" t="s">
        <v>3166</v>
      </c>
      <c r="AB1278" t="s">
        <v>28</v>
      </c>
      <c r="AC1278" s="3" t="s">
        <v>3716</v>
      </c>
      <c r="AD1278" s="3" t="s">
        <v>3721</v>
      </c>
      <c r="AE1278" t="s">
        <v>69</v>
      </c>
    </row>
    <row r="1279" spans="1:31" x14ac:dyDescent="0.25">
      <c r="A1279">
        <v>119025793103</v>
      </c>
      <c r="B1279">
        <v>462598545</v>
      </c>
      <c r="C1279" s="1">
        <v>46014.595497685186</v>
      </c>
      <c r="D1279" s="1">
        <v>46014.601053240738</v>
      </c>
      <c r="E1279" t="s">
        <v>3167</v>
      </c>
      <c r="F1279" t="s">
        <v>23</v>
      </c>
      <c r="G1279" t="e">
        <f>+_xlfn.XLOOKUP(tbl_encuesta[[#This Row],[Me siento a gusto con el ambiente de trabajo que se genera en mi equipo.]],#REF!,#REF!)</f>
        <v>#REF!</v>
      </c>
      <c r="H1279" t="s">
        <v>23</v>
      </c>
      <c r="I1279" t="e">
        <f>+_xlfn.XLOOKUP(tbl_encuesta[[#This Row],[Me siento motivado a dar lo mejor de mí y hacer un buen trabajo]],#REF!,#REF!)</f>
        <v>#REF!</v>
      </c>
      <c r="J1279" t="s">
        <v>23</v>
      </c>
      <c r="K1279" t="e">
        <f>+_xlfn.XLOOKUP(tbl_encuesta[[#This Row],[Mi supervisor o jefe directo me otorga el soporte que necesito para afrontar cualquier problema que afecte mi trabajo]],#REF!,#REF!)</f>
        <v>#REF!</v>
      </c>
      <c r="L1279" t="s">
        <v>23</v>
      </c>
      <c r="M1279" t="e">
        <f>+_xlfn.XLOOKUP(tbl_encuesta[[#This Row],[Mi supervisor o jefe directo fomenta que nos apoyemos entre todos en el equipo]],#REF!,#REF!)</f>
        <v>#REF!</v>
      </c>
      <c r="N1279" t="s">
        <v>23</v>
      </c>
      <c r="O1279" t="e">
        <f>+_xlfn.XLOOKUP(tbl_encuesta[[#This Row],[Siento que mi trabajo es reconocido por mi supervisor o jefe directo.]],#REF!,#REF!)</f>
        <v>#REF!</v>
      </c>
      <c r="P1279" t="s">
        <v>31</v>
      </c>
      <c r="Q1279" t="e">
        <f xml:space="preserve">
_xlfn.XLOOKUP(
tbl_encuesta[[#This Row],[Mi supervisor o jefe directo nos brinda charlas de 5 minutos y comunica las novedades relevantes a mi puesto de trabajo]],#REF!,#REF!
)</f>
        <v>#REF!</v>
      </c>
      <c r="R1279" t="s">
        <v>17</v>
      </c>
      <c r="T1279" t="s">
        <v>19</v>
      </c>
      <c r="W1279" t="s">
        <v>25</v>
      </c>
      <c r="X1279" t="s">
        <v>23</v>
      </c>
      <c r="Y1279" t="e">
        <f>+_xlfn.XLOOKUP(tbl_encuesta[[#This Row],[Considero a Limtek como un buen lugar para trabajar]],#REF!,#REF!)</f>
        <v>#REF!</v>
      </c>
      <c r="Z1279" t="s">
        <v>3168</v>
      </c>
      <c r="AA1279" t="s">
        <v>122</v>
      </c>
      <c r="AB1279" t="s">
        <v>28</v>
      </c>
      <c r="AC1279" s="3" t="s">
        <v>3815</v>
      </c>
      <c r="AD1279" s="3" t="s">
        <v>3816</v>
      </c>
      <c r="AE1279" t="s">
        <v>34</v>
      </c>
    </row>
    <row r="1280" spans="1:31" x14ac:dyDescent="0.25">
      <c r="A1280">
        <v>119025792222</v>
      </c>
      <c r="B1280">
        <v>462598545</v>
      </c>
      <c r="C1280" s="1">
        <v>46014.583460648151</v>
      </c>
      <c r="D1280" s="1">
        <v>46014.599710648145</v>
      </c>
      <c r="E1280" t="s">
        <v>3154</v>
      </c>
      <c r="F1280" t="s">
        <v>23</v>
      </c>
      <c r="G1280" t="e">
        <f>+_xlfn.XLOOKUP(tbl_encuesta[[#This Row],[Me siento a gusto con el ambiente de trabajo que se genera en mi equipo.]],#REF!,#REF!)</f>
        <v>#REF!</v>
      </c>
      <c r="H1280" t="s">
        <v>23</v>
      </c>
      <c r="I1280" t="e">
        <f>+_xlfn.XLOOKUP(tbl_encuesta[[#This Row],[Me siento motivado a dar lo mejor de mí y hacer un buen trabajo]],#REF!,#REF!)</f>
        <v>#REF!</v>
      </c>
      <c r="J1280" t="s">
        <v>23</v>
      </c>
      <c r="K1280" t="e">
        <f>+_xlfn.XLOOKUP(tbl_encuesta[[#This Row],[Mi supervisor o jefe directo me otorga el soporte que necesito para afrontar cualquier problema que afecte mi trabajo]],#REF!,#REF!)</f>
        <v>#REF!</v>
      </c>
      <c r="L1280" t="s">
        <v>23</v>
      </c>
      <c r="M1280" t="e">
        <f>+_xlfn.XLOOKUP(tbl_encuesta[[#This Row],[Mi supervisor o jefe directo fomenta que nos apoyemos entre todos en el equipo]],#REF!,#REF!)</f>
        <v>#REF!</v>
      </c>
      <c r="N1280" t="s">
        <v>23</v>
      </c>
      <c r="O1280" t="e">
        <f>+_xlfn.XLOOKUP(tbl_encuesta[[#This Row],[Siento que mi trabajo es reconocido por mi supervisor o jefe directo.]],#REF!,#REF!)</f>
        <v>#REF!</v>
      </c>
      <c r="P1280" t="s">
        <v>31</v>
      </c>
      <c r="Q1280" t="e">
        <f xml:space="preserve">
_xlfn.XLOOKUP(
tbl_encuesta[[#This Row],[Mi supervisor o jefe directo nos brinda charlas de 5 minutos y comunica las novedades relevantes a mi puesto de trabajo]],#REF!,#REF!
)</f>
        <v>#REF!</v>
      </c>
      <c r="R1280" t="s">
        <v>17</v>
      </c>
      <c r="T1280" t="s">
        <v>19</v>
      </c>
      <c r="W1280" t="s">
        <v>25</v>
      </c>
      <c r="X1280" t="s">
        <v>23</v>
      </c>
      <c r="Y1280" t="e">
        <f>+_xlfn.XLOOKUP(tbl_encuesta[[#This Row],[Considero a Limtek como un buen lugar para trabajar]],#REF!,#REF!)</f>
        <v>#REF!</v>
      </c>
      <c r="Z1280" t="s">
        <v>3155</v>
      </c>
      <c r="AA1280" t="s">
        <v>3156</v>
      </c>
      <c r="AB1280" t="s">
        <v>65</v>
      </c>
      <c r="AC1280" t="s">
        <v>3592</v>
      </c>
      <c r="AD1280" t="s">
        <v>3157</v>
      </c>
      <c r="AE1280" t="s">
        <v>69</v>
      </c>
    </row>
    <row r="1281" spans="1:31" x14ac:dyDescent="0.25">
      <c r="A1281">
        <v>119025791790</v>
      </c>
      <c r="B1281">
        <v>462598545</v>
      </c>
      <c r="C1281" s="1">
        <v>46014.5934837963</v>
      </c>
      <c r="D1281" s="1">
        <v>46014.598993055559</v>
      </c>
      <c r="E1281" t="s">
        <v>3169</v>
      </c>
      <c r="F1281" t="s">
        <v>43</v>
      </c>
      <c r="G1281" t="e">
        <f>+_xlfn.XLOOKUP(tbl_encuesta[[#This Row],[Me siento a gusto con el ambiente de trabajo que se genera en mi equipo.]],#REF!,#REF!)</f>
        <v>#REF!</v>
      </c>
      <c r="H1281" t="s">
        <v>43</v>
      </c>
      <c r="I1281" t="e">
        <f>+_xlfn.XLOOKUP(tbl_encuesta[[#This Row],[Me siento motivado a dar lo mejor de mí y hacer un buen trabajo]],#REF!,#REF!)</f>
        <v>#REF!</v>
      </c>
      <c r="J1281" t="s">
        <v>43</v>
      </c>
      <c r="K1281" t="e">
        <f>+_xlfn.XLOOKUP(tbl_encuesta[[#This Row],[Mi supervisor o jefe directo me otorga el soporte que necesito para afrontar cualquier problema que afecte mi trabajo]],#REF!,#REF!)</f>
        <v>#REF!</v>
      </c>
      <c r="L1281" t="s">
        <v>97</v>
      </c>
      <c r="M1281" t="e">
        <f>+_xlfn.XLOOKUP(tbl_encuesta[[#This Row],[Mi supervisor o jefe directo fomenta que nos apoyemos entre todos en el equipo]],#REF!,#REF!)</f>
        <v>#REF!</v>
      </c>
      <c r="N1281" t="s">
        <v>43</v>
      </c>
      <c r="O1281" t="e">
        <f>+_xlfn.XLOOKUP(tbl_encuesta[[#This Row],[Siento que mi trabajo es reconocido por mi supervisor o jefe directo.]],#REF!,#REF!)</f>
        <v>#REF!</v>
      </c>
      <c r="P1281" t="s">
        <v>31</v>
      </c>
      <c r="Q1281" t="e">
        <f xml:space="preserve">
_xlfn.XLOOKUP(
tbl_encuesta[[#This Row],[Mi supervisor o jefe directo nos brinda charlas de 5 minutos y comunica las novedades relevantes a mi puesto de trabajo]],#REF!,#REF!
)</f>
        <v>#REF!</v>
      </c>
      <c r="R1281" t="s">
        <v>17</v>
      </c>
      <c r="U1281" t="s">
        <v>20</v>
      </c>
      <c r="W1281" t="s">
        <v>25</v>
      </c>
      <c r="X1281" t="s">
        <v>43</v>
      </c>
      <c r="Y1281" t="e">
        <f>+_xlfn.XLOOKUP(tbl_encuesta[[#This Row],[Considero a Limtek como un buen lugar para trabajar]],#REF!,#REF!)</f>
        <v>#REF!</v>
      </c>
      <c r="Z1281" t="s">
        <v>1783</v>
      </c>
      <c r="AA1281" t="s">
        <v>3170</v>
      </c>
      <c r="AB1281" t="s">
        <v>28</v>
      </c>
      <c r="AC1281" s="3" t="s">
        <v>3752</v>
      </c>
      <c r="AD1281" s="3" t="s">
        <v>3752</v>
      </c>
      <c r="AE1281" t="s">
        <v>34</v>
      </c>
    </row>
    <row r="1282" spans="1:31" x14ac:dyDescent="0.25">
      <c r="A1282">
        <v>119025790852</v>
      </c>
      <c r="B1282">
        <v>462598545</v>
      </c>
      <c r="C1282" s="1">
        <v>46014.592905092592</v>
      </c>
      <c r="D1282" s="1">
        <v>46014.597569444442</v>
      </c>
      <c r="E1282" t="s">
        <v>1829</v>
      </c>
      <c r="F1282" t="s">
        <v>23</v>
      </c>
      <c r="G1282" t="e">
        <f>+_xlfn.XLOOKUP(tbl_encuesta[[#This Row],[Me siento a gusto con el ambiente de trabajo que se genera en mi equipo.]],#REF!,#REF!)</f>
        <v>#REF!</v>
      </c>
      <c r="H1282" t="s">
        <v>23</v>
      </c>
      <c r="I1282" t="e">
        <f>+_xlfn.XLOOKUP(tbl_encuesta[[#This Row],[Me siento motivado a dar lo mejor de mí y hacer un buen trabajo]],#REF!,#REF!)</f>
        <v>#REF!</v>
      </c>
      <c r="J1282" t="s">
        <v>23</v>
      </c>
      <c r="K1282" t="e">
        <f>+_xlfn.XLOOKUP(tbl_encuesta[[#This Row],[Mi supervisor o jefe directo me otorga el soporte que necesito para afrontar cualquier problema que afecte mi trabajo]],#REF!,#REF!)</f>
        <v>#REF!</v>
      </c>
      <c r="L1282" t="s">
        <v>23</v>
      </c>
      <c r="M1282" t="e">
        <f>+_xlfn.XLOOKUP(tbl_encuesta[[#This Row],[Mi supervisor o jefe directo fomenta que nos apoyemos entre todos en el equipo]],#REF!,#REF!)</f>
        <v>#REF!</v>
      </c>
      <c r="N1282" t="s">
        <v>23</v>
      </c>
      <c r="O1282" t="e">
        <f>+_xlfn.XLOOKUP(tbl_encuesta[[#This Row],[Siento que mi trabajo es reconocido por mi supervisor o jefe directo.]],#REF!,#REF!)</f>
        <v>#REF!</v>
      </c>
      <c r="P1282" t="s">
        <v>31</v>
      </c>
      <c r="Q1282" t="e">
        <f xml:space="preserve">
_xlfn.XLOOKUP(
tbl_encuesta[[#This Row],[Mi supervisor o jefe directo nos brinda charlas de 5 minutos y comunica las novedades relevantes a mi puesto de trabajo]],#REF!,#REF!
)</f>
        <v>#REF!</v>
      </c>
      <c r="R1282" t="s">
        <v>17</v>
      </c>
      <c r="U1282" t="s">
        <v>20</v>
      </c>
      <c r="W1282" t="s">
        <v>25</v>
      </c>
      <c r="X1282" t="s">
        <v>23</v>
      </c>
      <c r="Y1282" t="e">
        <f>+_xlfn.XLOOKUP(tbl_encuesta[[#This Row],[Considero a Limtek como un buen lugar para trabajar]],#REF!,#REF!)</f>
        <v>#REF!</v>
      </c>
      <c r="Z1282" t="s">
        <v>332</v>
      </c>
      <c r="AA1282" t="s">
        <v>3171</v>
      </c>
      <c r="AB1282" t="s">
        <v>28</v>
      </c>
      <c r="AC1282" s="3" t="s">
        <v>3716</v>
      </c>
      <c r="AD1282" s="3" t="s">
        <v>3721</v>
      </c>
      <c r="AE1282" t="s">
        <v>34</v>
      </c>
    </row>
    <row r="1283" spans="1:31" x14ac:dyDescent="0.25">
      <c r="A1283">
        <v>119025789882</v>
      </c>
      <c r="B1283">
        <v>462598545</v>
      </c>
      <c r="C1283" s="1">
        <v>46014.585289351853</v>
      </c>
      <c r="D1283" s="1">
        <v>46014.595983796295</v>
      </c>
      <c r="E1283" t="s">
        <v>3172</v>
      </c>
      <c r="F1283" t="s">
        <v>23</v>
      </c>
      <c r="G1283" t="e">
        <f>+_xlfn.XLOOKUP(tbl_encuesta[[#This Row],[Me siento a gusto con el ambiente de trabajo que se genera en mi equipo.]],#REF!,#REF!)</f>
        <v>#REF!</v>
      </c>
      <c r="H1283" t="s">
        <v>23</v>
      </c>
      <c r="I1283" t="e">
        <f>+_xlfn.XLOOKUP(tbl_encuesta[[#This Row],[Me siento motivado a dar lo mejor de mí y hacer un buen trabajo]],#REF!,#REF!)</f>
        <v>#REF!</v>
      </c>
      <c r="J1283" t="s">
        <v>23</v>
      </c>
      <c r="K1283" t="e">
        <f>+_xlfn.XLOOKUP(tbl_encuesta[[#This Row],[Mi supervisor o jefe directo me otorga el soporte que necesito para afrontar cualquier problema que afecte mi trabajo]],#REF!,#REF!)</f>
        <v>#REF!</v>
      </c>
      <c r="L1283" t="s">
        <v>23</v>
      </c>
      <c r="M1283" t="e">
        <f>+_xlfn.XLOOKUP(tbl_encuesta[[#This Row],[Mi supervisor o jefe directo fomenta que nos apoyemos entre todos en el equipo]],#REF!,#REF!)</f>
        <v>#REF!</v>
      </c>
      <c r="N1283" t="s">
        <v>23</v>
      </c>
      <c r="O1283" t="e">
        <f>+_xlfn.XLOOKUP(tbl_encuesta[[#This Row],[Siento que mi trabajo es reconocido por mi supervisor o jefe directo.]],#REF!,#REF!)</f>
        <v>#REF!</v>
      </c>
      <c r="P1283" t="s">
        <v>31</v>
      </c>
      <c r="Q1283" t="e">
        <f xml:space="preserve">
_xlfn.XLOOKUP(
tbl_encuesta[[#This Row],[Mi supervisor o jefe directo nos brinda charlas de 5 minutos y comunica las novedades relevantes a mi puesto de trabajo]],#REF!,#REF!
)</f>
        <v>#REF!</v>
      </c>
      <c r="R1283" t="s">
        <v>17</v>
      </c>
      <c r="U1283" t="s">
        <v>20</v>
      </c>
      <c r="W1283" t="s">
        <v>25</v>
      </c>
      <c r="X1283" t="s">
        <v>23</v>
      </c>
      <c r="Y1283" t="e">
        <f>+_xlfn.XLOOKUP(tbl_encuesta[[#This Row],[Considero a Limtek como un buen lugar para trabajar]],#REF!,#REF!)</f>
        <v>#REF!</v>
      </c>
      <c r="Z1283" t="s">
        <v>3173</v>
      </c>
      <c r="AA1283" t="s">
        <v>3174</v>
      </c>
      <c r="AB1283" t="s">
        <v>28</v>
      </c>
      <c r="AC1283" s="3" t="s">
        <v>3716</v>
      </c>
      <c r="AD1283" s="3" t="s">
        <v>3717</v>
      </c>
      <c r="AE1283" t="s">
        <v>29</v>
      </c>
    </row>
    <row r="1284" spans="1:31" x14ac:dyDescent="0.25">
      <c r="A1284">
        <v>119025789591</v>
      </c>
      <c r="B1284">
        <v>462598545</v>
      </c>
      <c r="C1284" s="1">
        <v>46014.594131944446</v>
      </c>
      <c r="D1284" s="1">
        <v>46014.595555555556</v>
      </c>
      <c r="E1284" t="s">
        <v>1842</v>
      </c>
      <c r="F1284" t="s">
        <v>23</v>
      </c>
      <c r="G1284" t="e">
        <f>+_xlfn.XLOOKUP(tbl_encuesta[[#This Row],[Me siento a gusto con el ambiente de trabajo que se genera en mi equipo.]],#REF!,#REF!)</f>
        <v>#REF!</v>
      </c>
      <c r="H1284" t="s">
        <v>23</v>
      </c>
      <c r="I1284" t="e">
        <f>+_xlfn.XLOOKUP(tbl_encuesta[[#This Row],[Me siento motivado a dar lo mejor de mí y hacer un buen trabajo]],#REF!,#REF!)</f>
        <v>#REF!</v>
      </c>
      <c r="J1284" t="s">
        <v>23</v>
      </c>
      <c r="K1284" t="e">
        <f>+_xlfn.XLOOKUP(tbl_encuesta[[#This Row],[Mi supervisor o jefe directo me otorga el soporte que necesito para afrontar cualquier problema que afecte mi trabajo]],#REF!,#REF!)</f>
        <v>#REF!</v>
      </c>
      <c r="L1284" t="s">
        <v>23</v>
      </c>
      <c r="M1284" t="e">
        <f>+_xlfn.XLOOKUP(tbl_encuesta[[#This Row],[Mi supervisor o jefe directo fomenta que nos apoyemos entre todos en el equipo]],#REF!,#REF!)</f>
        <v>#REF!</v>
      </c>
      <c r="N1284" t="s">
        <v>23</v>
      </c>
      <c r="O1284" t="e">
        <f>+_xlfn.XLOOKUP(tbl_encuesta[[#This Row],[Siento que mi trabajo es reconocido por mi supervisor o jefe directo.]],#REF!,#REF!)</f>
        <v>#REF!</v>
      </c>
      <c r="P1284" t="s">
        <v>67</v>
      </c>
      <c r="Q1284" t="e">
        <f xml:space="preserve">
_xlfn.XLOOKUP(
tbl_encuesta[[#This Row],[Mi supervisor o jefe directo nos brinda charlas de 5 minutos y comunica las novedades relevantes a mi puesto de trabajo]],#REF!,#REF!
)</f>
        <v>#REF!</v>
      </c>
      <c r="R1284" t="s">
        <v>17</v>
      </c>
      <c r="S1284" t="s">
        <v>18</v>
      </c>
      <c r="W1284" t="s">
        <v>25</v>
      </c>
      <c r="X1284" t="s">
        <v>22</v>
      </c>
      <c r="Y1284" t="e">
        <f>+_xlfn.XLOOKUP(tbl_encuesta[[#This Row],[Considero a Limtek como un buen lugar para trabajar]],#REF!,#REF!)</f>
        <v>#REF!</v>
      </c>
      <c r="Z1284" t="s">
        <v>638</v>
      </c>
      <c r="AA1284" t="s">
        <v>3175</v>
      </c>
      <c r="AB1284" t="s">
        <v>28</v>
      </c>
      <c r="AC1284" s="3" t="s">
        <v>3716</v>
      </c>
      <c r="AD1284" s="3" t="s">
        <v>3721</v>
      </c>
      <c r="AE1284" t="s">
        <v>29</v>
      </c>
    </row>
    <row r="1285" spans="1:31" x14ac:dyDescent="0.25">
      <c r="A1285">
        <v>119025789555</v>
      </c>
      <c r="B1285">
        <v>462598545</v>
      </c>
      <c r="C1285" s="1">
        <v>46014.59171296296</v>
      </c>
      <c r="D1285" s="1">
        <v>46014.595497685186</v>
      </c>
      <c r="E1285" t="s">
        <v>3176</v>
      </c>
      <c r="F1285" t="s">
        <v>22</v>
      </c>
      <c r="G1285" t="e">
        <f>+_xlfn.XLOOKUP(tbl_encuesta[[#This Row],[Me siento a gusto con el ambiente de trabajo que se genera en mi equipo.]],#REF!,#REF!)</f>
        <v>#REF!</v>
      </c>
      <c r="H1285" t="s">
        <v>23</v>
      </c>
      <c r="I1285" t="e">
        <f>+_xlfn.XLOOKUP(tbl_encuesta[[#This Row],[Me siento motivado a dar lo mejor de mí y hacer un buen trabajo]],#REF!,#REF!)</f>
        <v>#REF!</v>
      </c>
      <c r="J1285" t="s">
        <v>23</v>
      </c>
      <c r="K1285" t="e">
        <f>+_xlfn.XLOOKUP(tbl_encuesta[[#This Row],[Mi supervisor o jefe directo me otorga el soporte que necesito para afrontar cualquier problema que afecte mi trabajo]],#REF!,#REF!)</f>
        <v>#REF!</v>
      </c>
      <c r="L1285" t="s">
        <v>23</v>
      </c>
      <c r="M1285" t="e">
        <f>+_xlfn.XLOOKUP(tbl_encuesta[[#This Row],[Mi supervisor o jefe directo fomenta que nos apoyemos entre todos en el equipo]],#REF!,#REF!)</f>
        <v>#REF!</v>
      </c>
      <c r="N1285" t="s">
        <v>23</v>
      </c>
      <c r="O1285" t="e">
        <f>+_xlfn.XLOOKUP(tbl_encuesta[[#This Row],[Siento que mi trabajo es reconocido por mi supervisor o jefe directo.]],#REF!,#REF!)</f>
        <v>#REF!</v>
      </c>
      <c r="P1285" t="s">
        <v>67</v>
      </c>
      <c r="Q1285" t="e">
        <f xml:space="preserve">
_xlfn.XLOOKUP(
tbl_encuesta[[#This Row],[Mi supervisor o jefe directo nos brinda charlas de 5 minutos y comunica las novedades relevantes a mi puesto de trabajo]],#REF!,#REF!
)</f>
        <v>#REF!</v>
      </c>
      <c r="R1285" t="s">
        <v>17</v>
      </c>
      <c r="S1285" t="s">
        <v>18</v>
      </c>
      <c r="W1285" t="s">
        <v>25</v>
      </c>
      <c r="X1285" t="s">
        <v>23</v>
      </c>
      <c r="Y1285" t="e">
        <f>+_xlfn.XLOOKUP(tbl_encuesta[[#This Row],[Considero a Limtek como un buen lugar para trabajar]],#REF!,#REF!)</f>
        <v>#REF!</v>
      </c>
      <c r="Z1285" t="s">
        <v>3177</v>
      </c>
      <c r="AA1285" t="s">
        <v>3178</v>
      </c>
      <c r="AB1285" t="s">
        <v>28</v>
      </c>
      <c r="AC1285" s="3" t="s">
        <v>3716</v>
      </c>
      <c r="AD1285" s="3" t="s">
        <v>3725</v>
      </c>
      <c r="AE1285" t="s">
        <v>29</v>
      </c>
    </row>
    <row r="1286" spans="1:31" x14ac:dyDescent="0.25">
      <c r="A1286">
        <v>119025787780</v>
      </c>
      <c r="B1286">
        <v>462598545</v>
      </c>
      <c r="C1286" s="1">
        <v>46014.587118055555</v>
      </c>
      <c r="D1286" s="1">
        <v>46014.592743055553</v>
      </c>
      <c r="E1286" t="s">
        <v>3179</v>
      </c>
      <c r="F1286" t="s">
        <v>43</v>
      </c>
      <c r="G1286" t="e">
        <f>+_xlfn.XLOOKUP(tbl_encuesta[[#This Row],[Me siento a gusto con el ambiente de trabajo que se genera en mi equipo.]],#REF!,#REF!)</f>
        <v>#REF!</v>
      </c>
      <c r="H1286" t="s">
        <v>22</v>
      </c>
      <c r="I1286" t="e">
        <f>+_xlfn.XLOOKUP(tbl_encuesta[[#This Row],[Me siento motivado a dar lo mejor de mí y hacer un buen trabajo]],#REF!,#REF!)</f>
        <v>#REF!</v>
      </c>
      <c r="J1286" t="s">
        <v>97</v>
      </c>
      <c r="K1286" t="e">
        <f>+_xlfn.XLOOKUP(tbl_encuesta[[#This Row],[Mi supervisor o jefe directo me otorga el soporte que necesito para afrontar cualquier problema que afecte mi trabajo]],#REF!,#REF!)</f>
        <v>#REF!</v>
      </c>
      <c r="L1286" t="s">
        <v>97</v>
      </c>
      <c r="M1286" t="e">
        <f>+_xlfn.XLOOKUP(tbl_encuesta[[#This Row],[Mi supervisor o jefe directo fomenta que nos apoyemos entre todos en el equipo]],#REF!,#REF!)</f>
        <v>#REF!</v>
      </c>
      <c r="N1286" t="s">
        <v>43</v>
      </c>
      <c r="O1286" t="e">
        <f>+_xlfn.XLOOKUP(tbl_encuesta[[#This Row],[Siento que mi trabajo es reconocido por mi supervisor o jefe directo.]],#REF!,#REF!)</f>
        <v>#REF!</v>
      </c>
      <c r="P1286" t="s">
        <v>67</v>
      </c>
      <c r="Q1286" t="e">
        <f xml:space="preserve">
_xlfn.XLOOKUP(
tbl_encuesta[[#This Row],[Mi supervisor o jefe directo nos brinda charlas de 5 minutos y comunica las novedades relevantes a mi puesto de trabajo]],#REF!,#REF!
)</f>
        <v>#REF!</v>
      </c>
      <c r="R1286" t="s">
        <v>17</v>
      </c>
      <c r="T1286" t="s">
        <v>19</v>
      </c>
      <c r="W1286" t="s">
        <v>25</v>
      </c>
      <c r="X1286" t="s">
        <v>22</v>
      </c>
      <c r="Y1286" t="e">
        <f>+_xlfn.XLOOKUP(tbl_encuesta[[#This Row],[Considero a Limtek como un buen lugar para trabajar]],#REF!,#REF!)</f>
        <v>#REF!</v>
      </c>
      <c r="Z1286" t="s">
        <v>1725</v>
      </c>
      <c r="AA1286" t="s">
        <v>3180</v>
      </c>
      <c r="AB1286" t="s">
        <v>28</v>
      </c>
      <c r="AC1286" s="3" t="s">
        <v>3752</v>
      </c>
      <c r="AD1286" s="3" t="s">
        <v>3752</v>
      </c>
      <c r="AE1286" t="s">
        <v>34</v>
      </c>
    </row>
    <row r="1287" spans="1:31" x14ac:dyDescent="0.25">
      <c r="A1287">
        <v>119025787357</v>
      </c>
      <c r="B1287">
        <v>462598545</v>
      </c>
      <c r="C1287" s="1">
        <v>46014.58971064815</v>
      </c>
      <c r="D1287" s="1">
        <v>46014.592129629629</v>
      </c>
      <c r="E1287" t="s">
        <v>3181</v>
      </c>
      <c r="F1287" t="s">
        <v>23</v>
      </c>
      <c r="G1287" t="e">
        <f>+_xlfn.XLOOKUP(tbl_encuesta[[#This Row],[Me siento a gusto con el ambiente de trabajo que se genera en mi equipo.]],#REF!,#REF!)</f>
        <v>#REF!</v>
      </c>
      <c r="H1287" t="s">
        <v>23</v>
      </c>
      <c r="I1287" t="e">
        <f>+_xlfn.XLOOKUP(tbl_encuesta[[#This Row],[Me siento motivado a dar lo mejor de mí y hacer un buen trabajo]],#REF!,#REF!)</f>
        <v>#REF!</v>
      </c>
      <c r="J1287" t="s">
        <v>23</v>
      </c>
      <c r="K1287" t="e">
        <f>+_xlfn.XLOOKUP(tbl_encuesta[[#This Row],[Mi supervisor o jefe directo me otorga el soporte que necesito para afrontar cualquier problema que afecte mi trabajo]],#REF!,#REF!)</f>
        <v>#REF!</v>
      </c>
      <c r="L1287" t="s">
        <v>23</v>
      </c>
      <c r="M1287" t="e">
        <f>+_xlfn.XLOOKUP(tbl_encuesta[[#This Row],[Mi supervisor o jefe directo fomenta que nos apoyemos entre todos en el equipo]],#REF!,#REF!)</f>
        <v>#REF!</v>
      </c>
      <c r="N1287" t="s">
        <v>23</v>
      </c>
      <c r="O1287" t="e">
        <f>+_xlfn.XLOOKUP(tbl_encuesta[[#This Row],[Siento que mi trabajo es reconocido por mi supervisor o jefe directo.]],#REF!,#REF!)</f>
        <v>#REF!</v>
      </c>
      <c r="P1287" t="s">
        <v>31</v>
      </c>
      <c r="Q1287" t="e">
        <f xml:space="preserve">
_xlfn.XLOOKUP(
tbl_encuesta[[#This Row],[Mi supervisor o jefe directo nos brinda charlas de 5 minutos y comunica las novedades relevantes a mi puesto de trabajo]],#REF!,#REF!
)</f>
        <v>#REF!</v>
      </c>
      <c r="R1287" t="s">
        <v>17</v>
      </c>
      <c r="S1287" t="s">
        <v>18</v>
      </c>
      <c r="W1287" t="s">
        <v>25</v>
      </c>
      <c r="X1287" t="s">
        <v>23</v>
      </c>
      <c r="Y1287" t="e">
        <f>+_xlfn.XLOOKUP(tbl_encuesta[[#This Row],[Considero a Limtek como un buen lugar para trabajar]],#REF!,#REF!)</f>
        <v>#REF!</v>
      </c>
      <c r="Z1287" t="s">
        <v>3182</v>
      </c>
      <c r="AA1287" t="s">
        <v>3183</v>
      </c>
      <c r="AB1287" t="s">
        <v>28</v>
      </c>
      <c r="AC1287" s="3" t="s">
        <v>3716</v>
      </c>
      <c r="AD1287" s="3" t="s">
        <v>3721</v>
      </c>
      <c r="AE1287" t="s">
        <v>29</v>
      </c>
    </row>
    <row r="1288" spans="1:31" x14ac:dyDescent="0.25">
      <c r="A1288">
        <v>119025786905</v>
      </c>
      <c r="B1288">
        <v>462598545</v>
      </c>
      <c r="C1288" s="1">
        <v>46014.586469907408</v>
      </c>
      <c r="D1288" s="1">
        <v>46014.591435185182</v>
      </c>
      <c r="E1288" t="s">
        <v>1829</v>
      </c>
      <c r="F1288" t="s">
        <v>23</v>
      </c>
      <c r="G1288" t="e">
        <f>+_xlfn.XLOOKUP(tbl_encuesta[[#This Row],[Me siento a gusto con el ambiente de trabajo que se genera en mi equipo.]],#REF!,#REF!)</f>
        <v>#REF!</v>
      </c>
      <c r="H1288" t="s">
        <v>23</v>
      </c>
      <c r="I1288" t="e">
        <f>+_xlfn.XLOOKUP(tbl_encuesta[[#This Row],[Me siento motivado a dar lo mejor de mí y hacer un buen trabajo]],#REF!,#REF!)</f>
        <v>#REF!</v>
      </c>
      <c r="J1288" t="s">
        <v>23</v>
      </c>
      <c r="K1288" t="e">
        <f>+_xlfn.XLOOKUP(tbl_encuesta[[#This Row],[Mi supervisor o jefe directo me otorga el soporte que necesito para afrontar cualquier problema que afecte mi trabajo]],#REF!,#REF!)</f>
        <v>#REF!</v>
      </c>
      <c r="L1288" t="s">
        <v>23</v>
      </c>
      <c r="M1288" t="e">
        <f>+_xlfn.XLOOKUP(tbl_encuesta[[#This Row],[Mi supervisor o jefe directo fomenta que nos apoyemos entre todos en el equipo]],#REF!,#REF!)</f>
        <v>#REF!</v>
      </c>
      <c r="N1288" t="s">
        <v>23</v>
      </c>
      <c r="O1288" t="e">
        <f>+_xlfn.XLOOKUP(tbl_encuesta[[#This Row],[Siento que mi trabajo es reconocido por mi supervisor o jefe directo.]],#REF!,#REF!)</f>
        <v>#REF!</v>
      </c>
      <c r="P1288" t="s">
        <v>31</v>
      </c>
      <c r="Q1288" t="e">
        <f xml:space="preserve">
_xlfn.XLOOKUP(
tbl_encuesta[[#This Row],[Mi supervisor o jefe directo nos brinda charlas de 5 minutos y comunica las novedades relevantes a mi puesto de trabajo]],#REF!,#REF!
)</f>
        <v>#REF!</v>
      </c>
      <c r="S1288" t="s">
        <v>18</v>
      </c>
      <c r="U1288" t="s">
        <v>20</v>
      </c>
      <c r="W1288" t="s">
        <v>25</v>
      </c>
      <c r="X1288" t="s">
        <v>23</v>
      </c>
      <c r="Y1288" t="e">
        <f>+_xlfn.XLOOKUP(tbl_encuesta[[#This Row],[Considero a Limtek como un buen lugar para trabajar]],#REF!,#REF!)</f>
        <v>#REF!</v>
      </c>
      <c r="Z1288" t="s">
        <v>576</v>
      </c>
      <c r="AA1288" t="s">
        <v>3184</v>
      </c>
      <c r="AB1288" t="s">
        <v>28</v>
      </c>
      <c r="AC1288" s="3" t="s">
        <v>3716</v>
      </c>
      <c r="AD1288" s="3" t="s">
        <v>3717</v>
      </c>
      <c r="AE1288" t="s">
        <v>29</v>
      </c>
    </row>
    <row r="1289" spans="1:31" x14ac:dyDescent="0.25">
      <c r="A1289">
        <v>119025786477</v>
      </c>
      <c r="B1289">
        <v>462598545</v>
      </c>
      <c r="C1289" s="1">
        <v>46014.586793981478</v>
      </c>
      <c r="D1289" s="1">
        <v>46014.590763888889</v>
      </c>
      <c r="E1289" t="s">
        <v>3185</v>
      </c>
      <c r="F1289" t="s">
        <v>23</v>
      </c>
      <c r="G1289" t="e">
        <f>+_xlfn.XLOOKUP(tbl_encuesta[[#This Row],[Me siento a gusto con el ambiente de trabajo que se genera en mi equipo.]],#REF!,#REF!)</f>
        <v>#REF!</v>
      </c>
      <c r="H1289" t="s">
        <v>23</v>
      </c>
      <c r="I1289" t="e">
        <f>+_xlfn.XLOOKUP(tbl_encuesta[[#This Row],[Me siento motivado a dar lo mejor de mí y hacer un buen trabajo]],#REF!,#REF!)</f>
        <v>#REF!</v>
      </c>
      <c r="J1289" t="s">
        <v>22</v>
      </c>
      <c r="K1289" t="e">
        <f>+_xlfn.XLOOKUP(tbl_encuesta[[#This Row],[Mi supervisor o jefe directo me otorga el soporte que necesito para afrontar cualquier problema que afecte mi trabajo]],#REF!,#REF!)</f>
        <v>#REF!</v>
      </c>
      <c r="L1289" t="s">
        <v>23</v>
      </c>
      <c r="M1289" t="e">
        <f>+_xlfn.XLOOKUP(tbl_encuesta[[#This Row],[Mi supervisor o jefe directo fomenta que nos apoyemos entre todos en el equipo]],#REF!,#REF!)</f>
        <v>#REF!</v>
      </c>
      <c r="N1289" t="s">
        <v>22</v>
      </c>
      <c r="O1289" t="e">
        <f>+_xlfn.XLOOKUP(tbl_encuesta[[#This Row],[Siento que mi trabajo es reconocido por mi supervisor o jefe directo.]],#REF!,#REF!)</f>
        <v>#REF!</v>
      </c>
      <c r="P1289" t="s">
        <v>31</v>
      </c>
      <c r="Q1289" t="e">
        <f xml:space="preserve">
_xlfn.XLOOKUP(
tbl_encuesta[[#This Row],[Mi supervisor o jefe directo nos brinda charlas de 5 minutos y comunica las novedades relevantes a mi puesto de trabajo]],#REF!,#REF!
)</f>
        <v>#REF!</v>
      </c>
      <c r="S1289" t="s">
        <v>18</v>
      </c>
      <c r="T1289" t="s">
        <v>19</v>
      </c>
      <c r="W1289" t="s">
        <v>25</v>
      </c>
      <c r="X1289" t="s">
        <v>97</v>
      </c>
      <c r="Y1289" t="e">
        <f>+_xlfn.XLOOKUP(tbl_encuesta[[#This Row],[Considero a Limtek como un buen lugar para trabajar]],#REF!,#REF!)</f>
        <v>#REF!</v>
      </c>
      <c r="Z1289" t="s">
        <v>3186</v>
      </c>
      <c r="AA1289" t="s">
        <v>725</v>
      </c>
      <c r="AB1289" t="s">
        <v>28</v>
      </c>
      <c r="AC1289" s="3" t="s">
        <v>3716</v>
      </c>
      <c r="AD1289" s="3" t="s">
        <v>3717</v>
      </c>
      <c r="AE1289" t="s">
        <v>29</v>
      </c>
    </row>
    <row r="1290" spans="1:31" x14ac:dyDescent="0.25">
      <c r="A1290">
        <v>119025785635</v>
      </c>
      <c r="B1290">
        <v>462598545</v>
      </c>
      <c r="C1290" s="1">
        <v>46014.586400462962</v>
      </c>
      <c r="D1290" s="1">
        <v>46014.589675925927</v>
      </c>
      <c r="E1290" t="s">
        <v>3187</v>
      </c>
      <c r="F1290" t="s">
        <v>22</v>
      </c>
      <c r="G1290" t="e">
        <f>+_xlfn.XLOOKUP(tbl_encuesta[[#This Row],[Me siento a gusto con el ambiente de trabajo que se genera en mi equipo.]],#REF!,#REF!)</f>
        <v>#REF!</v>
      </c>
      <c r="H1290" t="s">
        <v>23</v>
      </c>
      <c r="I1290" t="e">
        <f>+_xlfn.XLOOKUP(tbl_encuesta[[#This Row],[Me siento motivado a dar lo mejor de mí y hacer un buen trabajo]],#REF!,#REF!)</f>
        <v>#REF!</v>
      </c>
      <c r="J1290" t="s">
        <v>22</v>
      </c>
      <c r="K1290" t="e">
        <f>+_xlfn.XLOOKUP(tbl_encuesta[[#This Row],[Mi supervisor o jefe directo me otorga el soporte que necesito para afrontar cualquier problema que afecte mi trabajo]],#REF!,#REF!)</f>
        <v>#REF!</v>
      </c>
      <c r="L1290" t="s">
        <v>22</v>
      </c>
      <c r="M1290" t="e">
        <f>+_xlfn.XLOOKUP(tbl_encuesta[[#This Row],[Mi supervisor o jefe directo fomenta que nos apoyemos entre todos en el equipo]],#REF!,#REF!)</f>
        <v>#REF!</v>
      </c>
      <c r="N1290" t="s">
        <v>22</v>
      </c>
      <c r="O1290" t="e">
        <f>+_xlfn.XLOOKUP(tbl_encuesta[[#This Row],[Siento que mi trabajo es reconocido por mi supervisor o jefe directo.]],#REF!,#REF!)</f>
        <v>#REF!</v>
      </c>
      <c r="P1290" t="s">
        <v>31</v>
      </c>
      <c r="Q1290" t="e">
        <f xml:space="preserve">
_xlfn.XLOOKUP(
tbl_encuesta[[#This Row],[Mi supervisor o jefe directo nos brinda charlas de 5 minutos y comunica las novedades relevantes a mi puesto de trabajo]],#REF!,#REF!
)</f>
        <v>#REF!</v>
      </c>
      <c r="S1290" t="s">
        <v>18</v>
      </c>
      <c r="W1290" t="s">
        <v>25</v>
      </c>
      <c r="X1290" t="s">
        <v>23</v>
      </c>
      <c r="Y1290" t="e">
        <f>+_xlfn.XLOOKUP(tbl_encuesta[[#This Row],[Considero a Limtek como un buen lugar para trabajar]],#REF!,#REF!)</f>
        <v>#REF!</v>
      </c>
      <c r="Z1290" t="s">
        <v>3188</v>
      </c>
      <c r="AA1290" t="s">
        <v>622</v>
      </c>
      <c r="AB1290" t="s">
        <v>28</v>
      </c>
      <c r="AC1290" s="3" t="s">
        <v>3716</v>
      </c>
      <c r="AD1290" s="3" t="s">
        <v>3716</v>
      </c>
      <c r="AE1290" t="s">
        <v>29</v>
      </c>
    </row>
    <row r="1291" spans="1:31" x14ac:dyDescent="0.25">
      <c r="A1291">
        <v>119025785246</v>
      </c>
      <c r="B1291">
        <v>462598545</v>
      </c>
      <c r="C1291" s="1">
        <v>46014.586643518516</v>
      </c>
      <c r="D1291" s="1">
        <v>46014.589120370372</v>
      </c>
      <c r="E1291" t="s">
        <v>1842</v>
      </c>
      <c r="F1291" t="s">
        <v>23</v>
      </c>
      <c r="G1291" t="e">
        <f>+_xlfn.XLOOKUP(tbl_encuesta[[#This Row],[Me siento a gusto con el ambiente de trabajo que se genera en mi equipo.]],#REF!,#REF!)</f>
        <v>#REF!</v>
      </c>
      <c r="H1291" t="s">
        <v>23</v>
      </c>
      <c r="I1291" t="e">
        <f>+_xlfn.XLOOKUP(tbl_encuesta[[#This Row],[Me siento motivado a dar lo mejor de mí y hacer un buen trabajo]],#REF!,#REF!)</f>
        <v>#REF!</v>
      </c>
      <c r="J1291" t="s">
        <v>23</v>
      </c>
      <c r="K1291" t="e">
        <f>+_xlfn.XLOOKUP(tbl_encuesta[[#This Row],[Mi supervisor o jefe directo me otorga el soporte que necesito para afrontar cualquier problema que afecte mi trabajo]],#REF!,#REF!)</f>
        <v>#REF!</v>
      </c>
      <c r="L1291" t="s">
        <v>23</v>
      </c>
      <c r="M1291" t="e">
        <f>+_xlfn.XLOOKUP(tbl_encuesta[[#This Row],[Mi supervisor o jefe directo fomenta que nos apoyemos entre todos en el equipo]],#REF!,#REF!)</f>
        <v>#REF!</v>
      </c>
      <c r="N1291" t="s">
        <v>23</v>
      </c>
      <c r="O1291" t="e">
        <f>+_xlfn.XLOOKUP(tbl_encuesta[[#This Row],[Siento que mi trabajo es reconocido por mi supervisor o jefe directo.]],#REF!,#REF!)</f>
        <v>#REF!</v>
      </c>
      <c r="P1291" t="s">
        <v>31</v>
      </c>
      <c r="Q1291" t="e">
        <f xml:space="preserve">
_xlfn.XLOOKUP(
tbl_encuesta[[#This Row],[Mi supervisor o jefe directo nos brinda charlas de 5 minutos y comunica las novedades relevantes a mi puesto de trabajo]],#REF!,#REF!
)</f>
        <v>#REF!</v>
      </c>
      <c r="R1291" t="s">
        <v>17</v>
      </c>
      <c r="S1291" t="s">
        <v>18</v>
      </c>
      <c r="W1291" t="s">
        <v>25</v>
      </c>
      <c r="X1291" t="s">
        <v>23</v>
      </c>
      <c r="Y1291" t="e">
        <f>+_xlfn.XLOOKUP(tbl_encuesta[[#This Row],[Considero a Limtek como un buen lugar para trabajar]],#REF!,#REF!)</f>
        <v>#REF!</v>
      </c>
      <c r="Z1291" t="s">
        <v>638</v>
      </c>
      <c r="AA1291" t="s">
        <v>3189</v>
      </c>
      <c r="AB1291" t="s">
        <v>28</v>
      </c>
      <c r="AC1291" s="3" t="s">
        <v>3716</v>
      </c>
      <c r="AD1291" s="3" t="s">
        <v>3721</v>
      </c>
      <c r="AE1291" t="s">
        <v>29</v>
      </c>
    </row>
    <row r="1292" spans="1:31" x14ac:dyDescent="0.25">
      <c r="A1292">
        <v>119025783453</v>
      </c>
      <c r="B1292">
        <v>462598545</v>
      </c>
      <c r="C1292" s="1">
        <v>46014.573750000003</v>
      </c>
      <c r="D1292" s="1">
        <v>46014.586608796293</v>
      </c>
      <c r="E1292" t="s">
        <v>3190</v>
      </c>
      <c r="F1292" t="s">
        <v>23</v>
      </c>
      <c r="G1292" t="e">
        <f>+_xlfn.XLOOKUP(tbl_encuesta[[#This Row],[Me siento a gusto con el ambiente de trabajo que se genera en mi equipo.]],#REF!,#REF!)</f>
        <v>#REF!</v>
      </c>
      <c r="H1292" t="s">
        <v>23</v>
      </c>
      <c r="I1292" t="e">
        <f>+_xlfn.XLOOKUP(tbl_encuesta[[#This Row],[Me siento motivado a dar lo mejor de mí y hacer un buen trabajo]],#REF!,#REF!)</f>
        <v>#REF!</v>
      </c>
      <c r="J1292" t="s">
        <v>23</v>
      </c>
      <c r="K1292" t="e">
        <f>+_xlfn.XLOOKUP(tbl_encuesta[[#This Row],[Mi supervisor o jefe directo me otorga el soporte que necesito para afrontar cualquier problema que afecte mi trabajo]],#REF!,#REF!)</f>
        <v>#REF!</v>
      </c>
      <c r="L1292" t="s">
        <v>23</v>
      </c>
      <c r="M1292" t="e">
        <f>+_xlfn.XLOOKUP(tbl_encuesta[[#This Row],[Mi supervisor o jefe directo fomenta que nos apoyemos entre todos en el equipo]],#REF!,#REF!)</f>
        <v>#REF!</v>
      </c>
      <c r="N1292" t="s">
        <v>23</v>
      </c>
      <c r="O1292" t="e">
        <f>+_xlfn.XLOOKUP(tbl_encuesta[[#This Row],[Siento que mi trabajo es reconocido por mi supervisor o jefe directo.]],#REF!,#REF!)</f>
        <v>#REF!</v>
      </c>
      <c r="P1292" t="s">
        <v>31</v>
      </c>
      <c r="Q1292" t="e">
        <f xml:space="preserve">
_xlfn.XLOOKUP(
tbl_encuesta[[#This Row],[Mi supervisor o jefe directo nos brinda charlas de 5 minutos y comunica las novedades relevantes a mi puesto de trabajo]],#REF!,#REF!
)</f>
        <v>#REF!</v>
      </c>
      <c r="R1292" t="s">
        <v>17</v>
      </c>
      <c r="S1292" t="s">
        <v>18</v>
      </c>
      <c r="W1292" t="s">
        <v>25</v>
      </c>
      <c r="X1292" t="s">
        <v>23</v>
      </c>
      <c r="Y1292" t="e">
        <f>+_xlfn.XLOOKUP(tbl_encuesta[[#This Row],[Considero a Limtek como un buen lugar para trabajar]],#REF!,#REF!)</f>
        <v>#REF!</v>
      </c>
      <c r="Z1292" t="s">
        <v>3191</v>
      </c>
      <c r="AA1292" t="s">
        <v>1420</v>
      </c>
      <c r="AB1292" t="s">
        <v>28</v>
      </c>
      <c r="AC1292" s="3" t="s">
        <v>3729</v>
      </c>
      <c r="AD1292" s="3" t="s">
        <v>3729</v>
      </c>
      <c r="AE1292" t="s">
        <v>29</v>
      </c>
    </row>
    <row r="1293" spans="1:31" x14ac:dyDescent="0.25">
      <c r="A1293">
        <v>119025781763</v>
      </c>
      <c r="B1293">
        <v>462598545</v>
      </c>
      <c r="C1293" s="1">
        <v>46014.576655092591</v>
      </c>
      <c r="D1293" s="1">
        <v>46014.58425925926</v>
      </c>
      <c r="E1293" t="s">
        <v>3192</v>
      </c>
      <c r="F1293" t="s">
        <v>23</v>
      </c>
      <c r="G1293" t="e">
        <f>+_xlfn.XLOOKUP(tbl_encuesta[[#This Row],[Me siento a gusto con el ambiente de trabajo que se genera en mi equipo.]],#REF!,#REF!)</f>
        <v>#REF!</v>
      </c>
      <c r="H1293" t="s">
        <v>23</v>
      </c>
      <c r="I1293" t="e">
        <f>+_xlfn.XLOOKUP(tbl_encuesta[[#This Row],[Me siento motivado a dar lo mejor de mí y hacer un buen trabajo]],#REF!,#REF!)</f>
        <v>#REF!</v>
      </c>
      <c r="J1293" t="s">
        <v>23</v>
      </c>
      <c r="K1293" t="e">
        <f>+_xlfn.XLOOKUP(tbl_encuesta[[#This Row],[Mi supervisor o jefe directo me otorga el soporte que necesito para afrontar cualquier problema que afecte mi trabajo]],#REF!,#REF!)</f>
        <v>#REF!</v>
      </c>
      <c r="L1293" t="s">
        <v>23</v>
      </c>
      <c r="M1293" t="e">
        <f>+_xlfn.XLOOKUP(tbl_encuesta[[#This Row],[Mi supervisor o jefe directo fomenta que nos apoyemos entre todos en el equipo]],#REF!,#REF!)</f>
        <v>#REF!</v>
      </c>
      <c r="N1293" t="s">
        <v>23</v>
      </c>
      <c r="O1293" t="e">
        <f>+_xlfn.XLOOKUP(tbl_encuesta[[#This Row],[Siento que mi trabajo es reconocido por mi supervisor o jefe directo.]],#REF!,#REF!)</f>
        <v>#REF!</v>
      </c>
      <c r="P1293" t="s">
        <v>31</v>
      </c>
      <c r="Q1293" t="e">
        <f xml:space="preserve">
_xlfn.XLOOKUP(
tbl_encuesta[[#This Row],[Mi supervisor o jefe directo nos brinda charlas de 5 minutos y comunica las novedades relevantes a mi puesto de trabajo]],#REF!,#REF!
)</f>
        <v>#REF!</v>
      </c>
      <c r="R1293" t="s">
        <v>17</v>
      </c>
      <c r="T1293" t="s">
        <v>19</v>
      </c>
      <c r="W1293" t="s">
        <v>46</v>
      </c>
      <c r="X1293" t="s">
        <v>23</v>
      </c>
      <c r="Y1293" t="e">
        <f>+_xlfn.XLOOKUP(tbl_encuesta[[#This Row],[Considero a Limtek como un buen lugar para trabajar]],#REF!,#REF!)</f>
        <v>#REF!</v>
      </c>
      <c r="Z1293" t="s">
        <v>3193</v>
      </c>
      <c r="AA1293" t="s">
        <v>3194</v>
      </c>
      <c r="AB1293" t="s">
        <v>38</v>
      </c>
      <c r="AC1293" t="s">
        <v>3744</v>
      </c>
      <c r="AD1293" t="s">
        <v>3744</v>
      </c>
      <c r="AE1293" t="s">
        <v>61</v>
      </c>
    </row>
    <row r="1294" spans="1:31" x14ac:dyDescent="0.25">
      <c r="A1294">
        <v>119025780784</v>
      </c>
      <c r="B1294">
        <v>462598545</v>
      </c>
      <c r="C1294" s="1">
        <v>46014.579479166663</v>
      </c>
      <c r="D1294" s="1">
        <v>46014.582685185182</v>
      </c>
      <c r="E1294" t="s">
        <v>3195</v>
      </c>
      <c r="F1294" t="s">
        <v>22</v>
      </c>
      <c r="G1294" t="e">
        <f>+_xlfn.XLOOKUP(tbl_encuesta[[#This Row],[Me siento a gusto con el ambiente de trabajo que se genera en mi equipo.]],#REF!,#REF!)</f>
        <v>#REF!</v>
      </c>
      <c r="H1294" t="s">
        <v>22</v>
      </c>
      <c r="I1294" t="e">
        <f>+_xlfn.XLOOKUP(tbl_encuesta[[#This Row],[Me siento motivado a dar lo mejor de mí y hacer un buen trabajo]],#REF!,#REF!)</f>
        <v>#REF!</v>
      </c>
      <c r="J1294" t="s">
        <v>22</v>
      </c>
      <c r="K1294" t="e">
        <f>+_xlfn.XLOOKUP(tbl_encuesta[[#This Row],[Mi supervisor o jefe directo me otorga el soporte que necesito para afrontar cualquier problema que afecte mi trabajo]],#REF!,#REF!)</f>
        <v>#REF!</v>
      </c>
      <c r="L1294" t="s">
        <v>22</v>
      </c>
      <c r="M1294" t="e">
        <f>+_xlfn.XLOOKUP(tbl_encuesta[[#This Row],[Mi supervisor o jefe directo fomenta que nos apoyemos entre todos en el equipo]],#REF!,#REF!)</f>
        <v>#REF!</v>
      </c>
      <c r="N1294" t="s">
        <v>22</v>
      </c>
      <c r="O1294" t="e">
        <f>+_xlfn.XLOOKUP(tbl_encuesta[[#This Row],[Siento que mi trabajo es reconocido por mi supervisor o jefe directo.]],#REF!,#REF!)</f>
        <v>#REF!</v>
      </c>
      <c r="P1294" t="s">
        <v>67</v>
      </c>
      <c r="Q1294" t="e">
        <f xml:space="preserve">
_xlfn.XLOOKUP(
tbl_encuesta[[#This Row],[Mi supervisor o jefe directo nos brinda charlas de 5 minutos y comunica las novedades relevantes a mi puesto de trabajo]],#REF!,#REF!
)</f>
        <v>#REF!</v>
      </c>
      <c r="R1294" t="s">
        <v>17</v>
      </c>
      <c r="W1294" t="s">
        <v>25</v>
      </c>
      <c r="X1294" t="s">
        <v>22</v>
      </c>
      <c r="Y1294" t="e">
        <f>+_xlfn.XLOOKUP(tbl_encuesta[[#This Row],[Considero a Limtek como un buen lugar para trabajar]],#REF!,#REF!)</f>
        <v>#REF!</v>
      </c>
      <c r="Z1294" t="s">
        <v>3196</v>
      </c>
      <c r="AA1294" t="s">
        <v>3197</v>
      </c>
      <c r="AB1294" t="s">
        <v>28</v>
      </c>
      <c r="AC1294" s="3" t="s">
        <v>3769</v>
      </c>
      <c r="AD1294" s="3" t="s">
        <v>3771</v>
      </c>
      <c r="AE1294" t="s">
        <v>61</v>
      </c>
    </row>
    <row r="1295" spans="1:31" x14ac:dyDescent="0.25">
      <c r="A1295">
        <v>119025780696</v>
      </c>
      <c r="B1295">
        <v>462598545</v>
      </c>
      <c r="C1295" s="1">
        <v>46014.57949074074</v>
      </c>
      <c r="D1295" s="1">
        <v>46014.582511574074</v>
      </c>
      <c r="E1295" t="s">
        <v>3195</v>
      </c>
      <c r="F1295" t="s">
        <v>22</v>
      </c>
      <c r="G1295" t="e">
        <f>+_xlfn.XLOOKUP(tbl_encuesta[[#This Row],[Me siento a gusto con el ambiente de trabajo que se genera en mi equipo.]],#REF!,#REF!)</f>
        <v>#REF!</v>
      </c>
      <c r="H1295" t="s">
        <v>22</v>
      </c>
      <c r="I1295" t="e">
        <f>+_xlfn.XLOOKUP(tbl_encuesta[[#This Row],[Me siento motivado a dar lo mejor de mí y hacer un buen trabajo]],#REF!,#REF!)</f>
        <v>#REF!</v>
      </c>
      <c r="J1295" t="s">
        <v>22</v>
      </c>
      <c r="K1295" t="e">
        <f>+_xlfn.XLOOKUP(tbl_encuesta[[#This Row],[Mi supervisor o jefe directo me otorga el soporte que necesito para afrontar cualquier problema que afecte mi trabajo]],#REF!,#REF!)</f>
        <v>#REF!</v>
      </c>
      <c r="L1295" t="s">
        <v>23</v>
      </c>
      <c r="M1295" t="e">
        <f>+_xlfn.XLOOKUP(tbl_encuesta[[#This Row],[Mi supervisor o jefe directo fomenta que nos apoyemos entre todos en el equipo]],#REF!,#REF!)</f>
        <v>#REF!</v>
      </c>
      <c r="N1295" t="s">
        <v>22</v>
      </c>
      <c r="O1295" t="e">
        <f>+_xlfn.XLOOKUP(tbl_encuesta[[#This Row],[Siento que mi trabajo es reconocido por mi supervisor o jefe directo.]],#REF!,#REF!)</f>
        <v>#REF!</v>
      </c>
      <c r="P1295" t="s">
        <v>31</v>
      </c>
      <c r="Q1295" t="e">
        <f xml:space="preserve">
_xlfn.XLOOKUP(
tbl_encuesta[[#This Row],[Mi supervisor o jefe directo nos brinda charlas de 5 minutos y comunica las novedades relevantes a mi puesto de trabajo]],#REF!,#REF!
)</f>
        <v>#REF!</v>
      </c>
      <c r="S1295" t="s">
        <v>18</v>
      </c>
      <c r="T1295" t="s">
        <v>19</v>
      </c>
      <c r="W1295" t="s">
        <v>25</v>
      </c>
      <c r="X1295" t="s">
        <v>23</v>
      </c>
      <c r="Y1295" t="e">
        <f>+_xlfn.XLOOKUP(tbl_encuesta[[#This Row],[Considero a Limtek como un buen lugar para trabajar]],#REF!,#REF!)</f>
        <v>#REF!</v>
      </c>
      <c r="Z1295" t="s">
        <v>3198</v>
      </c>
      <c r="AA1295" t="s">
        <v>3199</v>
      </c>
      <c r="AB1295" t="s">
        <v>28</v>
      </c>
      <c r="AC1295" s="3" t="s">
        <v>3769</v>
      </c>
      <c r="AD1295" s="3" t="s">
        <v>3771</v>
      </c>
      <c r="AE1295" t="s">
        <v>69</v>
      </c>
    </row>
    <row r="1296" spans="1:31" x14ac:dyDescent="0.25">
      <c r="A1296">
        <v>119025775479</v>
      </c>
      <c r="B1296">
        <v>462598545</v>
      </c>
      <c r="C1296" s="1">
        <v>46014.569618055553</v>
      </c>
      <c r="D1296" s="1">
        <v>46014.57440972222</v>
      </c>
      <c r="E1296" t="s">
        <v>3200</v>
      </c>
      <c r="F1296" t="s">
        <v>23</v>
      </c>
      <c r="G1296" t="e">
        <f>+_xlfn.XLOOKUP(tbl_encuesta[[#This Row],[Me siento a gusto con el ambiente de trabajo que se genera en mi equipo.]],#REF!,#REF!)</f>
        <v>#REF!</v>
      </c>
      <c r="H1296" t="s">
        <v>22</v>
      </c>
      <c r="I1296" t="e">
        <f>+_xlfn.XLOOKUP(tbl_encuesta[[#This Row],[Me siento motivado a dar lo mejor de mí y hacer un buen trabajo]],#REF!,#REF!)</f>
        <v>#REF!</v>
      </c>
      <c r="J1296" t="s">
        <v>23</v>
      </c>
      <c r="K1296" t="e">
        <f>+_xlfn.XLOOKUP(tbl_encuesta[[#This Row],[Mi supervisor o jefe directo me otorga el soporte que necesito para afrontar cualquier problema que afecte mi trabajo]],#REF!,#REF!)</f>
        <v>#REF!</v>
      </c>
      <c r="L1296" t="s">
        <v>23</v>
      </c>
      <c r="M1296" t="e">
        <f>+_xlfn.XLOOKUP(tbl_encuesta[[#This Row],[Mi supervisor o jefe directo fomenta que nos apoyemos entre todos en el equipo]],#REF!,#REF!)</f>
        <v>#REF!</v>
      </c>
      <c r="N1296" t="s">
        <v>23</v>
      </c>
      <c r="O1296" t="e">
        <f>+_xlfn.XLOOKUP(tbl_encuesta[[#This Row],[Siento que mi trabajo es reconocido por mi supervisor o jefe directo.]],#REF!,#REF!)</f>
        <v>#REF!</v>
      </c>
      <c r="P1296" t="s">
        <v>31</v>
      </c>
      <c r="Q1296" t="e">
        <f xml:space="preserve">
_xlfn.XLOOKUP(
tbl_encuesta[[#This Row],[Mi supervisor o jefe directo nos brinda charlas de 5 minutos y comunica las novedades relevantes a mi puesto de trabajo]],#REF!,#REF!
)</f>
        <v>#REF!</v>
      </c>
      <c r="V1296" t="s">
        <v>3201</v>
      </c>
      <c r="W1296" t="s">
        <v>25</v>
      </c>
      <c r="X1296" t="s">
        <v>22</v>
      </c>
      <c r="Y1296" t="e">
        <f>+_xlfn.XLOOKUP(tbl_encuesta[[#This Row],[Considero a Limtek como un buen lugar para trabajar]],#REF!,#REF!)</f>
        <v>#REF!</v>
      </c>
      <c r="Z1296" t="s">
        <v>727</v>
      </c>
      <c r="AA1296" t="s">
        <v>3202</v>
      </c>
      <c r="AB1296" t="s">
        <v>28</v>
      </c>
      <c r="AC1296" s="3" t="s">
        <v>3729</v>
      </c>
      <c r="AD1296" s="3" t="s">
        <v>3729</v>
      </c>
      <c r="AE1296" t="s">
        <v>61</v>
      </c>
    </row>
    <row r="1297" spans="1:31" x14ac:dyDescent="0.25">
      <c r="A1297">
        <v>119025773735</v>
      </c>
      <c r="B1297">
        <v>462598545</v>
      </c>
      <c r="C1297" s="1">
        <v>46014.569409722222</v>
      </c>
      <c r="D1297" s="1">
        <v>46014.571782407409</v>
      </c>
      <c r="E1297" t="s">
        <v>3190</v>
      </c>
      <c r="F1297" t="s">
        <v>23</v>
      </c>
      <c r="G1297" t="e">
        <f>+_xlfn.XLOOKUP(tbl_encuesta[[#This Row],[Me siento a gusto con el ambiente de trabajo que se genera en mi equipo.]],#REF!,#REF!)</f>
        <v>#REF!</v>
      </c>
      <c r="H1297" t="s">
        <v>23</v>
      </c>
      <c r="I1297" t="e">
        <f>+_xlfn.XLOOKUP(tbl_encuesta[[#This Row],[Me siento motivado a dar lo mejor de mí y hacer un buen trabajo]],#REF!,#REF!)</f>
        <v>#REF!</v>
      </c>
      <c r="J1297" t="s">
        <v>22</v>
      </c>
      <c r="K1297" t="e">
        <f>+_xlfn.XLOOKUP(tbl_encuesta[[#This Row],[Mi supervisor o jefe directo me otorga el soporte que necesito para afrontar cualquier problema que afecte mi trabajo]],#REF!,#REF!)</f>
        <v>#REF!</v>
      </c>
      <c r="L1297" t="s">
        <v>22</v>
      </c>
      <c r="M1297" t="e">
        <f>+_xlfn.XLOOKUP(tbl_encuesta[[#This Row],[Mi supervisor o jefe directo fomenta que nos apoyemos entre todos en el equipo]],#REF!,#REF!)</f>
        <v>#REF!</v>
      </c>
      <c r="N1297" t="s">
        <v>22</v>
      </c>
      <c r="O1297" t="e">
        <f>+_xlfn.XLOOKUP(tbl_encuesta[[#This Row],[Siento que mi trabajo es reconocido por mi supervisor o jefe directo.]],#REF!,#REF!)</f>
        <v>#REF!</v>
      </c>
      <c r="P1297" t="s">
        <v>31</v>
      </c>
      <c r="Q1297" t="e">
        <f xml:space="preserve">
_xlfn.XLOOKUP(
tbl_encuesta[[#This Row],[Mi supervisor o jefe directo nos brinda charlas de 5 minutos y comunica las novedades relevantes a mi puesto de trabajo]],#REF!,#REF!
)</f>
        <v>#REF!</v>
      </c>
      <c r="R1297" t="s">
        <v>17</v>
      </c>
      <c r="W1297" t="s">
        <v>25</v>
      </c>
      <c r="X1297" t="s">
        <v>22</v>
      </c>
      <c r="Y1297" t="e">
        <f>+_xlfn.XLOOKUP(tbl_encuesta[[#This Row],[Considero a Limtek como un buen lugar para trabajar]],#REF!,#REF!)</f>
        <v>#REF!</v>
      </c>
      <c r="Z1297" t="s">
        <v>3203</v>
      </c>
      <c r="AA1297" t="s">
        <v>3204</v>
      </c>
      <c r="AB1297" t="s">
        <v>28</v>
      </c>
      <c r="AC1297" s="3" t="s">
        <v>3729</v>
      </c>
      <c r="AD1297" s="3" t="s">
        <v>3729</v>
      </c>
      <c r="AE1297" t="s">
        <v>69</v>
      </c>
    </row>
    <row r="1298" spans="1:31" x14ac:dyDescent="0.25">
      <c r="A1298">
        <v>119025770310</v>
      </c>
      <c r="B1298">
        <v>462598545</v>
      </c>
      <c r="C1298" s="1">
        <v>46014.563310185185</v>
      </c>
      <c r="D1298" s="1">
        <v>46014.567210648151</v>
      </c>
      <c r="E1298" t="s">
        <v>3205</v>
      </c>
      <c r="F1298" t="s">
        <v>23</v>
      </c>
      <c r="G1298" t="e">
        <f>+_xlfn.XLOOKUP(tbl_encuesta[[#This Row],[Me siento a gusto con el ambiente de trabajo que se genera en mi equipo.]],#REF!,#REF!)</f>
        <v>#REF!</v>
      </c>
      <c r="H1298" t="s">
        <v>23</v>
      </c>
      <c r="I1298" t="e">
        <f>+_xlfn.XLOOKUP(tbl_encuesta[[#This Row],[Me siento motivado a dar lo mejor de mí y hacer un buen trabajo]],#REF!,#REF!)</f>
        <v>#REF!</v>
      </c>
      <c r="J1298" t="s">
        <v>23</v>
      </c>
      <c r="K1298" t="e">
        <f>+_xlfn.XLOOKUP(tbl_encuesta[[#This Row],[Mi supervisor o jefe directo me otorga el soporte que necesito para afrontar cualquier problema que afecte mi trabajo]],#REF!,#REF!)</f>
        <v>#REF!</v>
      </c>
      <c r="L1298" t="s">
        <v>23</v>
      </c>
      <c r="M1298" t="e">
        <f>+_xlfn.XLOOKUP(tbl_encuesta[[#This Row],[Mi supervisor o jefe directo fomenta que nos apoyemos entre todos en el equipo]],#REF!,#REF!)</f>
        <v>#REF!</v>
      </c>
      <c r="N1298" t="s">
        <v>23</v>
      </c>
      <c r="O1298" t="e">
        <f>+_xlfn.XLOOKUP(tbl_encuesta[[#This Row],[Siento que mi trabajo es reconocido por mi supervisor o jefe directo.]],#REF!,#REF!)</f>
        <v>#REF!</v>
      </c>
      <c r="P1298" t="s">
        <v>31</v>
      </c>
      <c r="Q1298" t="e">
        <f xml:space="preserve">
_xlfn.XLOOKUP(
tbl_encuesta[[#This Row],[Mi supervisor o jefe directo nos brinda charlas de 5 minutos y comunica las novedades relevantes a mi puesto de trabajo]],#REF!,#REF!
)</f>
        <v>#REF!</v>
      </c>
      <c r="R1298" t="s">
        <v>17</v>
      </c>
      <c r="W1298" t="s">
        <v>25</v>
      </c>
      <c r="X1298" t="s">
        <v>23</v>
      </c>
      <c r="Y1298" t="e">
        <f>+_xlfn.XLOOKUP(tbl_encuesta[[#This Row],[Considero a Limtek como un buen lugar para trabajar]],#REF!,#REF!)</f>
        <v>#REF!</v>
      </c>
      <c r="Z1298" t="s">
        <v>3206</v>
      </c>
      <c r="AA1298" t="s">
        <v>527</v>
      </c>
      <c r="AB1298" t="s">
        <v>28</v>
      </c>
      <c r="AC1298" t="s">
        <v>3744</v>
      </c>
      <c r="AD1298" t="s">
        <v>3744</v>
      </c>
      <c r="AE1298" t="s">
        <v>69</v>
      </c>
    </row>
    <row r="1299" spans="1:31" x14ac:dyDescent="0.25">
      <c r="A1299">
        <v>119025768674</v>
      </c>
      <c r="B1299">
        <v>462598545</v>
      </c>
      <c r="C1299" s="1">
        <v>46014.558472222219</v>
      </c>
      <c r="D1299" s="1">
        <v>46014.564837962964</v>
      </c>
      <c r="E1299" t="s">
        <v>3207</v>
      </c>
      <c r="F1299" t="s">
        <v>23</v>
      </c>
      <c r="G1299" t="e">
        <f>+_xlfn.XLOOKUP(tbl_encuesta[[#This Row],[Me siento a gusto con el ambiente de trabajo que se genera en mi equipo.]],#REF!,#REF!)</f>
        <v>#REF!</v>
      </c>
      <c r="H1299" t="s">
        <v>23</v>
      </c>
      <c r="I1299" t="e">
        <f>+_xlfn.XLOOKUP(tbl_encuesta[[#This Row],[Me siento motivado a dar lo mejor de mí y hacer un buen trabajo]],#REF!,#REF!)</f>
        <v>#REF!</v>
      </c>
      <c r="J1299" t="s">
        <v>23</v>
      </c>
      <c r="K1299" t="e">
        <f>+_xlfn.XLOOKUP(tbl_encuesta[[#This Row],[Mi supervisor o jefe directo me otorga el soporte que necesito para afrontar cualquier problema que afecte mi trabajo]],#REF!,#REF!)</f>
        <v>#REF!</v>
      </c>
      <c r="L1299" t="s">
        <v>23</v>
      </c>
      <c r="M1299" t="e">
        <f>+_xlfn.XLOOKUP(tbl_encuesta[[#This Row],[Mi supervisor o jefe directo fomenta que nos apoyemos entre todos en el equipo]],#REF!,#REF!)</f>
        <v>#REF!</v>
      </c>
      <c r="N1299" t="s">
        <v>23</v>
      </c>
      <c r="O1299" t="e">
        <f>+_xlfn.XLOOKUP(tbl_encuesta[[#This Row],[Siento que mi trabajo es reconocido por mi supervisor o jefe directo.]],#REF!,#REF!)</f>
        <v>#REF!</v>
      </c>
      <c r="P1299" t="s">
        <v>31</v>
      </c>
      <c r="Q1299" t="e">
        <f xml:space="preserve">
_xlfn.XLOOKUP(
tbl_encuesta[[#This Row],[Mi supervisor o jefe directo nos brinda charlas de 5 minutos y comunica las novedades relevantes a mi puesto de trabajo]],#REF!,#REF!
)</f>
        <v>#REF!</v>
      </c>
      <c r="S1299" t="s">
        <v>18</v>
      </c>
      <c r="U1299" t="s">
        <v>20</v>
      </c>
      <c r="W1299" t="s">
        <v>25</v>
      </c>
      <c r="X1299" t="s">
        <v>23</v>
      </c>
      <c r="Y1299" t="e">
        <f>+_xlfn.XLOOKUP(tbl_encuesta[[#This Row],[Considero a Limtek como un buen lugar para trabajar]],#REF!,#REF!)</f>
        <v>#REF!</v>
      </c>
      <c r="Z1299" t="s">
        <v>3208</v>
      </c>
      <c r="AA1299" t="s">
        <v>3209</v>
      </c>
      <c r="AB1299" t="s">
        <v>28</v>
      </c>
      <c r="AC1299" s="3" t="s">
        <v>3752</v>
      </c>
      <c r="AD1299" s="3" t="s">
        <v>3752</v>
      </c>
      <c r="AE1299" t="s">
        <v>55</v>
      </c>
    </row>
    <row r="1300" spans="1:31" x14ac:dyDescent="0.25">
      <c r="A1300">
        <v>119025767939</v>
      </c>
      <c r="B1300">
        <v>462598545</v>
      </c>
      <c r="C1300" s="1">
        <v>46014.561724537038</v>
      </c>
      <c r="D1300" s="1">
        <v>46014.563576388886</v>
      </c>
      <c r="E1300" t="s">
        <v>3210</v>
      </c>
      <c r="F1300" t="s">
        <v>23</v>
      </c>
      <c r="G1300" t="e">
        <f>+_xlfn.XLOOKUP(tbl_encuesta[[#This Row],[Me siento a gusto con el ambiente de trabajo que se genera en mi equipo.]],#REF!,#REF!)</f>
        <v>#REF!</v>
      </c>
      <c r="H1300" t="s">
        <v>23</v>
      </c>
      <c r="I1300" t="e">
        <f>+_xlfn.XLOOKUP(tbl_encuesta[[#This Row],[Me siento motivado a dar lo mejor de mí y hacer un buen trabajo]],#REF!,#REF!)</f>
        <v>#REF!</v>
      </c>
      <c r="J1300" t="s">
        <v>23</v>
      </c>
      <c r="K1300" t="e">
        <f>+_xlfn.XLOOKUP(tbl_encuesta[[#This Row],[Mi supervisor o jefe directo me otorga el soporte que necesito para afrontar cualquier problema que afecte mi trabajo]],#REF!,#REF!)</f>
        <v>#REF!</v>
      </c>
      <c r="L1300" t="s">
        <v>23</v>
      </c>
      <c r="M1300" t="e">
        <f>+_xlfn.XLOOKUP(tbl_encuesta[[#This Row],[Mi supervisor o jefe directo fomenta que nos apoyemos entre todos en el equipo]],#REF!,#REF!)</f>
        <v>#REF!</v>
      </c>
      <c r="N1300" t="s">
        <v>23</v>
      </c>
      <c r="O1300" t="e">
        <f>+_xlfn.XLOOKUP(tbl_encuesta[[#This Row],[Siento que mi trabajo es reconocido por mi supervisor o jefe directo.]],#REF!,#REF!)</f>
        <v>#REF!</v>
      </c>
      <c r="P1300" t="s">
        <v>31</v>
      </c>
      <c r="Q1300" t="e">
        <f xml:space="preserve">
_xlfn.XLOOKUP(
tbl_encuesta[[#This Row],[Mi supervisor o jefe directo nos brinda charlas de 5 minutos y comunica las novedades relevantes a mi puesto de trabajo]],#REF!,#REF!
)</f>
        <v>#REF!</v>
      </c>
      <c r="R1300" t="s">
        <v>17</v>
      </c>
      <c r="W1300" t="s">
        <v>25</v>
      </c>
      <c r="X1300" t="s">
        <v>23</v>
      </c>
      <c r="Y1300" t="e">
        <f>+_xlfn.XLOOKUP(tbl_encuesta[[#This Row],[Considero a Limtek como un buen lugar para trabajar]],#REF!,#REF!)</f>
        <v>#REF!</v>
      </c>
      <c r="Z1300" t="s">
        <v>3211</v>
      </c>
      <c r="AA1300" t="s">
        <v>3212</v>
      </c>
      <c r="AB1300" t="s">
        <v>28</v>
      </c>
      <c r="AC1300" s="3" t="s">
        <v>3729</v>
      </c>
      <c r="AD1300" s="3" t="s">
        <v>3731</v>
      </c>
      <c r="AE1300" t="s">
        <v>34</v>
      </c>
    </row>
    <row r="1301" spans="1:31" x14ac:dyDescent="0.25">
      <c r="A1301">
        <v>119025767696</v>
      </c>
      <c r="B1301">
        <v>462598545</v>
      </c>
      <c r="C1301" s="1">
        <v>46014.560567129629</v>
      </c>
      <c r="D1301" s="1">
        <v>46014.56318287037</v>
      </c>
      <c r="E1301" t="s">
        <v>3213</v>
      </c>
      <c r="F1301" t="s">
        <v>23</v>
      </c>
      <c r="G1301" t="e">
        <f>+_xlfn.XLOOKUP(tbl_encuesta[[#This Row],[Me siento a gusto con el ambiente de trabajo que se genera en mi equipo.]],#REF!,#REF!)</f>
        <v>#REF!</v>
      </c>
      <c r="H1301" t="s">
        <v>23</v>
      </c>
      <c r="I1301" t="e">
        <f>+_xlfn.XLOOKUP(tbl_encuesta[[#This Row],[Me siento motivado a dar lo mejor de mí y hacer un buen trabajo]],#REF!,#REF!)</f>
        <v>#REF!</v>
      </c>
      <c r="J1301" t="s">
        <v>22</v>
      </c>
      <c r="K1301" t="e">
        <f>+_xlfn.XLOOKUP(tbl_encuesta[[#This Row],[Mi supervisor o jefe directo me otorga el soporte que necesito para afrontar cualquier problema que afecte mi trabajo]],#REF!,#REF!)</f>
        <v>#REF!</v>
      </c>
      <c r="L1301" t="s">
        <v>23</v>
      </c>
      <c r="M1301" t="e">
        <f>+_xlfn.XLOOKUP(tbl_encuesta[[#This Row],[Mi supervisor o jefe directo fomenta que nos apoyemos entre todos en el equipo]],#REF!,#REF!)</f>
        <v>#REF!</v>
      </c>
      <c r="N1301" t="s">
        <v>97</v>
      </c>
      <c r="O1301" t="e">
        <f>+_xlfn.XLOOKUP(tbl_encuesta[[#This Row],[Siento que mi trabajo es reconocido por mi supervisor o jefe directo.]],#REF!,#REF!)</f>
        <v>#REF!</v>
      </c>
      <c r="P1301" t="s">
        <v>67</v>
      </c>
      <c r="Q1301" t="e">
        <f xml:space="preserve">
_xlfn.XLOOKUP(
tbl_encuesta[[#This Row],[Mi supervisor o jefe directo nos brinda charlas de 5 minutos y comunica las novedades relevantes a mi puesto de trabajo]],#REF!,#REF!
)</f>
        <v>#REF!</v>
      </c>
      <c r="R1301" t="s">
        <v>17</v>
      </c>
      <c r="W1301" t="s">
        <v>25</v>
      </c>
      <c r="X1301" t="s">
        <v>23</v>
      </c>
      <c r="Y1301" t="e">
        <f>+_xlfn.XLOOKUP(tbl_encuesta[[#This Row],[Considero a Limtek como un buen lugar para trabajar]],#REF!,#REF!)</f>
        <v>#REF!</v>
      </c>
      <c r="Z1301" t="s">
        <v>193</v>
      </c>
      <c r="AA1301" t="s">
        <v>3214</v>
      </c>
      <c r="AB1301" t="s">
        <v>559</v>
      </c>
      <c r="AC1301" s="3" t="s">
        <v>3794</v>
      </c>
      <c r="AD1301" s="3" t="s">
        <v>3794</v>
      </c>
      <c r="AE1301" t="s">
        <v>34</v>
      </c>
    </row>
    <row r="1302" spans="1:31" x14ac:dyDescent="0.25">
      <c r="A1302">
        <v>119025762622</v>
      </c>
      <c r="B1302">
        <v>462598545</v>
      </c>
      <c r="C1302" s="1">
        <v>46014.55096064815</v>
      </c>
      <c r="D1302" s="1">
        <v>46014.555277777778</v>
      </c>
      <c r="E1302" t="s">
        <v>3215</v>
      </c>
      <c r="F1302" t="s">
        <v>23</v>
      </c>
      <c r="G1302" t="e">
        <f>+_xlfn.XLOOKUP(tbl_encuesta[[#This Row],[Me siento a gusto con el ambiente de trabajo que se genera en mi equipo.]],#REF!,#REF!)</f>
        <v>#REF!</v>
      </c>
      <c r="H1302" t="s">
        <v>23</v>
      </c>
      <c r="I1302" t="e">
        <f>+_xlfn.XLOOKUP(tbl_encuesta[[#This Row],[Me siento motivado a dar lo mejor de mí y hacer un buen trabajo]],#REF!,#REF!)</f>
        <v>#REF!</v>
      </c>
      <c r="J1302" t="s">
        <v>23</v>
      </c>
      <c r="K1302" t="e">
        <f>+_xlfn.XLOOKUP(tbl_encuesta[[#This Row],[Mi supervisor o jefe directo me otorga el soporte que necesito para afrontar cualquier problema que afecte mi trabajo]],#REF!,#REF!)</f>
        <v>#REF!</v>
      </c>
      <c r="L1302" t="s">
        <v>22</v>
      </c>
      <c r="M1302" t="e">
        <f>+_xlfn.XLOOKUP(tbl_encuesta[[#This Row],[Mi supervisor o jefe directo fomenta que nos apoyemos entre todos en el equipo]],#REF!,#REF!)</f>
        <v>#REF!</v>
      </c>
      <c r="N1302" t="s">
        <v>23</v>
      </c>
      <c r="O1302" t="e">
        <f>+_xlfn.XLOOKUP(tbl_encuesta[[#This Row],[Siento que mi trabajo es reconocido por mi supervisor o jefe directo.]],#REF!,#REF!)</f>
        <v>#REF!</v>
      </c>
      <c r="P1302" t="s">
        <v>31</v>
      </c>
      <c r="Q1302" t="e">
        <f xml:space="preserve">
_xlfn.XLOOKUP(
tbl_encuesta[[#This Row],[Mi supervisor o jefe directo nos brinda charlas de 5 minutos y comunica las novedades relevantes a mi puesto de trabajo]],#REF!,#REF!
)</f>
        <v>#REF!</v>
      </c>
      <c r="R1302" t="s">
        <v>17</v>
      </c>
      <c r="W1302" t="s">
        <v>25</v>
      </c>
      <c r="X1302" t="s">
        <v>23</v>
      </c>
      <c r="Y1302" t="e">
        <f>+_xlfn.XLOOKUP(tbl_encuesta[[#This Row],[Considero a Limtek como un buen lugar para trabajar]],#REF!,#REF!)</f>
        <v>#REF!</v>
      </c>
      <c r="Z1302" t="s">
        <v>3216</v>
      </c>
      <c r="AA1302" t="s">
        <v>3217</v>
      </c>
      <c r="AB1302" t="s">
        <v>28</v>
      </c>
      <c r="AC1302" s="3" t="s">
        <v>3844</v>
      </c>
      <c r="AD1302" s="3" t="s">
        <v>3844</v>
      </c>
      <c r="AE1302" t="s">
        <v>34</v>
      </c>
    </row>
    <row r="1303" spans="1:31" x14ac:dyDescent="0.25">
      <c r="A1303">
        <v>119025762074</v>
      </c>
      <c r="B1303">
        <v>462598545</v>
      </c>
      <c r="C1303" s="1">
        <v>46014.549988425926</v>
      </c>
      <c r="D1303" s="1">
        <v>46014.5544212963</v>
      </c>
      <c r="E1303" t="s">
        <v>3218</v>
      </c>
      <c r="F1303" t="s">
        <v>23</v>
      </c>
      <c r="G1303" t="e">
        <f>+_xlfn.XLOOKUP(tbl_encuesta[[#This Row],[Me siento a gusto con el ambiente de trabajo que se genera en mi equipo.]],#REF!,#REF!)</f>
        <v>#REF!</v>
      </c>
      <c r="H1303" t="s">
        <v>23</v>
      </c>
      <c r="I1303" t="e">
        <f>+_xlfn.XLOOKUP(tbl_encuesta[[#This Row],[Me siento motivado a dar lo mejor de mí y hacer un buen trabajo]],#REF!,#REF!)</f>
        <v>#REF!</v>
      </c>
      <c r="J1303" t="s">
        <v>22</v>
      </c>
      <c r="K1303" t="e">
        <f>+_xlfn.XLOOKUP(tbl_encuesta[[#This Row],[Mi supervisor o jefe directo me otorga el soporte que necesito para afrontar cualquier problema que afecte mi trabajo]],#REF!,#REF!)</f>
        <v>#REF!</v>
      </c>
      <c r="L1303" t="s">
        <v>23</v>
      </c>
      <c r="M1303" t="e">
        <f>+_xlfn.XLOOKUP(tbl_encuesta[[#This Row],[Mi supervisor o jefe directo fomenta que nos apoyemos entre todos en el equipo]],#REF!,#REF!)</f>
        <v>#REF!</v>
      </c>
      <c r="N1303" t="s">
        <v>22</v>
      </c>
      <c r="O1303" t="e">
        <f>+_xlfn.XLOOKUP(tbl_encuesta[[#This Row],[Siento que mi trabajo es reconocido por mi supervisor o jefe directo.]],#REF!,#REF!)</f>
        <v>#REF!</v>
      </c>
      <c r="P1303" t="s">
        <v>31</v>
      </c>
      <c r="Q1303" t="e">
        <f xml:space="preserve">
_xlfn.XLOOKUP(
tbl_encuesta[[#This Row],[Mi supervisor o jefe directo nos brinda charlas de 5 minutos y comunica las novedades relevantes a mi puesto de trabajo]],#REF!,#REF!
)</f>
        <v>#REF!</v>
      </c>
      <c r="R1303" t="s">
        <v>17</v>
      </c>
      <c r="S1303" t="s">
        <v>18</v>
      </c>
      <c r="W1303" t="s">
        <v>25</v>
      </c>
      <c r="X1303" t="s">
        <v>23</v>
      </c>
      <c r="Y1303" t="e">
        <f>+_xlfn.XLOOKUP(tbl_encuesta[[#This Row],[Considero a Limtek como un buen lugar para trabajar]],#REF!,#REF!)</f>
        <v>#REF!</v>
      </c>
      <c r="Z1303" t="s">
        <v>3219</v>
      </c>
      <c r="AA1303" t="s">
        <v>3220</v>
      </c>
      <c r="AB1303" t="s">
        <v>726</v>
      </c>
      <c r="AC1303" s="3" t="s">
        <v>3705</v>
      </c>
      <c r="AD1303" s="3" t="s">
        <v>3708</v>
      </c>
      <c r="AE1303" t="s">
        <v>55</v>
      </c>
    </row>
    <row r="1304" spans="1:31" x14ac:dyDescent="0.25">
      <c r="A1304">
        <v>119025760000</v>
      </c>
      <c r="B1304">
        <v>462598545</v>
      </c>
      <c r="C1304" s="1">
        <v>46014.548645833333</v>
      </c>
      <c r="D1304" s="1">
        <v>46014.551458333335</v>
      </c>
      <c r="E1304" t="s">
        <v>880</v>
      </c>
      <c r="F1304" t="s">
        <v>23</v>
      </c>
      <c r="G1304" t="e">
        <f>+_xlfn.XLOOKUP(tbl_encuesta[[#This Row],[Me siento a gusto con el ambiente de trabajo que se genera en mi equipo.]],#REF!,#REF!)</f>
        <v>#REF!</v>
      </c>
      <c r="H1304" t="s">
        <v>23</v>
      </c>
      <c r="I1304" t="e">
        <f>+_xlfn.XLOOKUP(tbl_encuesta[[#This Row],[Me siento motivado a dar lo mejor de mí y hacer un buen trabajo]],#REF!,#REF!)</f>
        <v>#REF!</v>
      </c>
      <c r="J1304" t="s">
        <v>23</v>
      </c>
      <c r="K1304" t="e">
        <f>+_xlfn.XLOOKUP(tbl_encuesta[[#This Row],[Mi supervisor o jefe directo me otorga el soporte que necesito para afrontar cualquier problema que afecte mi trabajo]],#REF!,#REF!)</f>
        <v>#REF!</v>
      </c>
      <c r="L1304" t="s">
        <v>23</v>
      </c>
      <c r="M1304" t="e">
        <f>+_xlfn.XLOOKUP(tbl_encuesta[[#This Row],[Mi supervisor o jefe directo fomenta que nos apoyemos entre todos en el equipo]],#REF!,#REF!)</f>
        <v>#REF!</v>
      </c>
      <c r="N1304" t="s">
        <v>22</v>
      </c>
      <c r="O1304" t="e">
        <f>+_xlfn.XLOOKUP(tbl_encuesta[[#This Row],[Siento que mi trabajo es reconocido por mi supervisor o jefe directo.]],#REF!,#REF!)</f>
        <v>#REF!</v>
      </c>
      <c r="P1304" t="s">
        <v>67</v>
      </c>
      <c r="Q1304" t="e">
        <f xml:space="preserve">
_xlfn.XLOOKUP(
tbl_encuesta[[#This Row],[Mi supervisor o jefe directo nos brinda charlas de 5 minutos y comunica las novedades relevantes a mi puesto de trabajo]],#REF!,#REF!
)</f>
        <v>#REF!</v>
      </c>
      <c r="R1304" t="s">
        <v>17</v>
      </c>
      <c r="S1304" t="s">
        <v>18</v>
      </c>
      <c r="W1304" t="s">
        <v>25</v>
      </c>
      <c r="X1304" t="s">
        <v>23</v>
      </c>
      <c r="Y1304" t="e">
        <f>+_xlfn.XLOOKUP(tbl_encuesta[[#This Row],[Considero a Limtek como un buen lugar para trabajar]],#REF!,#REF!)</f>
        <v>#REF!</v>
      </c>
      <c r="Z1304" t="s">
        <v>3221</v>
      </c>
      <c r="AA1304" t="s">
        <v>3222</v>
      </c>
      <c r="AB1304" t="s">
        <v>883</v>
      </c>
      <c r="AC1304" s="3" t="s">
        <v>3716</v>
      </c>
      <c r="AD1304" s="3" t="s">
        <v>3719</v>
      </c>
      <c r="AE1304" t="s">
        <v>69</v>
      </c>
    </row>
    <row r="1305" spans="1:31" x14ac:dyDescent="0.25">
      <c r="A1305">
        <v>119025758672</v>
      </c>
      <c r="B1305">
        <v>462598545</v>
      </c>
      <c r="C1305" s="1">
        <v>46014.545266203706</v>
      </c>
      <c r="D1305" s="1">
        <v>46014.54954861111</v>
      </c>
      <c r="E1305" t="s">
        <v>880</v>
      </c>
      <c r="F1305" t="s">
        <v>23</v>
      </c>
      <c r="G1305" t="e">
        <f>+_xlfn.XLOOKUP(tbl_encuesta[[#This Row],[Me siento a gusto con el ambiente de trabajo que se genera en mi equipo.]],#REF!,#REF!)</f>
        <v>#REF!</v>
      </c>
      <c r="H1305" t="s">
        <v>23</v>
      </c>
      <c r="I1305" t="e">
        <f>+_xlfn.XLOOKUP(tbl_encuesta[[#This Row],[Me siento motivado a dar lo mejor de mí y hacer un buen trabajo]],#REF!,#REF!)</f>
        <v>#REF!</v>
      </c>
      <c r="J1305" t="s">
        <v>23</v>
      </c>
      <c r="K1305" t="e">
        <f>+_xlfn.XLOOKUP(tbl_encuesta[[#This Row],[Mi supervisor o jefe directo me otorga el soporte que necesito para afrontar cualquier problema que afecte mi trabajo]],#REF!,#REF!)</f>
        <v>#REF!</v>
      </c>
      <c r="L1305" t="s">
        <v>23</v>
      </c>
      <c r="M1305" t="e">
        <f>+_xlfn.XLOOKUP(tbl_encuesta[[#This Row],[Mi supervisor o jefe directo fomenta que nos apoyemos entre todos en el equipo]],#REF!,#REF!)</f>
        <v>#REF!</v>
      </c>
      <c r="N1305" t="s">
        <v>23</v>
      </c>
      <c r="O1305" t="e">
        <f>+_xlfn.XLOOKUP(tbl_encuesta[[#This Row],[Siento que mi trabajo es reconocido por mi supervisor o jefe directo.]],#REF!,#REF!)</f>
        <v>#REF!</v>
      </c>
      <c r="P1305" t="s">
        <v>67</v>
      </c>
      <c r="Q1305" t="e">
        <f xml:space="preserve">
_xlfn.XLOOKUP(
tbl_encuesta[[#This Row],[Mi supervisor o jefe directo nos brinda charlas de 5 minutos y comunica las novedades relevantes a mi puesto de trabajo]],#REF!,#REF!
)</f>
        <v>#REF!</v>
      </c>
      <c r="R1305" t="s">
        <v>17</v>
      </c>
      <c r="S1305" t="s">
        <v>18</v>
      </c>
      <c r="W1305" t="s">
        <v>25</v>
      </c>
      <c r="X1305" t="s">
        <v>23</v>
      </c>
      <c r="Y1305" t="e">
        <f>+_xlfn.XLOOKUP(tbl_encuesta[[#This Row],[Considero a Limtek como un buen lugar para trabajar]],#REF!,#REF!)</f>
        <v>#REF!</v>
      </c>
      <c r="Z1305" t="s">
        <v>3223</v>
      </c>
      <c r="AA1305" t="s">
        <v>3224</v>
      </c>
      <c r="AB1305" t="s">
        <v>883</v>
      </c>
      <c r="AC1305" s="3" t="s">
        <v>3716</v>
      </c>
      <c r="AD1305" s="3" t="s">
        <v>3719</v>
      </c>
      <c r="AE1305" t="s">
        <v>69</v>
      </c>
    </row>
    <row r="1306" spans="1:31" x14ac:dyDescent="0.25">
      <c r="A1306">
        <v>119025757023</v>
      </c>
      <c r="B1306">
        <v>462598545</v>
      </c>
      <c r="C1306" s="1">
        <v>46014.545601851853</v>
      </c>
      <c r="D1306" s="1">
        <v>46014.547002314815</v>
      </c>
      <c r="E1306" t="s">
        <v>3225</v>
      </c>
      <c r="F1306" t="s">
        <v>23</v>
      </c>
      <c r="G1306" t="e">
        <f>+_xlfn.XLOOKUP(tbl_encuesta[[#This Row],[Me siento a gusto con el ambiente de trabajo que se genera en mi equipo.]],#REF!,#REF!)</f>
        <v>#REF!</v>
      </c>
      <c r="H1306" t="s">
        <v>23</v>
      </c>
      <c r="I1306" t="e">
        <f>+_xlfn.XLOOKUP(tbl_encuesta[[#This Row],[Me siento motivado a dar lo mejor de mí y hacer un buen trabajo]],#REF!,#REF!)</f>
        <v>#REF!</v>
      </c>
      <c r="J1306" t="s">
        <v>23</v>
      </c>
      <c r="K1306" t="e">
        <f>+_xlfn.XLOOKUP(tbl_encuesta[[#This Row],[Mi supervisor o jefe directo me otorga el soporte que necesito para afrontar cualquier problema que afecte mi trabajo]],#REF!,#REF!)</f>
        <v>#REF!</v>
      </c>
      <c r="L1306" t="s">
        <v>23</v>
      </c>
      <c r="M1306" t="e">
        <f>+_xlfn.XLOOKUP(tbl_encuesta[[#This Row],[Mi supervisor o jefe directo fomenta que nos apoyemos entre todos en el equipo]],#REF!,#REF!)</f>
        <v>#REF!</v>
      </c>
      <c r="N1306" t="s">
        <v>23</v>
      </c>
      <c r="O1306" t="e">
        <f>+_xlfn.XLOOKUP(tbl_encuesta[[#This Row],[Siento que mi trabajo es reconocido por mi supervisor o jefe directo.]],#REF!,#REF!)</f>
        <v>#REF!</v>
      </c>
      <c r="P1306" t="s">
        <v>31</v>
      </c>
      <c r="Q1306" t="e">
        <f xml:space="preserve">
_xlfn.XLOOKUP(
tbl_encuesta[[#This Row],[Mi supervisor o jefe directo nos brinda charlas de 5 minutos y comunica las novedades relevantes a mi puesto de trabajo]],#REF!,#REF!
)</f>
        <v>#REF!</v>
      </c>
      <c r="S1306" t="s">
        <v>18</v>
      </c>
      <c r="W1306" t="s">
        <v>25</v>
      </c>
      <c r="X1306" t="s">
        <v>23</v>
      </c>
      <c r="Y1306" t="e">
        <f>+_xlfn.XLOOKUP(tbl_encuesta[[#This Row],[Considero a Limtek como un buen lugar para trabajar]],#REF!,#REF!)</f>
        <v>#REF!</v>
      </c>
      <c r="Z1306" t="s">
        <v>3226</v>
      </c>
      <c r="AA1306" t="s">
        <v>305</v>
      </c>
      <c r="AB1306" t="s">
        <v>883</v>
      </c>
      <c r="AC1306" s="3" t="s">
        <v>3716</v>
      </c>
      <c r="AD1306" s="3" t="s">
        <v>3719</v>
      </c>
      <c r="AE1306" t="s">
        <v>69</v>
      </c>
    </row>
    <row r="1307" spans="1:31" x14ac:dyDescent="0.25">
      <c r="A1307">
        <v>119025756929</v>
      </c>
      <c r="B1307">
        <v>462598545</v>
      </c>
      <c r="C1307" s="1">
        <v>46014.543136574073</v>
      </c>
      <c r="D1307" s="1">
        <v>46014.546863425923</v>
      </c>
      <c r="E1307" t="s">
        <v>3227</v>
      </c>
      <c r="F1307" t="s">
        <v>22</v>
      </c>
      <c r="G1307" t="e">
        <f>+_xlfn.XLOOKUP(tbl_encuesta[[#This Row],[Me siento a gusto con el ambiente de trabajo que se genera en mi equipo.]],#REF!,#REF!)</f>
        <v>#REF!</v>
      </c>
      <c r="H1307" t="s">
        <v>23</v>
      </c>
      <c r="I1307" t="e">
        <f>+_xlfn.XLOOKUP(tbl_encuesta[[#This Row],[Me siento motivado a dar lo mejor de mí y hacer un buen trabajo]],#REF!,#REF!)</f>
        <v>#REF!</v>
      </c>
      <c r="J1307" t="s">
        <v>23</v>
      </c>
      <c r="K1307" t="e">
        <f>+_xlfn.XLOOKUP(tbl_encuesta[[#This Row],[Mi supervisor o jefe directo me otorga el soporte que necesito para afrontar cualquier problema que afecte mi trabajo]],#REF!,#REF!)</f>
        <v>#REF!</v>
      </c>
      <c r="L1307" t="s">
        <v>23</v>
      </c>
      <c r="M1307" t="e">
        <f>+_xlfn.XLOOKUP(tbl_encuesta[[#This Row],[Mi supervisor o jefe directo fomenta que nos apoyemos entre todos en el equipo]],#REF!,#REF!)</f>
        <v>#REF!</v>
      </c>
      <c r="N1307" t="s">
        <v>23</v>
      </c>
      <c r="O1307" t="e">
        <f>+_xlfn.XLOOKUP(tbl_encuesta[[#This Row],[Siento que mi trabajo es reconocido por mi supervisor o jefe directo.]],#REF!,#REF!)</f>
        <v>#REF!</v>
      </c>
      <c r="P1307" t="s">
        <v>67</v>
      </c>
      <c r="Q1307" t="e">
        <f xml:space="preserve">
_xlfn.XLOOKUP(
tbl_encuesta[[#This Row],[Mi supervisor o jefe directo nos brinda charlas de 5 minutos y comunica las novedades relevantes a mi puesto de trabajo]],#REF!,#REF!
)</f>
        <v>#REF!</v>
      </c>
      <c r="R1307" t="s">
        <v>17</v>
      </c>
      <c r="S1307" t="s">
        <v>18</v>
      </c>
      <c r="W1307" t="s">
        <v>25</v>
      </c>
      <c r="X1307" t="s">
        <v>23</v>
      </c>
      <c r="Y1307" t="e">
        <f>+_xlfn.XLOOKUP(tbl_encuesta[[#This Row],[Considero a Limtek como un buen lugar para trabajar]],#REF!,#REF!)</f>
        <v>#REF!</v>
      </c>
      <c r="Z1307" t="s">
        <v>3228</v>
      </c>
      <c r="AA1307" t="s">
        <v>3229</v>
      </c>
      <c r="AB1307" t="s">
        <v>563</v>
      </c>
      <c r="AC1307" s="3" t="s">
        <v>3831</v>
      </c>
      <c r="AD1307" s="3" t="s">
        <v>3833</v>
      </c>
      <c r="AE1307" t="s">
        <v>29</v>
      </c>
    </row>
    <row r="1308" spans="1:31" x14ac:dyDescent="0.25">
      <c r="A1308">
        <v>119025755718</v>
      </c>
      <c r="B1308">
        <v>462598545</v>
      </c>
      <c r="C1308" s="1">
        <v>46014.53875</v>
      </c>
      <c r="D1308" s="1">
        <v>46014.545057870368</v>
      </c>
      <c r="E1308" t="s">
        <v>880</v>
      </c>
      <c r="F1308" t="s">
        <v>23</v>
      </c>
      <c r="G1308" t="e">
        <f>+_xlfn.XLOOKUP(tbl_encuesta[[#This Row],[Me siento a gusto con el ambiente de trabajo que se genera en mi equipo.]],#REF!,#REF!)</f>
        <v>#REF!</v>
      </c>
      <c r="H1308" t="s">
        <v>23</v>
      </c>
      <c r="I1308" t="e">
        <f>+_xlfn.XLOOKUP(tbl_encuesta[[#This Row],[Me siento motivado a dar lo mejor de mí y hacer un buen trabajo]],#REF!,#REF!)</f>
        <v>#REF!</v>
      </c>
      <c r="J1308" t="s">
        <v>23</v>
      </c>
      <c r="K1308" t="e">
        <f>+_xlfn.XLOOKUP(tbl_encuesta[[#This Row],[Mi supervisor o jefe directo me otorga el soporte que necesito para afrontar cualquier problema que afecte mi trabajo]],#REF!,#REF!)</f>
        <v>#REF!</v>
      </c>
      <c r="L1308" t="s">
        <v>22</v>
      </c>
      <c r="M1308" t="e">
        <f>+_xlfn.XLOOKUP(tbl_encuesta[[#This Row],[Mi supervisor o jefe directo fomenta que nos apoyemos entre todos en el equipo]],#REF!,#REF!)</f>
        <v>#REF!</v>
      </c>
      <c r="N1308" t="s">
        <v>23</v>
      </c>
      <c r="O1308" t="e">
        <f>+_xlfn.XLOOKUP(tbl_encuesta[[#This Row],[Siento que mi trabajo es reconocido por mi supervisor o jefe directo.]],#REF!,#REF!)</f>
        <v>#REF!</v>
      </c>
      <c r="P1308" t="s">
        <v>24</v>
      </c>
      <c r="Q1308" t="e">
        <f xml:space="preserve">
_xlfn.XLOOKUP(
tbl_encuesta[[#This Row],[Mi supervisor o jefe directo nos brinda charlas de 5 minutos y comunica las novedades relevantes a mi puesto de trabajo]],#REF!,#REF!
)</f>
        <v>#REF!</v>
      </c>
      <c r="R1308" t="s">
        <v>17</v>
      </c>
      <c r="S1308" t="s">
        <v>18</v>
      </c>
      <c r="W1308" t="s">
        <v>25</v>
      </c>
      <c r="X1308" t="s">
        <v>22</v>
      </c>
      <c r="Y1308" t="e">
        <f>+_xlfn.XLOOKUP(tbl_encuesta[[#This Row],[Considero a Limtek como un buen lugar para trabajar]],#REF!,#REF!)</f>
        <v>#REF!</v>
      </c>
      <c r="Z1308" t="s">
        <v>215</v>
      </c>
      <c r="AA1308" t="s">
        <v>3230</v>
      </c>
      <c r="AB1308" t="s">
        <v>883</v>
      </c>
      <c r="AC1308" s="3" t="s">
        <v>3716</v>
      </c>
      <c r="AD1308" s="3" t="s">
        <v>3719</v>
      </c>
      <c r="AE1308" t="s">
        <v>69</v>
      </c>
    </row>
    <row r="1309" spans="1:31" x14ac:dyDescent="0.25">
      <c r="A1309">
        <v>119025755700</v>
      </c>
      <c r="B1309">
        <v>462598545</v>
      </c>
      <c r="C1309" s="1">
        <v>46014.538587962961</v>
      </c>
      <c r="D1309" s="1">
        <v>46014.545023148145</v>
      </c>
      <c r="E1309" t="s">
        <v>3225</v>
      </c>
      <c r="F1309" t="s">
        <v>23</v>
      </c>
      <c r="G1309" t="e">
        <f>+_xlfn.XLOOKUP(tbl_encuesta[[#This Row],[Me siento a gusto con el ambiente de trabajo que se genera en mi equipo.]],#REF!,#REF!)</f>
        <v>#REF!</v>
      </c>
      <c r="H1309" t="s">
        <v>23</v>
      </c>
      <c r="I1309" t="e">
        <f>+_xlfn.XLOOKUP(tbl_encuesta[[#This Row],[Me siento motivado a dar lo mejor de mí y hacer un buen trabajo]],#REF!,#REF!)</f>
        <v>#REF!</v>
      </c>
      <c r="J1309" t="s">
        <v>23</v>
      </c>
      <c r="K1309" t="e">
        <f>+_xlfn.XLOOKUP(tbl_encuesta[[#This Row],[Mi supervisor o jefe directo me otorga el soporte que necesito para afrontar cualquier problema que afecte mi trabajo]],#REF!,#REF!)</f>
        <v>#REF!</v>
      </c>
      <c r="L1309" t="s">
        <v>23</v>
      </c>
      <c r="M1309" t="e">
        <f>+_xlfn.XLOOKUP(tbl_encuesta[[#This Row],[Mi supervisor o jefe directo fomenta que nos apoyemos entre todos en el equipo]],#REF!,#REF!)</f>
        <v>#REF!</v>
      </c>
      <c r="N1309" t="s">
        <v>23</v>
      </c>
      <c r="O1309" t="e">
        <f>+_xlfn.XLOOKUP(tbl_encuesta[[#This Row],[Siento que mi trabajo es reconocido por mi supervisor o jefe directo.]],#REF!,#REF!)</f>
        <v>#REF!</v>
      </c>
      <c r="P1309" t="s">
        <v>31</v>
      </c>
      <c r="Q1309" t="e">
        <f xml:space="preserve">
_xlfn.XLOOKUP(
tbl_encuesta[[#This Row],[Mi supervisor o jefe directo nos brinda charlas de 5 minutos y comunica las novedades relevantes a mi puesto de trabajo]],#REF!,#REF!
)</f>
        <v>#REF!</v>
      </c>
      <c r="S1309" t="s">
        <v>18</v>
      </c>
      <c r="W1309" t="s">
        <v>25</v>
      </c>
      <c r="X1309" t="s">
        <v>23</v>
      </c>
      <c r="Y1309" t="e">
        <f>+_xlfn.XLOOKUP(tbl_encuesta[[#This Row],[Considero a Limtek como un buen lugar para trabajar]],#REF!,#REF!)</f>
        <v>#REF!</v>
      </c>
      <c r="Z1309" t="s">
        <v>3226</v>
      </c>
      <c r="AA1309" t="s">
        <v>122</v>
      </c>
      <c r="AB1309" t="s">
        <v>883</v>
      </c>
      <c r="AC1309" s="3" t="s">
        <v>3716</v>
      </c>
      <c r="AD1309" s="3" t="s">
        <v>3719</v>
      </c>
      <c r="AE1309" t="s">
        <v>69</v>
      </c>
    </row>
    <row r="1310" spans="1:31" x14ac:dyDescent="0.25">
      <c r="A1310">
        <v>119025753208</v>
      </c>
      <c r="B1310">
        <v>462598545</v>
      </c>
      <c r="C1310" s="1">
        <v>46014.536666666667</v>
      </c>
      <c r="D1310" s="1">
        <v>46014.540972222225</v>
      </c>
      <c r="E1310" t="s">
        <v>3231</v>
      </c>
      <c r="F1310" t="s">
        <v>22</v>
      </c>
      <c r="G1310" t="e">
        <f>+_xlfn.XLOOKUP(tbl_encuesta[[#This Row],[Me siento a gusto con el ambiente de trabajo que se genera en mi equipo.]],#REF!,#REF!)</f>
        <v>#REF!</v>
      </c>
      <c r="H1310" t="s">
        <v>23</v>
      </c>
      <c r="I1310" t="e">
        <f>+_xlfn.XLOOKUP(tbl_encuesta[[#This Row],[Me siento motivado a dar lo mejor de mí y hacer un buen trabajo]],#REF!,#REF!)</f>
        <v>#REF!</v>
      </c>
      <c r="J1310" t="s">
        <v>23</v>
      </c>
      <c r="K1310" t="e">
        <f>+_xlfn.XLOOKUP(tbl_encuesta[[#This Row],[Mi supervisor o jefe directo me otorga el soporte que necesito para afrontar cualquier problema que afecte mi trabajo]],#REF!,#REF!)</f>
        <v>#REF!</v>
      </c>
      <c r="L1310" t="s">
        <v>23</v>
      </c>
      <c r="M1310" t="e">
        <f>+_xlfn.XLOOKUP(tbl_encuesta[[#This Row],[Mi supervisor o jefe directo fomenta que nos apoyemos entre todos en el equipo]],#REF!,#REF!)</f>
        <v>#REF!</v>
      </c>
      <c r="N1310" t="s">
        <v>23</v>
      </c>
      <c r="O1310" t="e">
        <f>+_xlfn.XLOOKUP(tbl_encuesta[[#This Row],[Siento que mi trabajo es reconocido por mi supervisor o jefe directo.]],#REF!,#REF!)</f>
        <v>#REF!</v>
      </c>
      <c r="P1310" t="s">
        <v>31</v>
      </c>
      <c r="Q1310" t="e">
        <f xml:space="preserve">
_xlfn.XLOOKUP(
tbl_encuesta[[#This Row],[Mi supervisor o jefe directo nos brinda charlas de 5 minutos y comunica las novedades relevantes a mi puesto de trabajo]],#REF!,#REF!
)</f>
        <v>#REF!</v>
      </c>
      <c r="S1310" t="s">
        <v>18</v>
      </c>
      <c r="T1310" t="s">
        <v>19</v>
      </c>
      <c r="W1310" t="s">
        <v>25</v>
      </c>
      <c r="X1310" t="s">
        <v>23</v>
      </c>
      <c r="Y1310" t="e">
        <f>+_xlfn.XLOOKUP(tbl_encuesta[[#This Row],[Considero a Limtek como un buen lugar para trabajar]],#REF!,#REF!)</f>
        <v>#REF!</v>
      </c>
      <c r="Z1310" t="s">
        <v>3232</v>
      </c>
      <c r="AA1310" t="s">
        <v>3233</v>
      </c>
      <c r="AB1310" t="s">
        <v>726</v>
      </c>
      <c r="AC1310" s="3" t="s">
        <v>3716</v>
      </c>
      <c r="AD1310" s="3" t="s">
        <v>3708</v>
      </c>
      <c r="AE1310" t="s">
        <v>69</v>
      </c>
    </row>
    <row r="1311" spans="1:31" x14ac:dyDescent="0.25">
      <c r="A1311">
        <v>119025751625</v>
      </c>
      <c r="B1311">
        <v>462598545</v>
      </c>
      <c r="C1311" s="1">
        <v>46014.535381944443</v>
      </c>
      <c r="D1311" s="1">
        <v>46014.538391203707</v>
      </c>
      <c r="E1311" t="s">
        <v>3234</v>
      </c>
      <c r="F1311" t="s">
        <v>23</v>
      </c>
      <c r="G1311" t="e">
        <f>+_xlfn.XLOOKUP(tbl_encuesta[[#This Row],[Me siento a gusto con el ambiente de trabajo que se genera en mi equipo.]],#REF!,#REF!)</f>
        <v>#REF!</v>
      </c>
      <c r="H1311" t="s">
        <v>23</v>
      </c>
      <c r="I1311" t="e">
        <f>+_xlfn.XLOOKUP(tbl_encuesta[[#This Row],[Me siento motivado a dar lo mejor de mí y hacer un buen trabajo]],#REF!,#REF!)</f>
        <v>#REF!</v>
      </c>
      <c r="J1311" t="s">
        <v>22</v>
      </c>
      <c r="K1311" t="e">
        <f>+_xlfn.XLOOKUP(tbl_encuesta[[#This Row],[Mi supervisor o jefe directo me otorga el soporte que necesito para afrontar cualquier problema que afecte mi trabajo]],#REF!,#REF!)</f>
        <v>#REF!</v>
      </c>
      <c r="L1311" t="s">
        <v>22</v>
      </c>
      <c r="M1311" t="e">
        <f>+_xlfn.XLOOKUP(tbl_encuesta[[#This Row],[Mi supervisor o jefe directo fomenta que nos apoyemos entre todos en el equipo]],#REF!,#REF!)</f>
        <v>#REF!</v>
      </c>
      <c r="N1311" t="s">
        <v>22</v>
      </c>
      <c r="O1311" t="e">
        <f>+_xlfn.XLOOKUP(tbl_encuesta[[#This Row],[Siento que mi trabajo es reconocido por mi supervisor o jefe directo.]],#REF!,#REF!)</f>
        <v>#REF!</v>
      </c>
      <c r="P1311" t="s">
        <v>67</v>
      </c>
      <c r="Q1311" t="e">
        <f xml:space="preserve">
_xlfn.XLOOKUP(
tbl_encuesta[[#This Row],[Mi supervisor o jefe directo nos brinda charlas de 5 minutos y comunica las novedades relevantes a mi puesto de trabajo]],#REF!,#REF!
)</f>
        <v>#REF!</v>
      </c>
      <c r="S1311" t="s">
        <v>18</v>
      </c>
      <c r="W1311" t="s">
        <v>25</v>
      </c>
      <c r="X1311" t="s">
        <v>23</v>
      </c>
      <c r="Y1311" t="e">
        <f>+_xlfn.XLOOKUP(tbl_encuesta[[#This Row],[Considero a Limtek como un buen lugar para trabajar]],#REF!,#REF!)</f>
        <v>#REF!</v>
      </c>
      <c r="Z1311" t="s">
        <v>3235</v>
      </c>
      <c r="AA1311" t="s">
        <v>3236</v>
      </c>
      <c r="AB1311" t="s">
        <v>38</v>
      </c>
      <c r="AC1311" s="3" t="s">
        <v>3610</v>
      </c>
      <c r="AD1311" s="3" t="s">
        <v>3623</v>
      </c>
      <c r="AE1311" t="s">
        <v>34</v>
      </c>
    </row>
    <row r="1312" spans="1:31" x14ac:dyDescent="0.25">
      <c r="A1312">
        <v>119025751455</v>
      </c>
      <c r="B1312">
        <v>462598545</v>
      </c>
      <c r="C1312" s="1">
        <v>46014.536111111112</v>
      </c>
      <c r="D1312" s="1">
        <v>46014.538124999999</v>
      </c>
      <c r="E1312" t="s">
        <v>3237</v>
      </c>
      <c r="F1312" t="s">
        <v>22</v>
      </c>
      <c r="G1312" t="e">
        <f>+_xlfn.XLOOKUP(tbl_encuesta[[#This Row],[Me siento a gusto con el ambiente de trabajo que se genera en mi equipo.]],#REF!,#REF!)</f>
        <v>#REF!</v>
      </c>
      <c r="H1312" t="s">
        <v>23</v>
      </c>
      <c r="I1312" t="e">
        <f>+_xlfn.XLOOKUP(tbl_encuesta[[#This Row],[Me siento motivado a dar lo mejor de mí y hacer un buen trabajo]],#REF!,#REF!)</f>
        <v>#REF!</v>
      </c>
      <c r="J1312" t="s">
        <v>23</v>
      </c>
      <c r="K1312" t="e">
        <f>+_xlfn.XLOOKUP(tbl_encuesta[[#This Row],[Mi supervisor o jefe directo me otorga el soporte que necesito para afrontar cualquier problema que afecte mi trabajo]],#REF!,#REF!)</f>
        <v>#REF!</v>
      </c>
      <c r="L1312" t="s">
        <v>22</v>
      </c>
      <c r="M1312" t="e">
        <f>+_xlfn.XLOOKUP(tbl_encuesta[[#This Row],[Mi supervisor o jefe directo fomenta que nos apoyemos entre todos en el equipo]],#REF!,#REF!)</f>
        <v>#REF!</v>
      </c>
      <c r="N1312" t="s">
        <v>22</v>
      </c>
      <c r="O1312" t="e">
        <f>+_xlfn.XLOOKUP(tbl_encuesta[[#This Row],[Siento que mi trabajo es reconocido por mi supervisor o jefe directo.]],#REF!,#REF!)</f>
        <v>#REF!</v>
      </c>
      <c r="P1312" t="s">
        <v>31</v>
      </c>
      <c r="Q1312" t="e">
        <f xml:space="preserve">
_xlfn.XLOOKUP(
tbl_encuesta[[#This Row],[Mi supervisor o jefe directo nos brinda charlas de 5 minutos y comunica las novedades relevantes a mi puesto de trabajo]],#REF!,#REF!
)</f>
        <v>#REF!</v>
      </c>
      <c r="R1312" t="s">
        <v>17</v>
      </c>
      <c r="W1312" t="s">
        <v>25</v>
      </c>
      <c r="X1312" t="s">
        <v>22</v>
      </c>
      <c r="Y1312" t="e">
        <f>+_xlfn.XLOOKUP(tbl_encuesta[[#This Row],[Considero a Limtek como un buen lugar para trabajar]],#REF!,#REF!)</f>
        <v>#REF!</v>
      </c>
      <c r="Z1312" t="s">
        <v>3238</v>
      </c>
      <c r="AA1312" t="s">
        <v>3239</v>
      </c>
      <c r="AB1312" t="s">
        <v>28</v>
      </c>
      <c r="AC1312" s="3" t="s">
        <v>3752</v>
      </c>
      <c r="AD1312" s="3" t="s">
        <v>3752</v>
      </c>
      <c r="AE1312" t="s">
        <v>69</v>
      </c>
    </row>
    <row r="1313" spans="1:31" x14ac:dyDescent="0.25">
      <c r="A1313">
        <v>119025749065</v>
      </c>
      <c r="B1313">
        <v>462598545</v>
      </c>
      <c r="C1313" s="1">
        <v>46014.532361111109</v>
      </c>
      <c r="D1313" s="1">
        <v>46014.534571759257</v>
      </c>
      <c r="E1313" t="s">
        <v>3240</v>
      </c>
      <c r="F1313" t="s">
        <v>23</v>
      </c>
      <c r="G1313" t="e">
        <f>+_xlfn.XLOOKUP(tbl_encuesta[[#This Row],[Me siento a gusto con el ambiente de trabajo que se genera en mi equipo.]],#REF!,#REF!)</f>
        <v>#REF!</v>
      </c>
      <c r="H1313" t="s">
        <v>23</v>
      </c>
      <c r="I1313" t="e">
        <f>+_xlfn.XLOOKUP(tbl_encuesta[[#This Row],[Me siento motivado a dar lo mejor de mí y hacer un buen trabajo]],#REF!,#REF!)</f>
        <v>#REF!</v>
      </c>
      <c r="J1313" t="s">
        <v>23</v>
      </c>
      <c r="K1313" t="e">
        <f>+_xlfn.XLOOKUP(tbl_encuesta[[#This Row],[Mi supervisor o jefe directo me otorga el soporte que necesito para afrontar cualquier problema que afecte mi trabajo]],#REF!,#REF!)</f>
        <v>#REF!</v>
      </c>
      <c r="L1313" t="s">
        <v>23</v>
      </c>
      <c r="M1313" t="e">
        <f>+_xlfn.XLOOKUP(tbl_encuesta[[#This Row],[Mi supervisor o jefe directo fomenta que nos apoyemos entre todos en el equipo]],#REF!,#REF!)</f>
        <v>#REF!</v>
      </c>
      <c r="N1313" t="s">
        <v>22</v>
      </c>
      <c r="O1313" t="e">
        <f>+_xlfn.XLOOKUP(tbl_encuesta[[#This Row],[Siento que mi trabajo es reconocido por mi supervisor o jefe directo.]],#REF!,#REF!)</f>
        <v>#REF!</v>
      </c>
      <c r="P1313" t="s">
        <v>31</v>
      </c>
      <c r="Q1313" t="e">
        <f xml:space="preserve">
_xlfn.XLOOKUP(
tbl_encuesta[[#This Row],[Mi supervisor o jefe directo nos brinda charlas de 5 minutos y comunica las novedades relevantes a mi puesto de trabajo]],#REF!,#REF!
)</f>
        <v>#REF!</v>
      </c>
      <c r="R1313" t="s">
        <v>17</v>
      </c>
      <c r="W1313" t="s">
        <v>25</v>
      </c>
      <c r="X1313" t="s">
        <v>22</v>
      </c>
      <c r="Y1313" t="e">
        <f>+_xlfn.XLOOKUP(tbl_encuesta[[#This Row],[Considero a Limtek como un buen lugar para trabajar]],#REF!,#REF!)</f>
        <v>#REF!</v>
      </c>
      <c r="Z1313" t="s">
        <v>3241</v>
      </c>
      <c r="AA1313" t="s">
        <v>125</v>
      </c>
      <c r="AB1313" t="s">
        <v>28</v>
      </c>
      <c r="AC1313" s="3" t="s">
        <v>3769</v>
      </c>
      <c r="AD1313" s="3" t="s">
        <v>3769</v>
      </c>
      <c r="AE1313" t="s">
        <v>29</v>
      </c>
    </row>
    <row r="1314" spans="1:31" x14ac:dyDescent="0.25">
      <c r="A1314">
        <v>119025746858</v>
      </c>
      <c r="B1314">
        <v>462598545</v>
      </c>
      <c r="C1314" s="1">
        <v>46014.526597222219</v>
      </c>
      <c r="D1314" s="1">
        <v>46014.531273148146</v>
      </c>
      <c r="E1314" t="s">
        <v>3092</v>
      </c>
      <c r="F1314" t="s">
        <v>23</v>
      </c>
      <c r="G1314" t="e">
        <f>+_xlfn.XLOOKUP(tbl_encuesta[[#This Row],[Me siento a gusto con el ambiente de trabajo que se genera en mi equipo.]],#REF!,#REF!)</f>
        <v>#REF!</v>
      </c>
      <c r="H1314" t="s">
        <v>23</v>
      </c>
      <c r="I1314" t="e">
        <f>+_xlfn.XLOOKUP(tbl_encuesta[[#This Row],[Me siento motivado a dar lo mejor de mí y hacer un buen trabajo]],#REF!,#REF!)</f>
        <v>#REF!</v>
      </c>
      <c r="J1314" t="s">
        <v>23</v>
      </c>
      <c r="K1314" t="e">
        <f>+_xlfn.XLOOKUP(tbl_encuesta[[#This Row],[Mi supervisor o jefe directo me otorga el soporte que necesito para afrontar cualquier problema que afecte mi trabajo]],#REF!,#REF!)</f>
        <v>#REF!</v>
      </c>
      <c r="L1314" t="s">
        <v>23</v>
      </c>
      <c r="M1314" t="e">
        <f>+_xlfn.XLOOKUP(tbl_encuesta[[#This Row],[Mi supervisor o jefe directo fomenta que nos apoyemos entre todos en el equipo]],#REF!,#REF!)</f>
        <v>#REF!</v>
      </c>
      <c r="N1314" t="s">
        <v>23</v>
      </c>
      <c r="O1314" t="e">
        <f>+_xlfn.XLOOKUP(tbl_encuesta[[#This Row],[Siento que mi trabajo es reconocido por mi supervisor o jefe directo.]],#REF!,#REF!)</f>
        <v>#REF!</v>
      </c>
      <c r="P1314" t="s">
        <v>31</v>
      </c>
      <c r="Q1314" t="e">
        <f xml:space="preserve">
_xlfn.XLOOKUP(
tbl_encuesta[[#This Row],[Mi supervisor o jefe directo nos brinda charlas de 5 minutos y comunica las novedades relevantes a mi puesto de trabajo]],#REF!,#REF!
)</f>
        <v>#REF!</v>
      </c>
      <c r="R1314" t="s">
        <v>17</v>
      </c>
      <c r="S1314" t="s">
        <v>18</v>
      </c>
      <c r="W1314" t="s">
        <v>25</v>
      </c>
      <c r="X1314" t="s">
        <v>23</v>
      </c>
      <c r="Y1314" t="e">
        <f>+_xlfn.XLOOKUP(tbl_encuesta[[#This Row],[Considero a Limtek como un buen lugar para trabajar]],#REF!,#REF!)</f>
        <v>#REF!</v>
      </c>
      <c r="Z1314" t="s">
        <v>193</v>
      </c>
      <c r="AA1314" t="s">
        <v>638</v>
      </c>
      <c r="AB1314" t="s">
        <v>28</v>
      </c>
      <c r="AC1314" s="3" t="s">
        <v>3769</v>
      </c>
      <c r="AD1314" s="3" t="s">
        <v>3772</v>
      </c>
      <c r="AE1314" t="s">
        <v>69</v>
      </c>
    </row>
    <row r="1315" spans="1:31" x14ac:dyDescent="0.25">
      <c r="A1315">
        <v>119025745088</v>
      </c>
      <c r="B1315">
        <v>462598545</v>
      </c>
      <c r="C1315" s="1">
        <v>46014.523379629631</v>
      </c>
      <c r="D1315" s="1">
        <v>46014.528275462966</v>
      </c>
      <c r="E1315" t="s">
        <v>3242</v>
      </c>
      <c r="F1315" t="s">
        <v>23</v>
      </c>
      <c r="G1315" t="e">
        <f>+_xlfn.XLOOKUP(tbl_encuesta[[#This Row],[Me siento a gusto con el ambiente de trabajo que se genera en mi equipo.]],#REF!,#REF!)</f>
        <v>#REF!</v>
      </c>
      <c r="H1315" t="s">
        <v>23</v>
      </c>
      <c r="I1315" t="e">
        <f>+_xlfn.XLOOKUP(tbl_encuesta[[#This Row],[Me siento motivado a dar lo mejor de mí y hacer un buen trabajo]],#REF!,#REF!)</f>
        <v>#REF!</v>
      </c>
      <c r="J1315" t="s">
        <v>23</v>
      </c>
      <c r="K1315" t="e">
        <f>+_xlfn.XLOOKUP(tbl_encuesta[[#This Row],[Mi supervisor o jefe directo me otorga el soporte que necesito para afrontar cualquier problema que afecte mi trabajo]],#REF!,#REF!)</f>
        <v>#REF!</v>
      </c>
      <c r="L1315" t="s">
        <v>23</v>
      </c>
      <c r="M1315" t="e">
        <f>+_xlfn.XLOOKUP(tbl_encuesta[[#This Row],[Mi supervisor o jefe directo fomenta que nos apoyemos entre todos en el equipo]],#REF!,#REF!)</f>
        <v>#REF!</v>
      </c>
      <c r="N1315" t="s">
        <v>23</v>
      </c>
      <c r="O1315" t="e">
        <f>+_xlfn.XLOOKUP(tbl_encuesta[[#This Row],[Siento que mi trabajo es reconocido por mi supervisor o jefe directo.]],#REF!,#REF!)</f>
        <v>#REF!</v>
      </c>
      <c r="P1315" t="s">
        <v>31</v>
      </c>
      <c r="Q1315" t="e">
        <f xml:space="preserve">
_xlfn.XLOOKUP(
tbl_encuesta[[#This Row],[Mi supervisor o jefe directo nos brinda charlas de 5 minutos y comunica las novedades relevantes a mi puesto de trabajo]],#REF!,#REF!
)</f>
        <v>#REF!</v>
      </c>
      <c r="R1315" t="s">
        <v>17</v>
      </c>
      <c r="T1315" t="s">
        <v>19</v>
      </c>
      <c r="W1315" t="s">
        <v>25</v>
      </c>
      <c r="X1315" t="s">
        <v>23</v>
      </c>
      <c r="Y1315" t="e">
        <f>+_xlfn.XLOOKUP(tbl_encuesta[[#This Row],[Considero a Limtek como un buen lugar para trabajar]],#REF!,#REF!)</f>
        <v>#REF!</v>
      </c>
      <c r="Z1315" t="s">
        <v>3243</v>
      </c>
      <c r="AA1315" t="s">
        <v>3244</v>
      </c>
      <c r="AB1315" t="s">
        <v>38</v>
      </c>
      <c r="AC1315" s="3" t="s">
        <v>3610</v>
      </c>
      <c r="AD1315" s="3" t="s">
        <v>3610</v>
      </c>
      <c r="AE1315" t="s">
        <v>61</v>
      </c>
    </row>
    <row r="1316" spans="1:31" x14ac:dyDescent="0.25">
      <c r="A1316">
        <v>119025743888</v>
      </c>
      <c r="B1316">
        <v>462598545</v>
      </c>
      <c r="C1316" s="1">
        <v>46014.521469907406</v>
      </c>
      <c r="D1316" s="1">
        <v>46014.526469907411</v>
      </c>
      <c r="E1316" t="s">
        <v>3245</v>
      </c>
      <c r="F1316" t="s">
        <v>23</v>
      </c>
      <c r="G1316" t="e">
        <f>+_xlfn.XLOOKUP(tbl_encuesta[[#This Row],[Me siento a gusto con el ambiente de trabajo que se genera en mi equipo.]],#REF!,#REF!)</f>
        <v>#REF!</v>
      </c>
      <c r="H1316" t="s">
        <v>23</v>
      </c>
      <c r="I1316" t="e">
        <f>+_xlfn.XLOOKUP(tbl_encuesta[[#This Row],[Me siento motivado a dar lo mejor de mí y hacer un buen trabajo]],#REF!,#REF!)</f>
        <v>#REF!</v>
      </c>
      <c r="J1316" t="s">
        <v>22</v>
      </c>
      <c r="K1316" t="e">
        <f>+_xlfn.XLOOKUP(tbl_encuesta[[#This Row],[Mi supervisor o jefe directo me otorga el soporte que necesito para afrontar cualquier problema que afecte mi trabajo]],#REF!,#REF!)</f>
        <v>#REF!</v>
      </c>
      <c r="L1316" t="s">
        <v>23</v>
      </c>
      <c r="M1316" t="e">
        <f>+_xlfn.XLOOKUP(tbl_encuesta[[#This Row],[Mi supervisor o jefe directo fomenta que nos apoyemos entre todos en el equipo]],#REF!,#REF!)</f>
        <v>#REF!</v>
      </c>
      <c r="N1316" t="s">
        <v>23</v>
      </c>
      <c r="O1316" t="e">
        <f>+_xlfn.XLOOKUP(tbl_encuesta[[#This Row],[Siento que mi trabajo es reconocido por mi supervisor o jefe directo.]],#REF!,#REF!)</f>
        <v>#REF!</v>
      </c>
      <c r="P1316" t="s">
        <v>31</v>
      </c>
      <c r="Q1316" t="e">
        <f xml:space="preserve">
_xlfn.XLOOKUP(
tbl_encuesta[[#This Row],[Mi supervisor o jefe directo nos brinda charlas de 5 minutos y comunica las novedades relevantes a mi puesto de trabajo]],#REF!,#REF!
)</f>
        <v>#REF!</v>
      </c>
      <c r="U1316" t="s">
        <v>20</v>
      </c>
      <c r="V1316" t="s">
        <v>3246</v>
      </c>
      <c r="W1316" t="s">
        <v>25</v>
      </c>
      <c r="X1316" t="s">
        <v>23</v>
      </c>
      <c r="Y1316" t="e">
        <f>+_xlfn.XLOOKUP(tbl_encuesta[[#This Row],[Considero a Limtek como un buen lugar para trabajar]],#REF!,#REF!)</f>
        <v>#REF!</v>
      </c>
      <c r="Z1316" t="s">
        <v>1574</v>
      </c>
      <c r="AA1316" t="s">
        <v>3247</v>
      </c>
      <c r="AB1316" t="s">
        <v>28</v>
      </c>
      <c r="AC1316" s="3" t="s">
        <v>3769</v>
      </c>
      <c r="AD1316" s="3" t="s">
        <v>3772</v>
      </c>
      <c r="AE1316" t="s">
        <v>61</v>
      </c>
    </row>
    <row r="1317" spans="1:31" x14ac:dyDescent="0.25">
      <c r="A1317">
        <v>119025742253</v>
      </c>
      <c r="B1317">
        <v>462598545</v>
      </c>
      <c r="C1317" s="1">
        <v>46014.514872685184</v>
      </c>
      <c r="D1317" s="1">
        <v>46014.524027777778</v>
      </c>
      <c r="E1317" t="s">
        <v>3248</v>
      </c>
      <c r="F1317" t="s">
        <v>22</v>
      </c>
      <c r="G1317" t="e">
        <f>+_xlfn.XLOOKUP(tbl_encuesta[[#This Row],[Me siento a gusto con el ambiente de trabajo que se genera en mi equipo.]],#REF!,#REF!)</f>
        <v>#REF!</v>
      </c>
      <c r="H1317" t="s">
        <v>23</v>
      </c>
      <c r="I1317" t="e">
        <f>+_xlfn.XLOOKUP(tbl_encuesta[[#This Row],[Me siento motivado a dar lo mejor de mí y hacer un buen trabajo]],#REF!,#REF!)</f>
        <v>#REF!</v>
      </c>
      <c r="J1317" t="s">
        <v>22</v>
      </c>
      <c r="K1317" t="e">
        <f>+_xlfn.XLOOKUP(tbl_encuesta[[#This Row],[Mi supervisor o jefe directo me otorga el soporte que necesito para afrontar cualquier problema que afecte mi trabajo]],#REF!,#REF!)</f>
        <v>#REF!</v>
      </c>
      <c r="L1317" t="s">
        <v>23</v>
      </c>
      <c r="M1317" t="e">
        <f>+_xlfn.XLOOKUP(tbl_encuesta[[#This Row],[Mi supervisor o jefe directo fomenta que nos apoyemos entre todos en el equipo]],#REF!,#REF!)</f>
        <v>#REF!</v>
      </c>
      <c r="N1317" t="s">
        <v>22</v>
      </c>
      <c r="O1317" t="e">
        <f>+_xlfn.XLOOKUP(tbl_encuesta[[#This Row],[Siento que mi trabajo es reconocido por mi supervisor o jefe directo.]],#REF!,#REF!)</f>
        <v>#REF!</v>
      </c>
      <c r="P1317" t="s">
        <v>31</v>
      </c>
      <c r="Q1317" t="e">
        <f xml:space="preserve">
_xlfn.XLOOKUP(
tbl_encuesta[[#This Row],[Mi supervisor o jefe directo nos brinda charlas de 5 minutos y comunica las novedades relevantes a mi puesto de trabajo]],#REF!,#REF!
)</f>
        <v>#REF!</v>
      </c>
      <c r="V1317" t="s">
        <v>3249</v>
      </c>
      <c r="W1317" t="s">
        <v>25</v>
      </c>
      <c r="X1317" t="s">
        <v>22</v>
      </c>
      <c r="Y1317" t="e">
        <f>+_xlfn.XLOOKUP(tbl_encuesta[[#This Row],[Considero a Limtek como un buen lugar para trabajar]],#REF!,#REF!)</f>
        <v>#REF!</v>
      </c>
      <c r="Z1317" t="s">
        <v>576</v>
      </c>
      <c r="AA1317" t="s">
        <v>54</v>
      </c>
      <c r="AB1317" t="s">
        <v>28</v>
      </c>
      <c r="AC1317" s="3" t="s">
        <v>3752</v>
      </c>
      <c r="AD1317" s="3" t="s">
        <v>3752</v>
      </c>
      <c r="AE1317" t="s">
        <v>61</v>
      </c>
    </row>
    <row r="1318" spans="1:31" x14ac:dyDescent="0.25">
      <c r="A1318">
        <v>119025741424</v>
      </c>
      <c r="B1318">
        <v>462598545</v>
      </c>
      <c r="C1318" s="1">
        <v>46014.518263888887</v>
      </c>
      <c r="D1318" s="1">
        <v>46014.522789351853</v>
      </c>
      <c r="E1318" t="s">
        <v>3250</v>
      </c>
      <c r="F1318" t="s">
        <v>23</v>
      </c>
      <c r="G1318" t="e">
        <f>+_xlfn.XLOOKUP(tbl_encuesta[[#This Row],[Me siento a gusto con el ambiente de trabajo que se genera en mi equipo.]],#REF!,#REF!)</f>
        <v>#REF!</v>
      </c>
      <c r="H1318" t="s">
        <v>23</v>
      </c>
      <c r="I1318" t="e">
        <f>+_xlfn.XLOOKUP(tbl_encuesta[[#This Row],[Me siento motivado a dar lo mejor de mí y hacer un buen trabajo]],#REF!,#REF!)</f>
        <v>#REF!</v>
      </c>
      <c r="J1318" t="s">
        <v>23</v>
      </c>
      <c r="K1318" t="e">
        <f>+_xlfn.XLOOKUP(tbl_encuesta[[#This Row],[Mi supervisor o jefe directo me otorga el soporte que necesito para afrontar cualquier problema que afecte mi trabajo]],#REF!,#REF!)</f>
        <v>#REF!</v>
      </c>
      <c r="L1318" t="s">
        <v>23</v>
      </c>
      <c r="M1318" t="e">
        <f>+_xlfn.XLOOKUP(tbl_encuesta[[#This Row],[Mi supervisor o jefe directo fomenta que nos apoyemos entre todos en el equipo]],#REF!,#REF!)</f>
        <v>#REF!</v>
      </c>
      <c r="N1318" t="s">
        <v>23</v>
      </c>
      <c r="O1318" t="e">
        <f>+_xlfn.XLOOKUP(tbl_encuesta[[#This Row],[Siento que mi trabajo es reconocido por mi supervisor o jefe directo.]],#REF!,#REF!)</f>
        <v>#REF!</v>
      </c>
      <c r="P1318" t="s">
        <v>31</v>
      </c>
      <c r="Q1318" t="e">
        <f xml:space="preserve">
_xlfn.XLOOKUP(
tbl_encuesta[[#This Row],[Mi supervisor o jefe directo nos brinda charlas de 5 minutos y comunica las novedades relevantes a mi puesto de trabajo]],#REF!,#REF!
)</f>
        <v>#REF!</v>
      </c>
      <c r="R1318" t="s">
        <v>17</v>
      </c>
      <c r="S1318" t="s">
        <v>18</v>
      </c>
      <c r="W1318" t="s">
        <v>25</v>
      </c>
      <c r="X1318" t="s">
        <v>23</v>
      </c>
      <c r="Y1318" t="e">
        <f>+_xlfn.XLOOKUP(tbl_encuesta[[#This Row],[Considero a Limtek como un buen lugar para trabajar]],#REF!,#REF!)</f>
        <v>#REF!</v>
      </c>
      <c r="Z1318" t="s">
        <v>3251</v>
      </c>
      <c r="AA1318" t="s">
        <v>54</v>
      </c>
      <c r="AB1318" t="s">
        <v>38</v>
      </c>
      <c r="AC1318" s="3" t="s">
        <v>3610</v>
      </c>
      <c r="AD1318" s="3" t="s">
        <v>3692</v>
      </c>
      <c r="AE1318" t="s">
        <v>55</v>
      </c>
    </row>
    <row r="1319" spans="1:31" x14ac:dyDescent="0.25">
      <c r="A1319">
        <v>119025729192</v>
      </c>
      <c r="B1319">
        <v>462598545</v>
      </c>
      <c r="C1319" s="1">
        <v>46014.501111111109</v>
      </c>
      <c r="D1319" s="1">
        <v>46014.50508101852</v>
      </c>
      <c r="E1319" t="s">
        <v>3252</v>
      </c>
      <c r="F1319" t="s">
        <v>23</v>
      </c>
      <c r="G1319" t="e">
        <f>+_xlfn.XLOOKUP(tbl_encuesta[[#This Row],[Me siento a gusto con el ambiente de trabajo que se genera en mi equipo.]],#REF!,#REF!)</f>
        <v>#REF!</v>
      </c>
      <c r="H1319" t="s">
        <v>23</v>
      </c>
      <c r="I1319" t="e">
        <f>+_xlfn.XLOOKUP(tbl_encuesta[[#This Row],[Me siento motivado a dar lo mejor de mí y hacer un buen trabajo]],#REF!,#REF!)</f>
        <v>#REF!</v>
      </c>
      <c r="J1319" t="s">
        <v>23</v>
      </c>
      <c r="K1319" t="e">
        <f>+_xlfn.XLOOKUP(tbl_encuesta[[#This Row],[Mi supervisor o jefe directo me otorga el soporte que necesito para afrontar cualquier problema que afecte mi trabajo]],#REF!,#REF!)</f>
        <v>#REF!</v>
      </c>
      <c r="L1319" t="s">
        <v>23</v>
      </c>
      <c r="M1319" t="e">
        <f>+_xlfn.XLOOKUP(tbl_encuesta[[#This Row],[Mi supervisor o jefe directo fomenta que nos apoyemos entre todos en el equipo]],#REF!,#REF!)</f>
        <v>#REF!</v>
      </c>
      <c r="N1319" t="s">
        <v>23</v>
      </c>
      <c r="O1319" t="e">
        <f>+_xlfn.XLOOKUP(tbl_encuesta[[#This Row],[Siento que mi trabajo es reconocido por mi supervisor o jefe directo.]],#REF!,#REF!)</f>
        <v>#REF!</v>
      </c>
      <c r="P1319" t="s">
        <v>31</v>
      </c>
      <c r="Q1319" t="e">
        <f xml:space="preserve">
_xlfn.XLOOKUP(
tbl_encuesta[[#This Row],[Mi supervisor o jefe directo nos brinda charlas de 5 minutos y comunica las novedades relevantes a mi puesto de trabajo]],#REF!,#REF!
)</f>
        <v>#REF!</v>
      </c>
      <c r="R1319" t="s">
        <v>17</v>
      </c>
      <c r="S1319" t="s">
        <v>18</v>
      </c>
      <c r="W1319" t="s">
        <v>46</v>
      </c>
      <c r="X1319" t="s">
        <v>23</v>
      </c>
      <c r="Y1319" t="e">
        <f>+_xlfn.XLOOKUP(tbl_encuesta[[#This Row],[Considero a Limtek como un buen lugar para trabajar]],#REF!,#REF!)</f>
        <v>#REF!</v>
      </c>
      <c r="Z1319" t="s">
        <v>3253</v>
      </c>
      <c r="AA1319" t="s">
        <v>3254</v>
      </c>
      <c r="AB1319" t="s">
        <v>38</v>
      </c>
      <c r="AC1319" s="3" t="s">
        <v>3610</v>
      </c>
      <c r="AD1319" s="3" t="s">
        <v>3693</v>
      </c>
      <c r="AE1319" t="s">
        <v>55</v>
      </c>
    </row>
    <row r="1320" spans="1:31" x14ac:dyDescent="0.25">
      <c r="A1320">
        <v>119025724296</v>
      </c>
      <c r="B1320">
        <v>462598545</v>
      </c>
      <c r="C1320" s="1">
        <v>46014.495891203704</v>
      </c>
      <c r="D1320" s="1">
        <v>46014.49795138889</v>
      </c>
      <c r="E1320" t="s">
        <v>3255</v>
      </c>
      <c r="F1320" t="s">
        <v>23</v>
      </c>
      <c r="G1320" t="e">
        <f>+_xlfn.XLOOKUP(tbl_encuesta[[#This Row],[Me siento a gusto con el ambiente de trabajo que se genera en mi equipo.]],#REF!,#REF!)</f>
        <v>#REF!</v>
      </c>
      <c r="H1320" t="s">
        <v>23</v>
      </c>
      <c r="I1320" t="e">
        <f>+_xlfn.XLOOKUP(tbl_encuesta[[#This Row],[Me siento motivado a dar lo mejor de mí y hacer un buen trabajo]],#REF!,#REF!)</f>
        <v>#REF!</v>
      </c>
      <c r="J1320" t="s">
        <v>23</v>
      </c>
      <c r="K1320" t="e">
        <f>+_xlfn.XLOOKUP(tbl_encuesta[[#This Row],[Mi supervisor o jefe directo me otorga el soporte que necesito para afrontar cualquier problema que afecte mi trabajo]],#REF!,#REF!)</f>
        <v>#REF!</v>
      </c>
      <c r="L1320" t="s">
        <v>23</v>
      </c>
      <c r="M1320" t="e">
        <f>+_xlfn.XLOOKUP(tbl_encuesta[[#This Row],[Mi supervisor o jefe directo fomenta que nos apoyemos entre todos en el equipo]],#REF!,#REF!)</f>
        <v>#REF!</v>
      </c>
      <c r="N1320" t="s">
        <v>23</v>
      </c>
      <c r="O1320" t="e">
        <f>+_xlfn.XLOOKUP(tbl_encuesta[[#This Row],[Siento que mi trabajo es reconocido por mi supervisor o jefe directo.]],#REF!,#REF!)</f>
        <v>#REF!</v>
      </c>
      <c r="P1320" t="s">
        <v>31</v>
      </c>
      <c r="Q1320" t="e">
        <f xml:space="preserve">
_xlfn.XLOOKUP(
tbl_encuesta[[#This Row],[Mi supervisor o jefe directo nos brinda charlas de 5 minutos y comunica las novedades relevantes a mi puesto de trabajo]],#REF!,#REF!
)</f>
        <v>#REF!</v>
      </c>
      <c r="R1320" t="s">
        <v>17</v>
      </c>
      <c r="S1320" t="s">
        <v>18</v>
      </c>
      <c r="W1320" t="s">
        <v>25</v>
      </c>
      <c r="X1320" t="s">
        <v>23</v>
      </c>
      <c r="Y1320" t="e">
        <f>+_xlfn.XLOOKUP(tbl_encuesta[[#This Row],[Considero a Limtek como un buen lugar para trabajar]],#REF!,#REF!)</f>
        <v>#REF!</v>
      </c>
      <c r="Z1320" t="s">
        <v>3256</v>
      </c>
      <c r="AA1320" t="s">
        <v>3257</v>
      </c>
      <c r="AB1320" t="s">
        <v>38</v>
      </c>
      <c r="AC1320" s="3" t="s">
        <v>3610</v>
      </c>
      <c r="AD1320" s="3" t="s">
        <v>3610</v>
      </c>
      <c r="AE1320" t="s">
        <v>34</v>
      </c>
    </row>
    <row r="1321" spans="1:31" x14ac:dyDescent="0.25">
      <c r="A1321">
        <v>119025723282</v>
      </c>
      <c r="B1321">
        <v>462598545</v>
      </c>
      <c r="C1321" s="1">
        <v>46014.489629629628</v>
      </c>
      <c r="D1321" s="1">
        <v>46014.496354166666</v>
      </c>
      <c r="E1321" t="s">
        <v>3258</v>
      </c>
      <c r="F1321" t="s">
        <v>23</v>
      </c>
      <c r="G1321" t="e">
        <f>+_xlfn.XLOOKUP(tbl_encuesta[[#This Row],[Me siento a gusto con el ambiente de trabajo que se genera en mi equipo.]],#REF!,#REF!)</f>
        <v>#REF!</v>
      </c>
      <c r="H1321" t="s">
        <v>23</v>
      </c>
      <c r="I1321" t="e">
        <f>+_xlfn.XLOOKUP(tbl_encuesta[[#This Row],[Me siento motivado a dar lo mejor de mí y hacer un buen trabajo]],#REF!,#REF!)</f>
        <v>#REF!</v>
      </c>
      <c r="J1321" t="s">
        <v>22</v>
      </c>
      <c r="K1321" t="e">
        <f>+_xlfn.XLOOKUP(tbl_encuesta[[#This Row],[Mi supervisor o jefe directo me otorga el soporte que necesito para afrontar cualquier problema que afecte mi trabajo]],#REF!,#REF!)</f>
        <v>#REF!</v>
      </c>
      <c r="L1321" t="s">
        <v>23</v>
      </c>
      <c r="M1321" t="e">
        <f>+_xlfn.XLOOKUP(tbl_encuesta[[#This Row],[Mi supervisor o jefe directo fomenta que nos apoyemos entre todos en el equipo]],#REF!,#REF!)</f>
        <v>#REF!</v>
      </c>
      <c r="N1321" t="s">
        <v>23</v>
      </c>
      <c r="O1321" t="e">
        <f>+_xlfn.XLOOKUP(tbl_encuesta[[#This Row],[Siento que mi trabajo es reconocido por mi supervisor o jefe directo.]],#REF!,#REF!)</f>
        <v>#REF!</v>
      </c>
      <c r="P1321" t="s">
        <v>31</v>
      </c>
      <c r="Q1321" t="e">
        <f xml:space="preserve">
_xlfn.XLOOKUP(
tbl_encuesta[[#This Row],[Mi supervisor o jefe directo nos brinda charlas de 5 minutos y comunica las novedades relevantes a mi puesto de trabajo]],#REF!,#REF!
)</f>
        <v>#REF!</v>
      </c>
      <c r="R1321" t="s">
        <v>17</v>
      </c>
      <c r="W1321" t="s">
        <v>25</v>
      </c>
      <c r="X1321" t="s">
        <v>23</v>
      </c>
      <c r="Y1321" t="e">
        <f>+_xlfn.XLOOKUP(tbl_encuesta[[#This Row],[Considero a Limtek como un buen lugar para trabajar]],#REF!,#REF!)</f>
        <v>#REF!</v>
      </c>
      <c r="Z1321" t="s">
        <v>3259</v>
      </c>
      <c r="AA1321" t="s">
        <v>3260</v>
      </c>
      <c r="AB1321" t="s">
        <v>38</v>
      </c>
      <c r="AC1321" s="3" t="s">
        <v>3610</v>
      </c>
      <c r="AD1321" s="3" t="s">
        <v>3610</v>
      </c>
      <c r="AE1321" t="s">
        <v>29</v>
      </c>
    </row>
    <row r="1322" spans="1:31" x14ac:dyDescent="0.25">
      <c r="A1322">
        <v>119025721975</v>
      </c>
      <c r="B1322">
        <v>462598545</v>
      </c>
      <c r="C1322" s="1">
        <v>46014.489837962959</v>
      </c>
      <c r="D1322" s="1">
        <v>46014.494421296295</v>
      </c>
      <c r="E1322" t="s">
        <v>3261</v>
      </c>
      <c r="F1322" t="s">
        <v>23</v>
      </c>
      <c r="G1322" t="e">
        <f>+_xlfn.XLOOKUP(tbl_encuesta[[#This Row],[Me siento a gusto con el ambiente de trabajo que se genera en mi equipo.]],#REF!,#REF!)</f>
        <v>#REF!</v>
      </c>
      <c r="H1322" t="s">
        <v>23</v>
      </c>
      <c r="I1322" t="e">
        <f>+_xlfn.XLOOKUP(tbl_encuesta[[#This Row],[Me siento motivado a dar lo mejor de mí y hacer un buen trabajo]],#REF!,#REF!)</f>
        <v>#REF!</v>
      </c>
      <c r="J1322" t="s">
        <v>23</v>
      </c>
      <c r="K1322" t="e">
        <f>+_xlfn.XLOOKUP(tbl_encuesta[[#This Row],[Mi supervisor o jefe directo me otorga el soporte que necesito para afrontar cualquier problema que afecte mi trabajo]],#REF!,#REF!)</f>
        <v>#REF!</v>
      </c>
      <c r="L1322" t="s">
        <v>23</v>
      </c>
      <c r="M1322" t="e">
        <f>+_xlfn.XLOOKUP(tbl_encuesta[[#This Row],[Mi supervisor o jefe directo fomenta que nos apoyemos entre todos en el equipo]],#REF!,#REF!)</f>
        <v>#REF!</v>
      </c>
      <c r="N1322" t="s">
        <v>23</v>
      </c>
      <c r="O1322" t="e">
        <f>+_xlfn.XLOOKUP(tbl_encuesta[[#This Row],[Siento que mi trabajo es reconocido por mi supervisor o jefe directo.]],#REF!,#REF!)</f>
        <v>#REF!</v>
      </c>
      <c r="P1322" t="s">
        <v>31</v>
      </c>
      <c r="Q1322" t="e">
        <f xml:space="preserve">
_xlfn.XLOOKUP(
tbl_encuesta[[#This Row],[Mi supervisor o jefe directo nos brinda charlas de 5 minutos y comunica las novedades relevantes a mi puesto de trabajo]],#REF!,#REF!
)</f>
        <v>#REF!</v>
      </c>
      <c r="R1322" t="s">
        <v>17</v>
      </c>
      <c r="S1322" t="s">
        <v>18</v>
      </c>
      <c r="W1322" t="s">
        <v>25</v>
      </c>
      <c r="X1322" t="s">
        <v>23</v>
      </c>
      <c r="Y1322" t="e">
        <f>+_xlfn.XLOOKUP(tbl_encuesta[[#This Row],[Considero a Limtek como un buen lugar para trabajar]],#REF!,#REF!)</f>
        <v>#REF!</v>
      </c>
      <c r="Z1322" t="s">
        <v>3262</v>
      </c>
      <c r="AA1322" t="s">
        <v>3263</v>
      </c>
      <c r="AB1322" t="s">
        <v>38</v>
      </c>
      <c r="AC1322" t="s">
        <v>3744</v>
      </c>
      <c r="AD1322" t="s">
        <v>3744</v>
      </c>
      <c r="AE1322" t="s">
        <v>55</v>
      </c>
    </row>
    <row r="1323" spans="1:31" x14ac:dyDescent="0.25">
      <c r="A1323">
        <v>119025718194</v>
      </c>
      <c r="B1323">
        <v>462598545</v>
      </c>
      <c r="C1323" s="1">
        <v>46014.484074074076</v>
      </c>
      <c r="D1323" s="1">
        <v>46014.488703703704</v>
      </c>
      <c r="E1323" t="s">
        <v>3264</v>
      </c>
      <c r="F1323" t="s">
        <v>23</v>
      </c>
      <c r="G1323" t="e">
        <f>+_xlfn.XLOOKUP(tbl_encuesta[[#This Row],[Me siento a gusto con el ambiente de trabajo que se genera en mi equipo.]],#REF!,#REF!)</f>
        <v>#REF!</v>
      </c>
      <c r="H1323" t="s">
        <v>23</v>
      </c>
      <c r="I1323" t="e">
        <f>+_xlfn.XLOOKUP(tbl_encuesta[[#This Row],[Me siento motivado a dar lo mejor de mí y hacer un buen trabajo]],#REF!,#REF!)</f>
        <v>#REF!</v>
      </c>
      <c r="J1323" t="s">
        <v>22</v>
      </c>
      <c r="K1323" t="e">
        <f>+_xlfn.XLOOKUP(tbl_encuesta[[#This Row],[Mi supervisor o jefe directo me otorga el soporte que necesito para afrontar cualquier problema que afecte mi trabajo]],#REF!,#REF!)</f>
        <v>#REF!</v>
      </c>
      <c r="L1323" t="s">
        <v>23</v>
      </c>
      <c r="M1323" t="e">
        <f>+_xlfn.XLOOKUP(tbl_encuesta[[#This Row],[Mi supervisor o jefe directo fomenta que nos apoyemos entre todos en el equipo]],#REF!,#REF!)</f>
        <v>#REF!</v>
      </c>
      <c r="N1323" t="s">
        <v>23</v>
      </c>
      <c r="O1323" t="e">
        <f>+_xlfn.XLOOKUP(tbl_encuesta[[#This Row],[Siento que mi trabajo es reconocido por mi supervisor o jefe directo.]],#REF!,#REF!)</f>
        <v>#REF!</v>
      </c>
      <c r="P1323" t="s">
        <v>31</v>
      </c>
      <c r="Q1323" t="e">
        <f xml:space="preserve">
_xlfn.XLOOKUP(
tbl_encuesta[[#This Row],[Mi supervisor o jefe directo nos brinda charlas de 5 minutos y comunica las novedades relevantes a mi puesto de trabajo]],#REF!,#REF!
)</f>
        <v>#REF!</v>
      </c>
      <c r="R1323" t="s">
        <v>17</v>
      </c>
      <c r="W1323" t="s">
        <v>25</v>
      </c>
      <c r="X1323" t="s">
        <v>23</v>
      </c>
      <c r="Y1323" t="e">
        <f>+_xlfn.XLOOKUP(tbl_encuesta[[#This Row],[Considero a Limtek como un buen lugar para trabajar]],#REF!,#REF!)</f>
        <v>#REF!</v>
      </c>
      <c r="Z1323" t="s">
        <v>3265</v>
      </c>
      <c r="AA1323" t="s">
        <v>3266</v>
      </c>
      <c r="AB1323" t="s">
        <v>38</v>
      </c>
      <c r="AC1323" s="3" t="s">
        <v>3610</v>
      </c>
      <c r="AD1323" s="3" t="s">
        <v>3694</v>
      </c>
      <c r="AE1323" t="s">
        <v>34</v>
      </c>
    </row>
    <row r="1324" spans="1:31" x14ac:dyDescent="0.25">
      <c r="A1324">
        <v>119025715088</v>
      </c>
      <c r="B1324">
        <v>462598545</v>
      </c>
      <c r="C1324" s="1">
        <v>46014.479432870372</v>
      </c>
      <c r="D1324" s="1">
        <v>46014.484259259261</v>
      </c>
      <c r="E1324" t="s">
        <v>3267</v>
      </c>
      <c r="F1324" t="s">
        <v>23</v>
      </c>
      <c r="G1324" t="e">
        <f>+_xlfn.XLOOKUP(tbl_encuesta[[#This Row],[Me siento a gusto con el ambiente de trabajo que se genera en mi equipo.]],#REF!,#REF!)</f>
        <v>#REF!</v>
      </c>
      <c r="H1324" t="s">
        <v>23</v>
      </c>
      <c r="I1324" t="e">
        <f>+_xlfn.XLOOKUP(tbl_encuesta[[#This Row],[Me siento motivado a dar lo mejor de mí y hacer un buen trabajo]],#REF!,#REF!)</f>
        <v>#REF!</v>
      </c>
      <c r="J1324" t="s">
        <v>22</v>
      </c>
      <c r="K1324" t="e">
        <f>+_xlfn.XLOOKUP(tbl_encuesta[[#This Row],[Mi supervisor o jefe directo me otorga el soporte que necesito para afrontar cualquier problema que afecte mi trabajo]],#REF!,#REF!)</f>
        <v>#REF!</v>
      </c>
      <c r="L1324" t="s">
        <v>22</v>
      </c>
      <c r="M1324" t="e">
        <f>+_xlfn.XLOOKUP(tbl_encuesta[[#This Row],[Mi supervisor o jefe directo fomenta que nos apoyemos entre todos en el equipo]],#REF!,#REF!)</f>
        <v>#REF!</v>
      </c>
      <c r="N1324" t="s">
        <v>97</v>
      </c>
      <c r="O1324" t="e">
        <f>+_xlfn.XLOOKUP(tbl_encuesta[[#This Row],[Siento que mi trabajo es reconocido por mi supervisor o jefe directo.]],#REF!,#REF!)</f>
        <v>#REF!</v>
      </c>
      <c r="P1324" t="s">
        <v>67</v>
      </c>
      <c r="Q1324" t="e">
        <f xml:space="preserve">
_xlfn.XLOOKUP(
tbl_encuesta[[#This Row],[Mi supervisor o jefe directo nos brinda charlas de 5 minutos y comunica las novedades relevantes a mi puesto de trabajo]],#REF!,#REF!
)</f>
        <v>#REF!</v>
      </c>
      <c r="R1324" t="s">
        <v>17</v>
      </c>
      <c r="T1324" t="s">
        <v>19</v>
      </c>
      <c r="W1324" t="s">
        <v>25</v>
      </c>
      <c r="X1324" t="s">
        <v>23</v>
      </c>
      <c r="Y1324" t="e">
        <f>+_xlfn.XLOOKUP(tbl_encuesta[[#This Row],[Considero a Limtek como un buen lugar para trabajar]],#REF!,#REF!)</f>
        <v>#REF!</v>
      </c>
      <c r="Z1324" t="s">
        <v>3268</v>
      </c>
      <c r="AA1324" t="s">
        <v>3269</v>
      </c>
      <c r="AB1324" t="s">
        <v>65</v>
      </c>
      <c r="AC1324" s="3" t="s">
        <v>3610</v>
      </c>
      <c r="AD1324" s="3" t="s">
        <v>3610</v>
      </c>
      <c r="AE1324" t="s">
        <v>34</v>
      </c>
    </row>
    <row r="1325" spans="1:31" x14ac:dyDescent="0.25">
      <c r="A1325">
        <v>119025715084</v>
      </c>
      <c r="B1325">
        <v>462598545</v>
      </c>
      <c r="C1325" s="1">
        <v>46014.477222222224</v>
      </c>
      <c r="D1325" s="1">
        <v>46014.484247685185</v>
      </c>
      <c r="E1325" t="s">
        <v>3270</v>
      </c>
      <c r="F1325" t="s">
        <v>23</v>
      </c>
      <c r="G1325" t="e">
        <f>+_xlfn.XLOOKUP(tbl_encuesta[[#This Row],[Me siento a gusto con el ambiente de trabajo que se genera en mi equipo.]],#REF!,#REF!)</f>
        <v>#REF!</v>
      </c>
      <c r="H1325" t="s">
        <v>23</v>
      </c>
      <c r="I1325" t="e">
        <f>+_xlfn.XLOOKUP(tbl_encuesta[[#This Row],[Me siento motivado a dar lo mejor de mí y hacer un buen trabajo]],#REF!,#REF!)</f>
        <v>#REF!</v>
      </c>
      <c r="J1325" t="s">
        <v>23</v>
      </c>
      <c r="K1325" t="e">
        <f>+_xlfn.XLOOKUP(tbl_encuesta[[#This Row],[Mi supervisor o jefe directo me otorga el soporte que necesito para afrontar cualquier problema que afecte mi trabajo]],#REF!,#REF!)</f>
        <v>#REF!</v>
      </c>
      <c r="L1325" t="s">
        <v>23</v>
      </c>
      <c r="M1325" t="e">
        <f>+_xlfn.XLOOKUP(tbl_encuesta[[#This Row],[Mi supervisor o jefe directo fomenta que nos apoyemos entre todos en el equipo]],#REF!,#REF!)</f>
        <v>#REF!</v>
      </c>
      <c r="N1325" t="s">
        <v>23</v>
      </c>
      <c r="O1325" t="e">
        <f>+_xlfn.XLOOKUP(tbl_encuesta[[#This Row],[Siento que mi trabajo es reconocido por mi supervisor o jefe directo.]],#REF!,#REF!)</f>
        <v>#REF!</v>
      </c>
      <c r="P1325" t="s">
        <v>31</v>
      </c>
      <c r="Q1325" t="e">
        <f xml:space="preserve">
_xlfn.XLOOKUP(
tbl_encuesta[[#This Row],[Mi supervisor o jefe directo nos brinda charlas de 5 minutos y comunica las novedades relevantes a mi puesto de trabajo]],#REF!,#REF!
)</f>
        <v>#REF!</v>
      </c>
      <c r="R1325" t="s">
        <v>17</v>
      </c>
      <c r="W1325" t="s">
        <v>25</v>
      </c>
      <c r="X1325" t="s">
        <v>23</v>
      </c>
      <c r="Y1325" t="e">
        <f>+_xlfn.XLOOKUP(tbl_encuesta[[#This Row],[Considero a Limtek como un buen lugar para trabajar]],#REF!,#REF!)</f>
        <v>#REF!</v>
      </c>
      <c r="Z1325" t="s">
        <v>3271</v>
      </c>
      <c r="AA1325" t="s">
        <v>3272</v>
      </c>
      <c r="AB1325" t="s">
        <v>38</v>
      </c>
      <c r="AC1325" s="3" t="s">
        <v>3610</v>
      </c>
      <c r="AD1325" s="3" t="s">
        <v>3695</v>
      </c>
      <c r="AE1325" t="s">
        <v>29</v>
      </c>
    </row>
    <row r="1326" spans="1:31" x14ac:dyDescent="0.25">
      <c r="A1326">
        <v>119025715066</v>
      </c>
      <c r="B1326">
        <v>462598545</v>
      </c>
      <c r="C1326" s="1">
        <v>46014.480509259258</v>
      </c>
      <c r="D1326" s="1">
        <v>46014.484224537038</v>
      </c>
      <c r="E1326" t="s">
        <v>806</v>
      </c>
      <c r="F1326" t="s">
        <v>23</v>
      </c>
      <c r="G1326" t="e">
        <f>+_xlfn.XLOOKUP(tbl_encuesta[[#This Row],[Me siento a gusto con el ambiente de trabajo que se genera en mi equipo.]],#REF!,#REF!)</f>
        <v>#REF!</v>
      </c>
      <c r="H1326" t="s">
        <v>23</v>
      </c>
      <c r="I1326" t="e">
        <f>+_xlfn.XLOOKUP(tbl_encuesta[[#This Row],[Me siento motivado a dar lo mejor de mí y hacer un buen trabajo]],#REF!,#REF!)</f>
        <v>#REF!</v>
      </c>
      <c r="J1326" t="s">
        <v>22</v>
      </c>
      <c r="K1326" t="e">
        <f>+_xlfn.XLOOKUP(tbl_encuesta[[#This Row],[Mi supervisor o jefe directo me otorga el soporte que necesito para afrontar cualquier problema que afecte mi trabajo]],#REF!,#REF!)</f>
        <v>#REF!</v>
      </c>
      <c r="L1326" t="s">
        <v>22</v>
      </c>
      <c r="M1326" t="e">
        <f>+_xlfn.XLOOKUP(tbl_encuesta[[#This Row],[Mi supervisor o jefe directo fomenta que nos apoyemos entre todos en el equipo]],#REF!,#REF!)</f>
        <v>#REF!</v>
      </c>
      <c r="N1326" t="s">
        <v>22</v>
      </c>
      <c r="O1326" t="e">
        <f>+_xlfn.XLOOKUP(tbl_encuesta[[#This Row],[Siento que mi trabajo es reconocido por mi supervisor o jefe directo.]],#REF!,#REF!)</f>
        <v>#REF!</v>
      </c>
      <c r="P1326" t="s">
        <v>67</v>
      </c>
      <c r="Q1326" t="e">
        <f xml:space="preserve">
_xlfn.XLOOKUP(
tbl_encuesta[[#This Row],[Mi supervisor o jefe directo nos brinda charlas de 5 minutos y comunica las novedades relevantes a mi puesto de trabajo]],#REF!,#REF!
)</f>
        <v>#REF!</v>
      </c>
      <c r="R1326" t="s">
        <v>17</v>
      </c>
      <c r="T1326" t="s">
        <v>19</v>
      </c>
      <c r="W1326" t="s">
        <v>25</v>
      </c>
      <c r="X1326" t="s">
        <v>23</v>
      </c>
      <c r="Y1326" t="e">
        <f>+_xlfn.XLOOKUP(tbl_encuesta[[#This Row],[Considero a Limtek como un buen lugar para trabajar]],#REF!,#REF!)</f>
        <v>#REF!</v>
      </c>
      <c r="Z1326" t="s">
        <v>255</v>
      </c>
      <c r="AA1326" t="s">
        <v>256</v>
      </c>
      <c r="AB1326" t="s">
        <v>65</v>
      </c>
      <c r="AC1326" s="3" t="s">
        <v>3610</v>
      </c>
      <c r="AD1326" s="3" t="s">
        <v>3610</v>
      </c>
      <c r="AE1326" t="s">
        <v>34</v>
      </c>
    </row>
    <row r="1327" spans="1:31" x14ac:dyDescent="0.25">
      <c r="A1327">
        <v>119025713665</v>
      </c>
      <c r="B1327">
        <v>462598545</v>
      </c>
      <c r="C1327" s="1">
        <v>46014.480509259258</v>
      </c>
      <c r="D1327" s="1">
        <v>46014.482106481482</v>
      </c>
      <c r="E1327" t="s">
        <v>3273</v>
      </c>
      <c r="F1327" t="s">
        <v>22</v>
      </c>
      <c r="G1327" t="e">
        <f>+_xlfn.XLOOKUP(tbl_encuesta[[#This Row],[Me siento a gusto con el ambiente de trabajo que se genera en mi equipo.]],#REF!,#REF!)</f>
        <v>#REF!</v>
      </c>
      <c r="H1327" t="s">
        <v>23</v>
      </c>
      <c r="I1327" t="e">
        <f>+_xlfn.XLOOKUP(tbl_encuesta[[#This Row],[Me siento motivado a dar lo mejor de mí y hacer un buen trabajo]],#REF!,#REF!)</f>
        <v>#REF!</v>
      </c>
      <c r="J1327" t="s">
        <v>22</v>
      </c>
      <c r="K1327" t="e">
        <f>+_xlfn.XLOOKUP(tbl_encuesta[[#This Row],[Mi supervisor o jefe directo me otorga el soporte que necesito para afrontar cualquier problema que afecte mi trabajo]],#REF!,#REF!)</f>
        <v>#REF!</v>
      </c>
      <c r="L1327" t="s">
        <v>22</v>
      </c>
      <c r="M1327" t="e">
        <f>+_xlfn.XLOOKUP(tbl_encuesta[[#This Row],[Mi supervisor o jefe directo fomenta que nos apoyemos entre todos en el equipo]],#REF!,#REF!)</f>
        <v>#REF!</v>
      </c>
      <c r="N1327" t="s">
        <v>22</v>
      </c>
      <c r="O1327" t="e">
        <f>+_xlfn.XLOOKUP(tbl_encuesta[[#This Row],[Siento que mi trabajo es reconocido por mi supervisor o jefe directo.]],#REF!,#REF!)</f>
        <v>#REF!</v>
      </c>
      <c r="P1327" t="s">
        <v>24</v>
      </c>
      <c r="Q1327" t="e">
        <f xml:space="preserve">
_xlfn.XLOOKUP(
tbl_encuesta[[#This Row],[Mi supervisor o jefe directo nos brinda charlas de 5 minutos y comunica las novedades relevantes a mi puesto de trabajo]],#REF!,#REF!
)</f>
        <v>#REF!</v>
      </c>
      <c r="S1327" t="s">
        <v>18</v>
      </c>
      <c r="W1327" t="s">
        <v>25</v>
      </c>
      <c r="X1327" t="s">
        <v>23</v>
      </c>
      <c r="Y1327" t="e">
        <f>+_xlfn.XLOOKUP(tbl_encuesta[[#This Row],[Considero a Limtek como un buen lugar para trabajar]],#REF!,#REF!)</f>
        <v>#REF!</v>
      </c>
      <c r="Z1327" t="s">
        <v>576</v>
      </c>
      <c r="AA1327" t="s">
        <v>3274</v>
      </c>
      <c r="AB1327" t="s">
        <v>883</v>
      </c>
      <c r="AC1327" s="3" t="s">
        <v>3716</v>
      </c>
      <c r="AD1327" s="3" t="s">
        <v>3719</v>
      </c>
      <c r="AE1327" t="s">
        <v>69</v>
      </c>
    </row>
    <row r="1328" spans="1:31" x14ac:dyDescent="0.25">
      <c r="A1328">
        <v>119025713509</v>
      </c>
      <c r="B1328">
        <v>462598545</v>
      </c>
      <c r="C1328" s="1">
        <v>46014.478402777779</v>
      </c>
      <c r="D1328" s="1">
        <v>46014.481863425928</v>
      </c>
      <c r="E1328" t="s">
        <v>3275</v>
      </c>
      <c r="F1328" t="s">
        <v>23</v>
      </c>
      <c r="G1328" t="e">
        <f>+_xlfn.XLOOKUP(tbl_encuesta[[#This Row],[Me siento a gusto con el ambiente de trabajo que se genera en mi equipo.]],#REF!,#REF!)</f>
        <v>#REF!</v>
      </c>
      <c r="H1328" t="s">
        <v>23</v>
      </c>
      <c r="I1328" t="e">
        <f>+_xlfn.XLOOKUP(tbl_encuesta[[#This Row],[Me siento motivado a dar lo mejor de mí y hacer un buen trabajo]],#REF!,#REF!)</f>
        <v>#REF!</v>
      </c>
      <c r="J1328" t="s">
        <v>23</v>
      </c>
      <c r="K1328" t="e">
        <f>+_xlfn.XLOOKUP(tbl_encuesta[[#This Row],[Mi supervisor o jefe directo me otorga el soporte que necesito para afrontar cualquier problema que afecte mi trabajo]],#REF!,#REF!)</f>
        <v>#REF!</v>
      </c>
      <c r="L1328" t="s">
        <v>23</v>
      </c>
      <c r="M1328" t="e">
        <f>+_xlfn.XLOOKUP(tbl_encuesta[[#This Row],[Mi supervisor o jefe directo fomenta que nos apoyemos entre todos en el equipo]],#REF!,#REF!)</f>
        <v>#REF!</v>
      </c>
      <c r="N1328" t="s">
        <v>23</v>
      </c>
      <c r="O1328" t="e">
        <f>+_xlfn.XLOOKUP(tbl_encuesta[[#This Row],[Siento que mi trabajo es reconocido por mi supervisor o jefe directo.]],#REF!,#REF!)</f>
        <v>#REF!</v>
      </c>
      <c r="P1328" t="s">
        <v>31</v>
      </c>
      <c r="Q1328" t="e">
        <f xml:space="preserve">
_xlfn.XLOOKUP(
tbl_encuesta[[#This Row],[Mi supervisor o jefe directo nos brinda charlas de 5 minutos y comunica las novedades relevantes a mi puesto de trabajo]],#REF!,#REF!
)</f>
        <v>#REF!</v>
      </c>
      <c r="R1328" t="s">
        <v>17</v>
      </c>
      <c r="S1328" t="s">
        <v>18</v>
      </c>
      <c r="W1328" t="s">
        <v>25</v>
      </c>
      <c r="X1328" t="s">
        <v>23</v>
      </c>
      <c r="Y1328" t="e">
        <f>+_xlfn.XLOOKUP(tbl_encuesta[[#This Row],[Considero a Limtek como un buen lugar para trabajar]],#REF!,#REF!)</f>
        <v>#REF!</v>
      </c>
      <c r="Z1328" t="s">
        <v>3276</v>
      </c>
      <c r="AA1328" t="s">
        <v>3277</v>
      </c>
      <c r="AB1328" t="s">
        <v>883</v>
      </c>
      <c r="AC1328" t="s">
        <v>3744</v>
      </c>
      <c r="AD1328" t="s">
        <v>3744</v>
      </c>
      <c r="AE1328" t="s">
        <v>69</v>
      </c>
    </row>
    <row r="1329" spans="1:31" x14ac:dyDescent="0.25">
      <c r="A1329">
        <v>119025712924</v>
      </c>
      <c r="B1329">
        <v>462598545</v>
      </c>
      <c r="C1329" s="1">
        <v>46014.473726851851</v>
      </c>
      <c r="D1329" s="1">
        <v>46014.480983796297</v>
      </c>
      <c r="E1329" t="s">
        <v>3278</v>
      </c>
      <c r="F1329" t="s">
        <v>23</v>
      </c>
      <c r="G1329" t="e">
        <f>+_xlfn.XLOOKUP(tbl_encuesta[[#This Row],[Me siento a gusto con el ambiente de trabajo que se genera en mi equipo.]],#REF!,#REF!)</f>
        <v>#REF!</v>
      </c>
      <c r="H1329" t="s">
        <v>23</v>
      </c>
      <c r="I1329" t="e">
        <f>+_xlfn.XLOOKUP(tbl_encuesta[[#This Row],[Me siento motivado a dar lo mejor de mí y hacer un buen trabajo]],#REF!,#REF!)</f>
        <v>#REF!</v>
      </c>
      <c r="J1329" t="s">
        <v>23</v>
      </c>
      <c r="K1329" t="e">
        <f>+_xlfn.XLOOKUP(tbl_encuesta[[#This Row],[Mi supervisor o jefe directo me otorga el soporte que necesito para afrontar cualquier problema que afecte mi trabajo]],#REF!,#REF!)</f>
        <v>#REF!</v>
      </c>
      <c r="L1329" t="s">
        <v>22</v>
      </c>
      <c r="M1329" t="e">
        <f>+_xlfn.XLOOKUP(tbl_encuesta[[#This Row],[Mi supervisor o jefe directo fomenta que nos apoyemos entre todos en el equipo]],#REF!,#REF!)</f>
        <v>#REF!</v>
      </c>
      <c r="N1329" t="s">
        <v>23</v>
      </c>
      <c r="O1329" t="e">
        <f>+_xlfn.XLOOKUP(tbl_encuesta[[#This Row],[Siento que mi trabajo es reconocido por mi supervisor o jefe directo.]],#REF!,#REF!)</f>
        <v>#REF!</v>
      </c>
      <c r="P1329" t="s">
        <v>31</v>
      </c>
      <c r="Q1329" t="e">
        <f xml:space="preserve">
_xlfn.XLOOKUP(
tbl_encuesta[[#This Row],[Mi supervisor o jefe directo nos brinda charlas de 5 minutos y comunica las novedades relevantes a mi puesto de trabajo]],#REF!,#REF!
)</f>
        <v>#REF!</v>
      </c>
      <c r="R1329" t="s">
        <v>17</v>
      </c>
      <c r="S1329" t="s">
        <v>18</v>
      </c>
      <c r="W1329" t="s">
        <v>46</v>
      </c>
      <c r="X1329" t="s">
        <v>23</v>
      </c>
      <c r="Y1329" t="e">
        <f>+_xlfn.XLOOKUP(tbl_encuesta[[#This Row],[Considero a Limtek como un buen lugar para trabajar]],#REF!,#REF!)</f>
        <v>#REF!</v>
      </c>
      <c r="Z1329" t="s">
        <v>555</v>
      </c>
      <c r="AA1329" t="s">
        <v>3279</v>
      </c>
      <c r="AB1329" t="s">
        <v>65</v>
      </c>
      <c r="AC1329" s="3" t="s">
        <v>3610</v>
      </c>
      <c r="AD1329" s="3" t="s">
        <v>3614</v>
      </c>
      <c r="AE1329" t="s">
        <v>61</v>
      </c>
    </row>
    <row r="1330" spans="1:31" x14ac:dyDescent="0.25">
      <c r="A1330">
        <v>119025712549</v>
      </c>
      <c r="B1330">
        <v>462598545</v>
      </c>
      <c r="C1330" s="1">
        <v>46014.478310185186</v>
      </c>
      <c r="D1330" s="1">
        <v>46014.480451388888</v>
      </c>
      <c r="E1330" t="s">
        <v>3280</v>
      </c>
      <c r="F1330" t="s">
        <v>23</v>
      </c>
      <c r="G1330" t="e">
        <f>+_xlfn.XLOOKUP(tbl_encuesta[[#This Row],[Me siento a gusto con el ambiente de trabajo que se genera en mi equipo.]],#REF!,#REF!)</f>
        <v>#REF!</v>
      </c>
      <c r="H1330" t="s">
        <v>23</v>
      </c>
      <c r="I1330" t="e">
        <f>+_xlfn.XLOOKUP(tbl_encuesta[[#This Row],[Me siento motivado a dar lo mejor de mí y hacer un buen trabajo]],#REF!,#REF!)</f>
        <v>#REF!</v>
      </c>
      <c r="J1330" t="s">
        <v>23</v>
      </c>
      <c r="K1330" t="e">
        <f>+_xlfn.XLOOKUP(tbl_encuesta[[#This Row],[Mi supervisor o jefe directo me otorga el soporte que necesito para afrontar cualquier problema que afecte mi trabajo]],#REF!,#REF!)</f>
        <v>#REF!</v>
      </c>
      <c r="L1330" t="s">
        <v>23</v>
      </c>
      <c r="M1330" t="e">
        <f>+_xlfn.XLOOKUP(tbl_encuesta[[#This Row],[Mi supervisor o jefe directo fomenta que nos apoyemos entre todos en el equipo]],#REF!,#REF!)</f>
        <v>#REF!</v>
      </c>
      <c r="N1330" t="s">
        <v>23</v>
      </c>
      <c r="O1330" t="e">
        <f>+_xlfn.XLOOKUP(tbl_encuesta[[#This Row],[Siento que mi trabajo es reconocido por mi supervisor o jefe directo.]],#REF!,#REF!)</f>
        <v>#REF!</v>
      </c>
      <c r="P1330" t="s">
        <v>31</v>
      </c>
      <c r="Q1330" t="e">
        <f xml:space="preserve">
_xlfn.XLOOKUP(
tbl_encuesta[[#This Row],[Mi supervisor o jefe directo nos brinda charlas de 5 minutos y comunica las novedades relevantes a mi puesto de trabajo]],#REF!,#REF!
)</f>
        <v>#REF!</v>
      </c>
      <c r="R1330" t="s">
        <v>17</v>
      </c>
      <c r="W1330" t="s">
        <v>25</v>
      </c>
      <c r="X1330" t="s">
        <v>23</v>
      </c>
      <c r="Y1330" t="e">
        <f>+_xlfn.XLOOKUP(tbl_encuesta[[#This Row],[Considero a Limtek como un buen lugar para trabajar]],#REF!,#REF!)</f>
        <v>#REF!</v>
      </c>
      <c r="Z1330" t="s">
        <v>23</v>
      </c>
      <c r="AA1330" t="s">
        <v>3281</v>
      </c>
      <c r="AB1330" t="s">
        <v>38</v>
      </c>
      <c r="AC1330" s="3" t="s">
        <v>3610</v>
      </c>
      <c r="AD1330" s="3" t="s">
        <v>3609</v>
      </c>
      <c r="AE1330" t="s">
        <v>34</v>
      </c>
    </row>
    <row r="1331" spans="1:31" x14ac:dyDescent="0.25">
      <c r="A1331">
        <v>119025711026</v>
      </c>
      <c r="B1331">
        <v>462598545</v>
      </c>
      <c r="C1331" s="1">
        <v>46014.456504629627</v>
      </c>
      <c r="D1331" s="1">
        <v>46014.478136574071</v>
      </c>
      <c r="E1331" t="s">
        <v>3282</v>
      </c>
      <c r="F1331" t="s">
        <v>23</v>
      </c>
      <c r="G1331" t="e">
        <f>+_xlfn.XLOOKUP(tbl_encuesta[[#This Row],[Me siento a gusto con el ambiente de trabajo que se genera en mi equipo.]],#REF!,#REF!)</f>
        <v>#REF!</v>
      </c>
      <c r="H1331" t="s">
        <v>23</v>
      </c>
      <c r="I1331" t="e">
        <f>+_xlfn.XLOOKUP(tbl_encuesta[[#This Row],[Me siento motivado a dar lo mejor de mí y hacer un buen trabajo]],#REF!,#REF!)</f>
        <v>#REF!</v>
      </c>
      <c r="J1331" t="s">
        <v>23</v>
      </c>
      <c r="K1331" t="e">
        <f>+_xlfn.XLOOKUP(tbl_encuesta[[#This Row],[Mi supervisor o jefe directo me otorga el soporte que necesito para afrontar cualquier problema que afecte mi trabajo]],#REF!,#REF!)</f>
        <v>#REF!</v>
      </c>
      <c r="L1331" t="s">
        <v>23</v>
      </c>
      <c r="M1331" t="e">
        <f>+_xlfn.XLOOKUP(tbl_encuesta[[#This Row],[Mi supervisor o jefe directo fomenta que nos apoyemos entre todos en el equipo]],#REF!,#REF!)</f>
        <v>#REF!</v>
      </c>
      <c r="N1331" t="s">
        <v>22</v>
      </c>
      <c r="O1331" t="e">
        <f>+_xlfn.XLOOKUP(tbl_encuesta[[#This Row],[Siento que mi trabajo es reconocido por mi supervisor o jefe directo.]],#REF!,#REF!)</f>
        <v>#REF!</v>
      </c>
      <c r="P1331" t="s">
        <v>31</v>
      </c>
      <c r="Q1331" t="e">
        <f xml:space="preserve">
_xlfn.XLOOKUP(
tbl_encuesta[[#This Row],[Mi supervisor o jefe directo nos brinda charlas de 5 minutos y comunica las novedades relevantes a mi puesto de trabajo]],#REF!,#REF!
)</f>
        <v>#REF!</v>
      </c>
      <c r="R1331" t="s">
        <v>17</v>
      </c>
      <c r="W1331" t="s">
        <v>25</v>
      </c>
      <c r="X1331" t="s">
        <v>23</v>
      </c>
      <c r="Y1331" t="e">
        <f>+_xlfn.XLOOKUP(tbl_encuesta[[#This Row],[Considero a Limtek como un buen lugar para trabajar]],#REF!,#REF!)</f>
        <v>#REF!</v>
      </c>
      <c r="Z1331" t="s">
        <v>3283</v>
      </c>
      <c r="AA1331" t="s">
        <v>3284</v>
      </c>
      <c r="AB1331" t="s">
        <v>28</v>
      </c>
      <c r="AC1331" s="3" t="s">
        <v>3752</v>
      </c>
      <c r="AD1331" s="3" t="s">
        <v>3752</v>
      </c>
      <c r="AE1331" t="s">
        <v>69</v>
      </c>
    </row>
    <row r="1332" spans="1:31" x14ac:dyDescent="0.25">
      <c r="A1332">
        <v>119025709711</v>
      </c>
      <c r="B1332">
        <v>462598545</v>
      </c>
      <c r="C1332" s="1">
        <v>46014.467118055552</v>
      </c>
      <c r="D1332" s="1">
        <v>46014.476226851853</v>
      </c>
      <c r="E1332" t="s">
        <v>3285</v>
      </c>
      <c r="F1332" t="s">
        <v>23</v>
      </c>
      <c r="G1332" t="e">
        <f>+_xlfn.XLOOKUP(tbl_encuesta[[#This Row],[Me siento a gusto con el ambiente de trabajo que se genera en mi equipo.]],#REF!,#REF!)</f>
        <v>#REF!</v>
      </c>
      <c r="H1332" t="s">
        <v>23</v>
      </c>
      <c r="I1332" t="e">
        <f>+_xlfn.XLOOKUP(tbl_encuesta[[#This Row],[Me siento motivado a dar lo mejor de mí y hacer un buen trabajo]],#REF!,#REF!)</f>
        <v>#REF!</v>
      </c>
      <c r="J1332" t="s">
        <v>23</v>
      </c>
      <c r="K1332" t="e">
        <f>+_xlfn.XLOOKUP(tbl_encuesta[[#This Row],[Mi supervisor o jefe directo me otorga el soporte que necesito para afrontar cualquier problema que afecte mi trabajo]],#REF!,#REF!)</f>
        <v>#REF!</v>
      </c>
      <c r="L1332" t="s">
        <v>23</v>
      </c>
      <c r="M1332" t="e">
        <f>+_xlfn.XLOOKUP(tbl_encuesta[[#This Row],[Mi supervisor o jefe directo fomenta que nos apoyemos entre todos en el equipo]],#REF!,#REF!)</f>
        <v>#REF!</v>
      </c>
      <c r="N1332" t="s">
        <v>23</v>
      </c>
      <c r="O1332" t="e">
        <f>+_xlfn.XLOOKUP(tbl_encuesta[[#This Row],[Siento que mi trabajo es reconocido por mi supervisor o jefe directo.]],#REF!,#REF!)</f>
        <v>#REF!</v>
      </c>
      <c r="P1332" t="s">
        <v>31</v>
      </c>
      <c r="Q1332" t="e">
        <f xml:space="preserve">
_xlfn.XLOOKUP(
tbl_encuesta[[#This Row],[Mi supervisor o jefe directo nos brinda charlas de 5 minutos y comunica las novedades relevantes a mi puesto de trabajo]],#REF!,#REF!
)</f>
        <v>#REF!</v>
      </c>
      <c r="R1332" t="s">
        <v>17</v>
      </c>
      <c r="W1332" t="s">
        <v>25</v>
      </c>
      <c r="X1332" t="s">
        <v>23</v>
      </c>
      <c r="Y1332" t="e">
        <f>+_xlfn.XLOOKUP(tbl_encuesta[[#This Row],[Considero a Limtek como un buen lugar para trabajar]],#REF!,#REF!)</f>
        <v>#REF!</v>
      </c>
      <c r="Z1332" t="s">
        <v>3286</v>
      </c>
      <c r="AA1332" t="s">
        <v>3287</v>
      </c>
      <c r="AB1332" t="s">
        <v>38</v>
      </c>
      <c r="AC1332" s="3" t="s">
        <v>3610</v>
      </c>
      <c r="AD1332" s="3" t="s">
        <v>3610</v>
      </c>
      <c r="AE1332" t="s">
        <v>34</v>
      </c>
    </row>
    <row r="1333" spans="1:31" x14ac:dyDescent="0.25">
      <c r="A1333">
        <v>119025709681</v>
      </c>
      <c r="B1333">
        <v>462598545</v>
      </c>
      <c r="C1333" s="1">
        <v>46014.463113425925</v>
      </c>
      <c r="D1333" s="1">
        <v>46014.476180555554</v>
      </c>
      <c r="E1333" t="s">
        <v>3280</v>
      </c>
      <c r="F1333" t="s">
        <v>23</v>
      </c>
      <c r="G1333" t="e">
        <f>+_xlfn.XLOOKUP(tbl_encuesta[[#This Row],[Me siento a gusto con el ambiente de trabajo que se genera en mi equipo.]],#REF!,#REF!)</f>
        <v>#REF!</v>
      </c>
      <c r="H1333" t="s">
        <v>23</v>
      </c>
      <c r="I1333" t="e">
        <f>+_xlfn.XLOOKUP(tbl_encuesta[[#This Row],[Me siento motivado a dar lo mejor de mí y hacer un buen trabajo]],#REF!,#REF!)</f>
        <v>#REF!</v>
      </c>
      <c r="J1333" t="s">
        <v>23</v>
      </c>
      <c r="K1333" t="e">
        <f>+_xlfn.XLOOKUP(tbl_encuesta[[#This Row],[Mi supervisor o jefe directo me otorga el soporte que necesito para afrontar cualquier problema que afecte mi trabajo]],#REF!,#REF!)</f>
        <v>#REF!</v>
      </c>
      <c r="L1333" t="s">
        <v>23</v>
      </c>
      <c r="M1333" t="e">
        <f>+_xlfn.XLOOKUP(tbl_encuesta[[#This Row],[Mi supervisor o jefe directo fomenta que nos apoyemos entre todos en el equipo]],#REF!,#REF!)</f>
        <v>#REF!</v>
      </c>
      <c r="N1333" t="s">
        <v>23</v>
      </c>
      <c r="O1333" t="e">
        <f>+_xlfn.XLOOKUP(tbl_encuesta[[#This Row],[Siento que mi trabajo es reconocido por mi supervisor o jefe directo.]],#REF!,#REF!)</f>
        <v>#REF!</v>
      </c>
      <c r="P1333" t="s">
        <v>31</v>
      </c>
      <c r="Q1333" t="e">
        <f xml:space="preserve">
_xlfn.XLOOKUP(
tbl_encuesta[[#This Row],[Mi supervisor o jefe directo nos brinda charlas de 5 minutos y comunica las novedades relevantes a mi puesto de trabajo]],#REF!,#REF!
)</f>
        <v>#REF!</v>
      </c>
      <c r="R1333" t="s">
        <v>17</v>
      </c>
      <c r="T1333" t="s">
        <v>19</v>
      </c>
      <c r="W1333" t="s">
        <v>25</v>
      </c>
      <c r="X1333" t="s">
        <v>23</v>
      </c>
      <c r="Y1333" t="e">
        <f>+_xlfn.XLOOKUP(tbl_encuesta[[#This Row],[Considero a Limtek como un buen lugar para trabajar]],#REF!,#REF!)</f>
        <v>#REF!</v>
      </c>
      <c r="Z1333" t="s">
        <v>3288</v>
      </c>
      <c r="AA1333" t="s">
        <v>3289</v>
      </c>
      <c r="AB1333" t="s">
        <v>38</v>
      </c>
      <c r="AC1333" s="3" t="s">
        <v>3610</v>
      </c>
      <c r="AD1333" s="3" t="s">
        <v>3609</v>
      </c>
      <c r="AE1333" t="s">
        <v>34</v>
      </c>
    </row>
    <row r="1334" spans="1:31" x14ac:dyDescent="0.25">
      <c r="A1334">
        <v>119025709629</v>
      </c>
      <c r="B1334">
        <v>462598545</v>
      </c>
      <c r="C1334" s="1">
        <v>46014.464537037034</v>
      </c>
      <c r="D1334" s="1">
        <v>46014.476111111115</v>
      </c>
      <c r="E1334" t="s">
        <v>3290</v>
      </c>
      <c r="F1334" t="s">
        <v>43</v>
      </c>
      <c r="G1334" t="e">
        <f>+_xlfn.XLOOKUP(tbl_encuesta[[#This Row],[Me siento a gusto con el ambiente de trabajo que se genera en mi equipo.]],#REF!,#REF!)</f>
        <v>#REF!</v>
      </c>
      <c r="H1334" t="s">
        <v>97</v>
      </c>
      <c r="I1334" t="e">
        <f>+_xlfn.XLOOKUP(tbl_encuesta[[#This Row],[Me siento motivado a dar lo mejor de mí y hacer un buen trabajo]],#REF!,#REF!)</f>
        <v>#REF!</v>
      </c>
      <c r="J1334" t="s">
        <v>43</v>
      </c>
      <c r="K1334" t="e">
        <f>+_xlfn.XLOOKUP(tbl_encuesta[[#This Row],[Mi supervisor o jefe directo me otorga el soporte que necesito para afrontar cualquier problema que afecte mi trabajo]],#REF!,#REF!)</f>
        <v>#REF!</v>
      </c>
      <c r="L1334" t="s">
        <v>43</v>
      </c>
      <c r="M1334" t="e">
        <f>+_xlfn.XLOOKUP(tbl_encuesta[[#This Row],[Mi supervisor o jefe directo fomenta que nos apoyemos entre todos en el equipo]],#REF!,#REF!)</f>
        <v>#REF!</v>
      </c>
      <c r="N1334" t="s">
        <v>43</v>
      </c>
      <c r="O1334" t="e">
        <f>+_xlfn.XLOOKUP(tbl_encuesta[[#This Row],[Siento que mi trabajo es reconocido por mi supervisor o jefe directo.]],#REF!,#REF!)</f>
        <v>#REF!</v>
      </c>
      <c r="P1334" t="s">
        <v>175</v>
      </c>
      <c r="Q1334" t="e">
        <f xml:space="preserve">
_xlfn.XLOOKUP(
tbl_encuesta[[#This Row],[Mi supervisor o jefe directo nos brinda charlas de 5 minutos y comunica las novedades relevantes a mi puesto de trabajo]],#REF!,#REF!
)</f>
        <v>#REF!</v>
      </c>
      <c r="V1334" t="s">
        <v>3291</v>
      </c>
      <c r="W1334" t="s">
        <v>25</v>
      </c>
      <c r="X1334" t="s">
        <v>22</v>
      </c>
      <c r="Y1334" t="e">
        <f>+_xlfn.XLOOKUP(tbl_encuesta[[#This Row],[Considero a Limtek como un buen lugar para trabajar]],#REF!,#REF!)</f>
        <v>#REF!</v>
      </c>
      <c r="Z1334" t="s">
        <v>3292</v>
      </c>
      <c r="AA1334" t="s">
        <v>3293</v>
      </c>
      <c r="AB1334" t="s">
        <v>28</v>
      </c>
      <c r="AC1334" s="3" t="s">
        <v>3857</v>
      </c>
      <c r="AD1334" s="3" t="s">
        <v>3858</v>
      </c>
      <c r="AE1334" t="s">
        <v>61</v>
      </c>
    </row>
    <row r="1335" spans="1:31" x14ac:dyDescent="0.25">
      <c r="A1335">
        <v>119025708630</v>
      </c>
      <c r="B1335">
        <v>462598545</v>
      </c>
      <c r="C1335" s="1">
        <v>46014.472627314812</v>
      </c>
      <c r="D1335" s="1">
        <v>46014.474479166667</v>
      </c>
      <c r="E1335" t="s">
        <v>3294</v>
      </c>
      <c r="F1335" t="s">
        <v>23</v>
      </c>
      <c r="G1335" t="e">
        <f>+_xlfn.XLOOKUP(tbl_encuesta[[#This Row],[Me siento a gusto con el ambiente de trabajo que se genera en mi equipo.]],#REF!,#REF!)</f>
        <v>#REF!</v>
      </c>
      <c r="H1335" t="s">
        <v>23</v>
      </c>
      <c r="I1335" t="e">
        <f>+_xlfn.XLOOKUP(tbl_encuesta[[#This Row],[Me siento motivado a dar lo mejor de mí y hacer un buen trabajo]],#REF!,#REF!)</f>
        <v>#REF!</v>
      </c>
      <c r="J1335" t="s">
        <v>23</v>
      </c>
      <c r="K1335" t="e">
        <f>+_xlfn.XLOOKUP(tbl_encuesta[[#This Row],[Mi supervisor o jefe directo me otorga el soporte que necesito para afrontar cualquier problema que afecte mi trabajo]],#REF!,#REF!)</f>
        <v>#REF!</v>
      </c>
      <c r="L1335" t="s">
        <v>23</v>
      </c>
      <c r="M1335" t="e">
        <f>+_xlfn.XLOOKUP(tbl_encuesta[[#This Row],[Mi supervisor o jefe directo fomenta que nos apoyemos entre todos en el equipo]],#REF!,#REF!)</f>
        <v>#REF!</v>
      </c>
      <c r="N1335" t="s">
        <v>23</v>
      </c>
      <c r="O1335" t="e">
        <f>+_xlfn.XLOOKUP(tbl_encuesta[[#This Row],[Siento que mi trabajo es reconocido por mi supervisor o jefe directo.]],#REF!,#REF!)</f>
        <v>#REF!</v>
      </c>
      <c r="P1335" t="s">
        <v>31</v>
      </c>
      <c r="Q1335" t="e">
        <f xml:space="preserve">
_xlfn.XLOOKUP(
tbl_encuesta[[#This Row],[Mi supervisor o jefe directo nos brinda charlas de 5 minutos y comunica las novedades relevantes a mi puesto de trabajo]],#REF!,#REF!
)</f>
        <v>#REF!</v>
      </c>
      <c r="R1335" t="s">
        <v>17</v>
      </c>
      <c r="T1335" t="s">
        <v>19</v>
      </c>
      <c r="W1335" t="s">
        <v>25</v>
      </c>
      <c r="X1335" t="s">
        <v>23</v>
      </c>
      <c r="Y1335" t="e">
        <f>+_xlfn.XLOOKUP(tbl_encuesta[[#This Row],[Considero a Limtek como un buen lugar para trabajar]],#REF!,#REF!)</f>
        <v>#REF!</v>
      </c>
      <c r="Z1335" t="s">
        <v>3295</v>
      </c>
      <c r="AA1335" t="s">
        <v>3296</v>
      </c>
      <c r="AB1335" t="s">
        <v>38</v>
      </c>
      <c r="AC1335" s="3" t="s">
        <v>3610</v>
      </c>
      <c r="AD1335" s="3" t="s">
        <v>3696</v>
      </c>
      <c r="AE1335" t="s">
        <v>34</v>
      </c>
    </row>
    <row r="1336" spans="1:31" x14ac:dyDescent="0.25">
      <c r="A1336">
        <v>119025706958</v>
      </c>
      <c r="B1336">
        <v>462598545</v>
      </c>
      <c r="C1336" s="1">
        <v>46014.463125000002</v>
      </c>
      <c r="D1336" s="1">
        <v>46014.471979166665</v>
      </c>
      <c r="E1336" t="s">
        <v>3294</v>
      </c>
      <c r="F1336" t="s">
        <v>23</v>
      </c>
      <c r="G1336" t="e">
        <f>+_xlfn.XLOOKUP(tbl_encuesta[[#This Row],[Me siento a gusto con el ambiente de trabajo que se genera en mi equipo.]],#REF!,#REF!)</f>
        <v>#REF!</v>
      </c>
      <c r="H1336" t="s">
        <v>23</v>
      </c>
      <c r="I1336" t="e">
        <f>+_xlfn.XLOOKUP(tbl_encuesta[[#This Row],[Me siento motivado a dar lo mejor de mí y hacer un buen trabajo]],#REF!,#REF!)</f>
        <v>#REF!</v>
      </c>
      <c r="J1336" t="s">
        <v>23</v>
      </c>
      <c r="K1336" t="e">
        <f>+_xlfn.XLOOKUP(tbl_encuesta[[#This Row],[Mi supervisor o jefe directo me otorga el soporte que necesito para afrontar cualquier problema que afecte mi trabajo]],#REF!,#REF!)</f>
        <v>#REF!</v>
      </c>
      <c r="L1336" t="s">
        <v>23</v>
      </c>
      <c r="M1336" t="e">
        <f>+_xlfn.XLOOKUP(tbl_encuesta[[#This Row],[Mi supervisor o jefe directo fomenta que nos apoyemos entre todos en el equipo]],#REF!,#REF!)</f>
        <v>#REF!</v>
      </c>
      <c r="N1336" t="s">
        <v>23</v>
      </c>
      <c r="O1336" t="e">
        <f>+_xlfn.XLOOKUP(tbl_encuesta[[#This Row],[Siento que mi trabajo es reconocido por mi supervisor o jefe directo.]],#REF!,#REF!)</f>
        <v>#REF!</v>
      </c>
      <c r="P1336" t="s">
        <v>31</v>
      </c>
      <c r="Q1336" t="e">
        <f xml:space="preserve">
_xlfn.XLOOKUP(
tbl_encuesta[[#This Row],[Mi supervisor o jefe directo nos brinda charlas de 5 minutos y comunica las novedades relevantes a mi puesto de trabajo]],#REF!,#REF!
)</f>
        <v>#REF!</v>
      </c>
      <c r="R1336" t="s">
        <v>17</v>
      </c>
      <c r="T1336" t="s">
        <v>19</v>
      </c>
      <c r="W1336" t="s">
        <v>25</v>
      </c>
      <c r="X1336" t="s">
        <v>23</v>
      </c>
      <c r="Y1336" t="e">
        <f>+_xlfn.XLOOKUP(tbl_encuesta[[#This Row],[Considero a Limtek como un buen lugar para trabajar]],#REF!,#REF!)</f>
        <v>#REF!</v>
      </c>
      <c r="Z1336" t="s">
        <v>3297</v>
      </c>
      <c r="AA1336" t="s">
        <v>3296</v>
      </c>
      <c r="AB1336" t="s">
        <v>38</v>
      </c>
      <c r="AC1336" s="3" t="s">
        <v>3610</v>
      </c>
      <c r="AD1336" s="3" t="s">
        <v>3696</v>
      </c>
      <c r="AE1336" t="s">
        <v>34</v>
      </c>
    </row>
    <row r="1337" spans="1:31" x14ac:dyDescent="0.25">
      <c r="A1337">
        <v>119025706274</v>
      </c>
      <c r="B1337">
        <v>462598545</v>
      </c>
      <c r="C1337" s="1">
        <v>46014.468402777777</v>
      </c>
      <c r="D1337" s="1">
        <v>46014.471076388887</v>
      </c>
      <c r="E1337" t="s">
        <v>3298</v>
      </c>
      <c r="F1337" t="s">
        <v>23</v>
      </c>
      <c r="G1337" t="e">
        <f>+_xlfn.XLOOKUP(tbl_encuesta[[#This Row],[Me siento a gusto con el ambiente de trabajo que se genera en mi equipo.]],#REF!,#REF!)</f>
        <v>#REF!</v>
      </c>
      <c r="H1337" t="s">
        <v>23</v>
      </c>
      <c r="I1337" t="e">
        <f>+_xlfn.XLOOKUP(tbl_encuesta[[#This Row],[Me siento motivado a dar lo mejor de mí y hacer un buen trabajo]],#REF!,#REF!)</f>
        <v>#REF!</v>
      </c>
      <c r="J1337" t="s">
        <v>22</v>
      </c>
      <c r="K1337" t="e">
        <f>+_xlfn.XLOOKUP(tbl_encuesta[[#This Row],[Mi supervisor o jefe directo me otorga el soporte que necesito para afrontar cualquier problema que afecte mi trabajo]],#REF!,#REF!)</f>
        <v>#REF!</v>
      </c>
      <c r="L1337" t="s">
        <v>22</v>
      </c>
      <c r="M1337" t="e">
        <f>+_xlfn.XLOOKUP(tbl_encuesta[[#This Row],[Mi supervisor o jefe directo fomenta que nos apoyemos entre todos en el equipo]],#REF!,#REF!)</f>
        <v>#REF!</v>
      </c>
      <c r="N1337" t="s">
        <v>23</v>
      </c>
      <c r="O1337" t="e">
        <f>+_xlfn.XLOOKUP(tbl_encuesta[[#This Row],[Siento que mi trabajo es reconocido por mi supervisor o jefe directo.]],#REF!,#REF!)</f>
        <v>#REF!</v>
      </c>
      <c r="P1337" t="s">
        <v>31</v>
      </c>
      <c r="Q1337" t="e">
        <f xml:space="preserve">
_xlfn.XLOOKUP(
tbl_encuesta[[#This Row],[Mi supervisor o jefe directo nos brinda charlas de 5 minutos y comunica las novedades relevantes a mi puesto de trabajo]],#REF!,#REF!
)</f>
        <v>#REF!</v>
      </c>
      <c r="R1337" t="s">
        <v>17</v>
      </c>
      <c r="U1337" t="s">
        <v>20</v>
      </c>
      <c r="W1337" t="s">
        <v>46</v>
      </c>
      <c r="X1337" t="s">
        <v>22</v>
      </c>
      <c r="Y1337" t="e">
        <f>+_xlfn.XLOOKUP(tbl_encuesta[[#This Row],[Considero a Limtek como un buen lugar para trabajar]],#REF!,#REF!)</f>
        <v>#REF!</v>
      </c>
      <c r="Z1337" t="s">
        <v>3299</v>
      </c>
      <c r="AA1337" t="s">
        <v>3300</v>
      </c>
      <c r="AB1337" t="s">
        <v>38</v>
      </c>
      <c r="AC1337" t="s">
        <v>3744</v>
      </c>
      <c r="AD1337" t="s">
        <v>3744</v>
      </c>
      <c r="AE1337" t="s">
        <v>61</v>
      </c>
    </row>
    <row r="1338" spans="1:31" x14ac:dyDescent="0.25">
      <c r="A1338">
        <v>119025706257</v>
      </c>
      <c r="B1338">
        <v>462598545</v>
      </c>
      <c r="C1338" s="1">
        <v>46014.465254629627</v>
      </c>
      <c r="D1338" s="1">
        <v>46014.471053240741</v>
      </c>
      <c r="E1338" t="s">
        <v>3301</v>
      </c>
      <c r="F1338" t="s">
        <v>23</v>
      </c>
      <c r="G1338" t="e">
        <f>+_xlfn.XLOOKUP(tbl_encuesta[[#This Row],[Me siento a gusto con el ambiente de trabajo que se genera en mi equipo.]],#REF!,#REF!)</f>
        <v>#REF!</v>
      </c>
      <c r="H1338" t="s">
        <v>23</v>
      </c>
      <c r="I1338" t="e">
        <f>+_xlfn.XLOOKUP(tbl_encuesta[[#This Row],[Me siento motivado a dar lo mejor de mí y hacer un buen trabajo]],#REF!,#REF!)</f>
        <v>#REF!</v>
      </c>
      <c r="J1338" t="s">
        <v>23</v>
      </c>
      <c r="K1338" t="e">
        <f>+_xlfn.XLOOKUP(tbl_encuesta[[#This Row],[Mi supervisor o jefe directo me otorga el soporte que necesito para afrontar cualquier problema que afecte mi trabajo]],#REF!,#REF!)</f>
        <v>#REF!</v>
      </c>
      <c r="L1338" t="s">
        <v>23</v>
      </c>
      <c r="M1338" t="e">
        <f>+_xlfn.XLOOKUP(tbl_encuesta[[#This Row],[Mi supervisor o jefe directo fomenta que nos apoyemos entre todos en el equipo]],#REF!,#REF!)</f>
        <v>#REF!</v>
      </c>
      <c r="N1338" t="s">
        <v>23</v>
      </c>
      <c r="O1338" t="e">
        <f>+_xlfn.XLOOKUP(tbl_encuesta[[#This Row],[Siento que mi trabajo es reconocido por mi supervisor o jefe directo.]],#REF!,#REF!)</f>
        <v>#REF!</v>
      </c>
      <c r="P1338" t="s">
        <v>31</v>
      </c>
      <c r="Q1338" t="e">
        <f xml:space="preserve">
_xlfn.XLOOKUP(
tbl_encuesta[[#This Row],[Mi supervisor o jefe directo nos brinda charlas de 5 minutos y comunica las novedades relevantes a mi puesto de trabajo]],#REF!,#REF!
)</f>
        <v>#REF!</v>
      </c>
      <c r="R1338" t="s">
        <v>17</v>
      </c>
      <c r="S1338" t="s">
        <v>18</v>
      </c>
      <c r="W1338" t="s">
        <v>25</v>
      </c>
      <c r="X1338" t="s">
        <v>23</v>
      </c>
      <c r="Y1338" t="e">
        <f>+_xlfn.XLOOKUP(tbl_encuesta[[#This Row],[Considero a Limtek como un buen lugar para trabajar]],#REF!,#REF!)</f>
        <v>#REF!</v>
      </c>
      <c r="Z1338" t="s">
        <v>3302</v>
      </c>
      <c r="AA1338" t="s">
        <v>3303</v>
      </c>
      <c r="AB1338" t="s">
        <v>38</v>
      </c>
      <c r="AC1338" s="3" t="s">
        <v>3610</v>
      </c>
      <c r="AD1338" s="3" t="s">
        <v>3697</v>
      </c>
      <c r="AE1338" t="s">
        <v>34</v>
      </c>
    </row>
    <row r="1339" spans="1:31" x14ac:dyDescent="0.25">
      <c r="A1339">
        <v>119025705796</v>
      </c>
      <c r="B1339">
        <v>462598545</v>
      </c>
      <c r="C1339" s="1">
        <v>46014.469305555554</v>
      </c>
      <c r="D1339" s="1">
        <v>46014.47042824074</v>
      </c>
      <c r="E1339" t="s">
        <v>3255</v>
      </c>
      <c r="F1339" t="s">
        <v>23</v>
      </c>
      <c r="G1339" t="e">
        <f>+_xlfn.XLOOKUP(tbl_encuesta[[#This Row],[Me siento a gusto con el ambiente de trabajo que se genera en mi equipo.]],#REF!,#REF!)</f>
        <v>#REF!</v>
      </c>
      <c r="H1339" t="s">
        <v>23</v>
      </c>
      <c r="I1339" t="e">
        <f>+_xlfn.XLOOKUP(tbl_encuesta[[#This Row],[Me siento motivado a dar lo mejor de mí y hacer un buen trabajo]],#REF!,#REF!)</f>
        <v>#REF!</v>
      </c>
      <c r="J1339" t="s">
        <v>23</v>
      </c>
      <c r="K1339" t="e">
        <f>+_xlfn.XLOOKUP(tbl_encuesta[[#This Row],[Mi supervisor o jefe directo me otorga el soporte que necesito para afrontar cualquier problema que afecte mi trabajo]],#REF!,#REF!)</f>
        <v>#REF!</v>
      </c>
      <c r="L1339" t="s">
        <v>23</v>
      </c>
      <c r="M1339" t="e">
        <f>+_xlfn.XLOOKUP(tbl_encuesta[[#This Row],[Mi supervisor o jefe directo fomenta que nos apoyemos entre todos en el equipo]],#REF!,#REF!)</f>
        <v>#REF!</v>
      </c>
      <c r="N1339" t="s">
        <v>23</v>
      </c>
      <c r="O1339" t="e">
        <f>+_xlfn.XLOOKUP(tbl_encuesta[[#This Row],[Siento que mi trabajo es reconocido por mi supervisor o jefe directo.]],#REF!,#REF!)</f>
        <v>#REF!</v>
      </c>
      <c r="P1339" t="s">
        <v>31</v>
      </c>
      <c r="Q1339" t="e">
        <f xml:space="preserve">
_xlfn.XLOOKUP(
tbl_encuesta[[#This Row],[Mi supervisor o jefe directo nos brinda charlas de 5 minutos y comunica las novedades relevantes a mi puesto de trabajo]],#REF!,#REF!
)</f>
        <v>#REF!</v>
      </c>
      <c r="R1339" t="s">
        <v>17</v>
      </c>
      <c r="W1339" t="s">
        <v>25</v>
      </c>
      <c r="X1339" t="s">
        <v>23</v>
      </c>
      <c r="Y1339" t="e">
        <f>+_xlfn.XLOOKUP(tbl_encuesta[[#This Row],[Considero a Limtek como un buen lugar para trabajar]],#REF!,#REF!)</f>
        <v>#REF!</v>
      </c>
      <c r="Z1339" t="s">
        <v>3304</v>
      </c>
      <c r="AA1339" t="s">
        <v>3305</v>
      </c>
      <c r="AB1339" t="s">
        <v>38</v>
      </c>
      <c r="AC1339" s="3" t="s">
        <v>3610</v>
      </c>
      <c r="AD1339" s="3" t="s">
        <v>3619</v>
      </c>
      <c r="AE1339" t="s">
        <v>34</v>
      </c>
    </row>
    <row r="1340" spans="1:31" x14ac:dyDescent="0.25">
      <c r="A1340">
        <v>119025704238</v>
      </c>
      <c r="B1340">
        <v>462598545</v>
      </c>
      <c r="C1340" s="1">
        <v>46014.464363425926</v>
      </c>
      <c r="D1340" s="1">
        <v>46014.468136574076</v>
      </c>
      <c r="E1340" t="s">
        <v>3298</v>
      </c>
      <c r="F1340" t="s">
        <v>23</v>
      </c>
      <c r="G1340" t="e">
        <f>+_xlfn.XLOOKUP(tbl_encuesta[[#This Row],[Me siento a gusto con el ambiente de trabajo que se genera en mi equipo.]],#REF!,#REF!)</f>
        <v>#REF!</v>
      </c>
      <c r="H1340" t="s">
        <v>23</v>
      </c>
      <c r="I1340" t="e">
        <f>+_xlfn.XLOOKUP(tbl_encuesta[[#This Row],[Me siento motivado a dar lo mejor de mí y hacer un buen trabajo]],#REF!,#REF!)</f>
        <v>#REF!</v>
      </c>
      <c r="J1340" t="s">
        <v>23</v>
      </c>
      <c r="K1340" t="e">
        <f>+_xlfn.XLOOKUP(tbl_encuesta[[#This Row],[Mi supervisor o jefe directo me otorga el soporte que necesito para afrontar cualquier problema que afecte mi trabajo]],#REF!,#REF!)</f>
        <v>#REF!</v>
      </c>
      <c r="L1340" t="s">
        <v>22</v>
      </c>
      <c r="M1340" t="e">
        <f>+_xlfn.XLOOKUP(tbl_encuesta[[#This Row],[Mi supervisor o jefe directo fomenta que nos apoyemos entre todos en el equipo]],#REF!,#REF!)</f>
        <v>#REF!</v>
      </c>
      <c r="N1340" t="s">
        <v>22</v>
      </c>
      <c r="O1340" t="e">
        <f>+_xlfn.XLOOKUP(tbl_encuesta[[#This Row],[Siento que mi trabajo es reconocido por mi supervisor o jefe directo.]],#REF!,#REF!)</f>
        <v>#REF!</v>
      </c>
      <c r="P1340" t="s">
        <v>31</v>
      </c>
      <c r="Q1340" t="e">
        <f xml:space="preserve">
_xlfn.XLOOKUP(
tbl_encuesta[[#This Row],[Mi supervisor o jefe directo nos brinda charlas de 5 minutos y comunica las novedades relevantes a mi puesto de trabajo]],#REF!,#REF!
)</f>
        <v>#REF!</v>
      </c>
      <c r="R1340" t="s">
        <v>17</v>
      </c>
      <c r="U1340" t="s">
        <v>20</v>
      </c>
      <c r="W1340" t="s">
        <v>46</v>
      </c>
      <c r="X1340" t="s">
        <v>23</v>
      </c>
      <c r="Y1340" t="e">
        <f>+_xlfn.XLOOKUP(tbl_encuesta[[#This Row],[Considero a Limtek como un buen lugar para trabajar]],#REF!,#REF!)</f>
        <v>#REF!</v>
      </c>
      <c r="Z1340" t="s">
        <v>3306</v>
      </c>
      <c r="AA1340" t="s">
        <v>3307</v>
      </c>
      <c r="AB1340" t="s">
        <v>38</v>
      </c>
      <c r="AC1340" t="s">
        <v>3744</v>
      </c>
      <c r="AD1340" t="s">
        <v>3744</v>
      </c>
      <c r="AE1340" t="s">
        <v>61</v>
      </c>
    </row>
    <row r="1341" spans="1:31" x14ac:dyDescent="0.25">
      <c r="A1341">
        <v>119025702644</v>
      </c>
      <c r="B1341">
        <v>462598545</v>
      </c>
      <c r="C1341" s="1">
        <v>46014.459988425922</v>
      </c>
      <c r="D1341" s="1">
        <v>46014.465821759259</v>
      </c>
      <c r="E1341" t="s">
        <v>3308</v>
      </c>
      <c r="F1341" t="s">
        <v>23</v>
      </c>
      <c r="G1341" t="e">
        <f>+_xlfn.XLOOKUP(tbl_encuesta[[#This Row],[Me siento a gusto con el ambiente de trabajo que se genera en mi equipo.]],#REF!,#REF!)</f>
        <v>#REF!</v>
      </c>
      <c r="H1341" t="s">
        <v>23</v>
      </c>
      <c r="I1341" t="e">
        <f>+_xlfn.XLOOKUP(tbl_encuesta[[#This Row],[Me siento motivado a dar lo mejor de mí y hacer un buen trabajo]],#REF!,#REF!)</f>
        <v>#REF!</v>
      </c>
      <c r="J1341" t="s">
        <v>22</v>
      </c>
      <c r="K1341" t="e">
        <f>+_xlfn.XLOOKUP(tbl_encuesta[[#This Row],[Mi supervisor o jefe directo me otorga el soporte que necesito para afrontar cualquier problema que afecte mi trabajo]],#REF!,#REF!)</f>
        <v>#REF!</v>
      </c>
      <c r="L1341" t="s">
        <v>23</v>
      </c>
      <c r="M1341" t="e">
        <f>+_xlfn.XLOOKUP(tbl_encuesta[[#This Row],[Mi supervisor o jefe directo fomenta que nos apoyemos entre todos en el equipo]],#REF!,#REF!)</f>
        <v>#REF!</v>
      </c>
      <c r="N1341" t="s">
        <v>23</v>
      </c>
      <c r="O1341" t="e">
        <f>+_xlfn.XLOOKUP(tbl_encuesta[[#This Row],[Siento que mi trabajo es reconocido por mi supervisor o jefe directo.]],#REF!,#REF!)</f>
        <v>#REF!</v>
      </c>
      <c r="P1341" t="s">
        <v>31</v>
      </c>
      <c r="Q1341" t="e">
        <f xml:space="preserve">
_xlfn.XLOOKUP(
tbl_encuesta[[#This Row],[Mi supervisor o jefe directo nos brinda charlas de 5 minutos y comunica las novedades relevantes a mi puesto de trabajo]],#REF!,#REF!
)</f>
        <v>#REF!</v>
      </c>
      <c r="R1341" t="s">
        <v>17</v>
      </c>
      <c r="W1341" t="s">
        <v>25</v>
      </c>
      <c r="X1341" t="s">
        <v>23</v>
      </c>
      <c r="Y1341" t="e">
        <f>+_xlfn.XLOOKUP(tbl_encuesta[[#This Row],[Considero a Limtek como un buen lugar para trabajar]],#REF!,#REF!)</f>
        <v>#REF!</v>
      </c>
      <c r="Z1341" t="s">
        <v>3309</v>
      </c>
      <c r="AA1341" t="s">
        <v>3310</v>
      </c>
      <c r="AB1341" t="s">
        <v>563</v>
      </c>
      <c r="AC1341" t="s">
        <v>3744</v>
      </c>
      <c r="AD1341" t="s">
        <v>3744</v>
      </c>
      <c r="AE1341" t="s">
        <v>34</v>
      </c>
    </row>
    <row r="1342" spans="1:31" x14ac:dyDescent="0.25">
      <c r="A1342">
        <v>119025702371</v>
      </c>
      <c r="B1342">
        <v>462598545</v>
      </c>
      <c r="C1342" s="1">
        <v>46014.457685185182</v>
      </c>
      <c r="D1342" s="1">
        <v>46014.465405092589</v>
      </c>
      <c r="E1342" t="s">
        <v>3311</v>
      </c>
      <c r="F1342" t="s">
        <v>23</v>
      </c>
      <c r="G1342" t="e">
        <f>+_xlfn.XLOOKUP(tbl_encuesta[[#This Row],[Me siento a gusto con el ambiente de trabajo que se genera en mi equipo.]],#REF!,#REF!)</f>
        <v>#REF!</v>
      </c>
      <c r="H1342" t="s">
        <v>23</v>
      </c>
      <c r="I1342" t="e">
        <f>+_xlfn.XLOOKUP(tbl_encuesta[[#This Row],[Me siento motivado a dar lo mejor de mí y hacer un buen trabajo]],#REF!,#REF!)</f>
        <v>#REF!</v>
      </c>
      <c r="J1342" t="s">
        <v>23</v>
      </c>
      <c r="K1342" t="e">
        <f>+_xlfn.XLOOKUP(tbl_encuesta[[#This Row],[Mi supervisor o jefe directo me otorga el soporte que necesito para afrontar cualquier problema que afecte mi trabajo]],#REF!,#REF!)</f>
        <v>#REF!</v>
      </c>
      <c r="L1342" t="s">
        <v>23</v>
      </c>
      <c r="M1342" t="e">
        <f>+_xlfn.XLOOKUP(tbl_encuesta[[#This Row],[Mi supervisor o jefe directo fomenta que nos apoyemos entre todos en el equipo]],#REF!,#REF!)</f>
        <v>#REF!</v>
      </c>
      <c r="N1342" t="s">
        <v>23</v>
      </c>
      <c r="O1342" t="e">
        <f>+_xlfn.XLOOKUP(tbl_encuesta[[#This Row],[Siento que mi trabajo es reconocido por mi supervisor o jefe directo.]],#REF!,#REF!)</f>
        <v>#REF!</v>
      </c>
      <c r="P1342" t="s">
        <v>31</v>
      </c>
      <c r="Q1342" t="e">
        <f xml:space="preserve">
_xlfn.XLOOKUP(
tbl_encuesta[[#This Row],[Mi supervisor o jefe directo nos brinda charlas de 5 minutos y comunica las novedades relevantes a mi puesto de trabajo]],#REF!,#REF!
)</f>
        <v>#REF!</v>
      </c>
      <c r="R1342" t="s">
        <v>17</v>
      </c>
      <c r="T1342" t="s">
        <v>19</v>
      </c>
      <c r="W1342" t="s">
        <v>25</v>
      </c>
      <c r="X1342" t="s">
        <v>23</v>
      </c>
      <c r="Y1342" t="e">
        <f>+_xlfn.XLOOKUP(tbl_encuesta[[#This Row],[Considero a Limtek como un buen lugar para trabajar]],#REF!,#REF!)</f>
        <v>#REF!</v>
      </c>
      <c r="Z1342" t="s">
        <v>3312</v>
      </c>
      <c r="AA1342" t="s">
        <v>3313</v>
      </c>
      <c r="AB1342" t="s">
        <v>687</v>
      </c>
      <c r="AC1342" s="3" t="s">
        <v>3837</v>
      </c>
      <c r="AD1342" s="3" t="s">
        <v>3837</v>
      </c>
      <c r="AE1342" t="s">
        <v>29</v>
      </c>
    </row>
    <row r="1343" spans="1:31" x14ac:dyDescent="0.25">
      <c r="A1343">
        <v>119025701446</v>
      </c>
      <c r="B1343">
        <v>462598545</v>
      </c>
      <c r="C1343" s="1">
        <v>46014.460289351853</v>
      </c>
      <c r="D1343" s="1">
        <v>46014.464155092595</v>
      </c>
      <c r="E1343" t="s">
        <v>3314</v>
      </c>
      <c r="F1343" t="s">
        <v>23</v>
      </c>
      <c r="G1343" t="e">
        <f>+_xlfn.XLOOKUP(tbl_encuesta[[#This Row],[Me siento a gusto con el ambiente de trabajo que se genera en mi equipo.]],#REF!,#REF!)</f>
        <v>#REF!</v>
      </c>
      <c r="H1343" t="s">
        <v>23</v>
      </c>
      <c r="I1343" t="e">
        <f>+_xlfn.XLOOKUP(tbl_encuesta[[#This Row],[Me siento motivado a dar lo mejor de mí y hacer un buen trabajo]],#REF!,#REF!)</f>
        <v>#REF!</v>
      </c>
      <c r="J1343" t="s">
        <v>22</v>
      </c>
      <c r="K1343" t="e">
        <f>+_xlfn.XLOOKUP(tbl_encuesta[[#This Row],[Mi supervisor o jefe directo me otorga el soporte que necesito para afrontar cualquier problema que afecte mi trabajo]],#REF!,#REF!)</f>
        <v>#REF!</v>
      </c>
      <c r="L1343" t="s">
        <v>22</v>
      </c>
      <c r="M1343" t="e">
        <f>+_xlfn.XLOOKUP(tbl_encuesta[[#This Row],[Mi supervisor o jefe directo fomenta que nos apoyemos entre todos en el equipo]],#REF!,#REF!)</f>
        <v>#REF!</v>
      </c>
      <c r="N1343" t="s">
        <v>22</v>
      </c>
      <c r="O1343" t="e">
        <f>+_xlfn.XLOOKUP(tbl_encuesta[[#This Row],[Siento que mi trabajo es reconocido por mi supervisor o jefe directo.]],#REF!,#REF!)</f>
        <v>#REF!</v>
      </c>
      <c r="P1343" t="s">
        <v>67</v>
      </c>
      <c r="Q1343" t="e">
        <f xml:space="preserve">
_xlfn.XLOOKUP(
tbl_encuesta[[#This Row],[Mi supervisor o jefe directo nos brinda charlas de 5 minutos y comunica las novedades relevantes a mi puesto de trabajo]],#REF!,#REF!
)</f>
        <v>#REF!</v>
      </c>
      <c r="S1343" t="s">
        <v>18</v>
      </c>
      <c r="T1343" t="s">
        <v>19</v>
      </c>
      <c r="W1343" t="s">
        <v>25</v>
      </c>
      <c r="X1343" t="s">
        <v>23</v>
      </c>
      <c r="Y1343" t="e">
        <f>+_xlfn.XLOOKUP(tbl_encuesta[[#This Row],[Considero a Limtek como un buen lugar para trabajar]],#REF!,#REF!)</f>
        <v>#REF!</v>
      </c>
      <c r="Z1343" t="s">
        <v>3315</v>
      </c>
      <c r="AA1343" t="s">
        <v>3316</v>
      </c>
      <c r="AB1343" t="s">
        <v>687</v>
      </c>
      <c r="AC1343" s="3" t="s">
        <v>3610</v>
      </c>
      <c r="AD1343" s="3" t="s">
        <v>3678</v>
      </c>
      <c r="AE1343" t="s">
        <v>61</v>
      </c>
    </row>
    <row r="1344" spans="1:31" x14ac:dyDescent="0.25">
      <c r="A1344">
        <v>119025700693</v>
      </c>
      <c r="B1344">
        <v>462598545</v>
      </c>
      <c r="C1344" s="1">
        <v>46014.454259259262</v>
      </c>
      <c r="D1344" s="1">
        <v>46014.463113425925</v>
      </c>
      <c r="E1344" t="s">
        <v>3317</v>
      </c>
      <c r="F1344" t="s">
        <v>23</v>
      </c>
      <c r="G1344" t="e">
        <f>+_xlfn.XLOOKUP(tbl_encuesta[[#This Row],[Me siento a gusto con el ambiente de trabajo que se genera en mi equipo.]],#REF!,#REF!)</f>
        <v>#REF!</v>
      </c>
      <c r="H1344" t="s">
        <v>23</v>
      </c>
      <c r="I1344" t="e">
        <f>+_xlfn.XLOOKUP(tbl_encuesta[[#This Row],[Me siento motivado a dar lo mejor de mí y hacer un buen trabajo]],#REF!,#REF!)</f>
        <v>#REF!</v>
      </c>
      <c r="J1344" t="s">
        <v>23</v>
      </c>
      <c r="K1344" t="e">
        <f>+_xlfn.XLOOKUP(tbl_encuesta[[#This Row],[Mi supervisor o jefe directo me otorga el soporte que necesito para afrontar cualquier problema que afecte mi trabajo]],#REF!,#REF!)</f>
        <v>#REF!</v>
      </c>
      <c r="L1344" t="s">
        <v>23</v>
      </c>
      <c r="M1344" t="e">
        <f>+_xlfn.XLOOKUP(tbl_encuesta[[#This Row],[Mi supervisor o jefe directo fomenta que nos apoyemos entre todos en el equipo]],#REF!,#REF!)</f>
        <v>#REF!</v>
      </c>
      <c r="N1344" t="s">
        <v>23</v>
      </c>
      <c r="O1344" t="e">
        <f>+_xlfn.XLOOKUP(tbl_encuesta[[#This Row],[Siento que mi trabajo es reconocido por mi supervisor o jefe directo.]],#REF!,#REF!)</f>
        <v>#REF!</v>
      </c>
      <c r="P1344" t="s">
        <v>31</v>
      </c>
      <c r="Q1344" t="e">
        <f xml:space="preserve">
_xlfn.XLOOKUP(
tbl_encuesta[[#This Row],[Mi supervisor o jefe directo nos brinda charlas de 5 minutos y comunica las novedades relevantes a mi puesto de trabajo]],#REF!,#REF!
)</f>
        <v>#REF!</v>
      </c>
      <c r="R1344" t="s">
        <v>17</v>
      </c>
      <c r="T1344" t="s">
        <v>19</v>
      </c>
      <c r="W1344" t="s">
        <v>25</v>
      </c>
      <c r="X1344" t="s">
        <v>23</v>
      </c>
      <c r="Y1344" t="e">
        <f>+_xlfn.XLOOKUP(tbl_encuesta[[#This Row],[Considero a Limtek como un buen lugar para trabajar]],#REF!,#REF!)</f>
        <v>#REF!</v>
      </c>
      <c r="Z1344" t="s">
        <v>3318</v>
      </c>
      <c r="AA1344" t="s">
        <v>3319</v>
      </c>
      <c r="AB1344" t="s">
        <v>38</v>
      </c>
      <c r="AC1344" s="3" t="s">
        <v>3610</v>
      </c>
      <c r="AD1344" s="3" t="s">
        <v>3698</v>
      </c>
      <c r="AE1344" t="s">
        <v>34</v>
      </c>
    </row>
    <row r="1345" spans="1:31" x14ac:dyDescent="0.25">
      <c r="A1345">
        <v>119025700633</v>
      </c>
      <c r="B1345">
        <v>462598545</v>
      </c>
      <c r="C1345" s="1">
        <v>46014.45758101852</v>
      </c>
      <c r="D1345" s="1">
        <v>46014.462951388887</v>
      </c>
      <c r="E1345" t="s">
        <v>3320</v>
      </c>
      <c r="F1345" t="s">
        <v>23</v>
      </c>
      <c r="G1345" t="e">
        <f>+_xlfn.XLOOKUP(tbl_encuesta[[#This Row],[Me siento a gusto con el ambiente de trabajo que se genera en mi equipo.]],#REF!,#REF!)</f>
        <v>#REF!</v>
      </c>
      <c r="H1345" t="s">
        <v>23</v>
      </c>
      <c r="I1345" t="e">
        <f>+_xlfn.XLOOKUP(tbl_encuesta[[#This Row],[Me siento motivado a dar lo mejor de mí y hacer un buen trabajo]],#REF!,#REF!)</f>
        <v>#REF!</v>
      </c>
      <c r="J1345" t="s">
        <v>23</v>
      </c>
      <c r="K1345" t="e">
        <f>+_xlfn.XLOOKUP(tbl_encuesta[[#This Row],[Mi supervisor o jefe directo me otorga el soporte que necesito para afrontar cualquier problema que afecte mi trabajo]],#REF!,#REF!)</f>
        <v>#REF!</v>
      </c>
      <c r="L1345" t="s">
        <v>23</v>
      </c>
      <c r="M1345" t="e">
        <f>+_xlfn.XLOOKUP(tbl_encuesta[[#This Row],[Mi supervisor o jefe directo fomenta que nos apoyemos entre todos en el equipo]],#REF!,#REF!)</f>
        <v>#REF!</v>
      </c>
      <c r="N1345" t="s">
        <v>23</v>
      </c>
      <c r="O1345" t="e">
        <f>+_xlfn.XLOOKUP(tbl_encuesta[[#This Row],[Siento que mi trabajo es reconocido por mi supervisor o jefe directo.]],#REF!,#REF!)</f>
        <v>#REF!</v>
      </c>
      <c r="P1345" t="s">
        <v>31</v>
      </c>
      <c r="Q1345" t="e">
        <f xml:space="preserve">
_xlfn.XLOOKUP(
tbl_encuesta[[#This Row],[Mi supervisor o jefe directo nos brinda charlas de 5 minutos y comunica las novedades relevantes a mi puesto de trabajo]],#REF!,#REF!
)</f>
        <v>#REF!</v>
      </c>
      <c r="S1345" t="s">
        <v>18</v>
      </c>
      <c r="T1345" t="s">
        <v>19</v>
      </c>
      <c r="W1345" t="s">
        <v>25</v>
      </c>
      <c r="X1345" t="s">
        <v>23</v>
      </c>
      <c r="Y1345" t="e">
        <f>+_xlfn.XLOOKUP(tbl_encuesta[[#This Row],[Considero a Limtek como un buen lugar para trabajar]],#REF!,#REF!)</f>
        <v>#REF!</v>
      </c>
      <c r="Z1345" t="s">
        <v>3321</v>
      </c>
      <c r="AA1345" t="s">
        <v>3322</v>
      </c>
      <c r="AB1345" t="s">
        <v>38</v>
      </c>
      <c r="AC1345" s="3" t="s">
        <v>3769</v>
      </c>
      <c r="AD1345" s="3" t="s">
        <v>38</v>
      </c>
      <c r="AE1345" t="s">
        <v>61</v>
      </c>
    </row>
    <row r="1346" spans="1:31" x14ac:dyDescent="0.25">
      <c r="A1346">
        <v>119025699059</v>
      </c>
      <c r="B1346">
        <v>462598545</v>
      </c>
      <c r="C1346" s="1">
        <v>46014.458657407406</v>
      </c>
      <c r="D1346" s="1">
        <v>46014.460196759261</v>
      </c>
      <c r="E1346" t="s">
        <v>3323</v>
      </c>
      <c r="F1346" t="s">
        <v>43</v>
      </c>
      <c r="G1346" t="e">
        <f>+_xlfn.XLOOKUP(tbl_encuesta[[#This Row],[Me siento a gusto con el ambiente de trabajo que se genera en mi equipo.]],#REF!,#REF!)</f>
        <v>#REF!</v>
      </c>
      <c r="H1346" t="s">
        <v>23</v>
      </c>
      <c r="I1346" t="e">
        <f>+_xlfn.XLOOKUP(tbl_encuesta[[#This Row],[Me siento motivado a dar lo mejor de mí y hacer un buen trabajo]],#REF!,#REF!)</f>
        <v>#REF!</v>
      </c>
      <c r="J1346" t="s">
        <v>23</v>
      </c>
      <c r="K1346" t="e">
        <f>+_xlfn.XLOOKUP(tbl_encuesta[[#This Row],[Mi supervisor o jefe directo me otorga el soporte que necesito para afrontar cualquier problema que afecte mi trabajo]],#REF!,#REF!)</f>
        <v>#REF!</v>
      </c>
      <c r="L1346" t="s">
        <v>23</v>
      </c>
      <c r="M1346" t="e">
        <f>+_xlfn.XLOOKUP(tbl_encuesta[[#This Row],[Mi supervisor o jefe directo fomenta que nos apoyemos entre todos en el equipo]],#REF!,#REF!)</f>
        <v>#REF!</v>
      </c>
      <c r="N1346" t="s">
        <v>23</v>
      </c>
      <c r="O1346" t="e">
        <f>+_xlfn.XLOOKUP(tbl_encuesta[[#This Row],[Siento que mi trabajo es reconocido por mi supervisor o jefe directo.]],#REF!,#REF!)</f>
        <v>#REF!</v>
      </c>
      <c r="P1346" t="s">
        <v>31</v>
      </c>
      <c r="Q1346" t="e">
        <f xml:space="preserve">
_xlfn.XLOOKUP(
tbl_encuesta[[#This Row],[Mi supervisor o jefe directo nos brinda charlas de 5 minutos y comunica las novedades relevantes a mi puesto de trabajo]],#REF!,#REF!
)</f>
        <v>#REF!</v>
      </c>
      <c r="S1346" t="s">
        <v>18</v>
      </c>
      <c r="W1346" t="s">
        <v>25</v>
      </c>
      <c r="X1346" t="s">
        <v>43</v>
      </c>
      <c r="Y1346" t="e">
        <f>+_xlfn.XLOOKUP(tbl_encuesta[[#This Row],[Considero a Limtek como un buen lugar para trabajar]],#REF!,#REF!)</f>
        <v>#REF!</v>
      </c>
      <c r="Z1346" t="s">
        <v>3324</v>
      </c>
      <c r="AA1346" t="s">
        <v>87</v>
      </c>
      <c r="AB1346" t="s">
        <v>38</v>
      </c>
      <c r="AC1346" s="3" t="s">
        <v>3610</v>
      </c>
      <c r="AD1346" s="3" t="s">
        <v>3610</v>
      </c>
      <c r="AE1346" t="s">
        <v>61</v>
      </c>
    </row>
    <row r="1347" spans="1:31" x14ac:dyDescent="0.25">
      <c r="A1347">
        <v>119025698723</v>
      </c>
      <c r="B1347">
        <v>462598545</v>
      </c>
      <c r="C1347" s="1">
        <v>46014.455092592594</v>
      </c>
      <c r="D1347" s="1">
        <v>46014.459687499999</v>
      </c>
      <c r="E1347" t="s">
        <v>3325</v>
      </c>
      <c r="F1347" t="s">
        <v>23</v>
      </c>
      <c r="G1347" t="e">
        <f>+_xlfn.XLOOKUP(tbl_encuesta[[#This Row],[Me siento a gusto con el ambiente de trabajo que se genera en mi equipo.]],#REF!,#REF!)</f>
        <v>#REF!</v>
      </c>
      <c r="H1347" t="s">
        <v>23</v>
      </c>
      <c r="I1347" t="e">
        <f>+_xlfn.XLOOKUP(tbl_encuesta[[#This Row],[Me siento motivado a dar lo mejor de mí y hacer un buen trabajo]],#REF!,#REF!)</f>
        <v>#REF!</v>
      </c>
      <c r="J1347" t="s">
        <v>23</v>
      </c>
      <c r="K1347" t="e">
        <f>+_xlfn.XLOOKUP(tbl_encuesta[[#This Row],[Mi supervisor o jefe directo me otorga el soporte que necesito para afrontar cualquier problema que afecte mi trabajo]],#REF!,#REF!)</f>
        <v>#REF!</v>
      </c>
      <c r="L1347" t="s">
        <v>23</v>
      </c>
      <c r="M1347" t="e">
        <f>+_xlfn.XLOOKUP(tbl_encuesta[[#This Row],[Mi supervisor o jefe directo fomenta que nos apoyemos entre todos en el equipo]],#REF!,#REF!)</f>
        <v>#REF!</v>
      </c>
      <c r="N1347" t="s">
        <v>23</v>
      </c>
      <c r="O1347" t="e">
        <f>+_xlfn.XLOOKUP(tbl_encuesta[[#This Row],[Siento que mi trabajo es reconocido por mi supervisor o jefe directo.]],#REF!,#REF!)</f>
        <v>#REF!</v>
      </c>
      <c r="P1347" t="s">
        <v>67</v>
      </c>
      <c r="Q1347" t="e">
        <f xml:space="preserve">
_xlfn.XLOOKUP(
tbl_encuesta[[#This Row],[Mi supervisor o jefe directo nos brinda charlas de 5 minutos y comunica las novedades relevantes a mi puesto de trabajo]],#REF!,#REF!
)</f>
        <v>#REF!</v>
      </c>
      <c r="R1347" t="s">
        <v>17</v>
      </c>
      <c r="S1347" t="s">
        <v>18</v>
      </c>
      <c r="W1347" t="s">
        <v>25</v>
      </c>
      <c r="X1347" t="s">
        <v>23</v>
      </c>
      <c r="Y1347" t="e">
        <f>+_xlfn.XLOOKUP(tbl_encuesta[[#This Row],[Considero a Limtek como un buen lugar para trabajar]],#REF!,#REF!)</f>
        <v>#REF!</v>
      </c>
      <c r="Z1347" t="s">
        <v>215</v>
      </c>
      <c r="AA1347" t="s">
        <v>968</v>
      </c>
      <c r="AB1347" t="s">
        <v>883</v>
      </c>
      <c r="AC1347" s="3" t="s">
        <v>3610</v>
      </c>
      <c r="AD1347" s="3" t="s">
        <v>3610</v>
      </c>
      <c r="AE1347" t="s">
        <v>34</v>
      </c>
    </row>
    <row r="1348" spans="1:31" x14ac:dyDescent="0.25">
      <c r="A1348">
        <v>119025697817</v>
      </c>
      <c r="B1348">
        <v>462598545</v>
      </c>
      <c r="C1348" s="1">
        <v>46014.45107638889</v>
      </c>
      <c r="D1348" s="1">
        <v>46014.458321759259</v>
      </c>
      <c r="E1348" t="s">
        <v>3326</v>
      </c>
      <c r="F1348" t="s">
        <v>23</v>
      </c>
      <c r="G1348" t="e">
        <f>+_xlfn.XLOOKUP(tbl_encuesta[[#This Row],[Me siento a gusto con el ambiente de trabajo que se genera en mi equipo.]],#REF!,#REF!)</f>
        <v>#REF!</v>
      </c>
      <c r="H1348" t="s">
        <v>23</v>
      </c>
      <c r="I1348" t="e">
        <f>+_xlfn.XLOOKUP(tbl_encuesta[[#This Row],[Me siento motivado a dar lo mejor de mí y hacer un buen trabajo]],#REF!,#REF!)</f>
        <v>#REF!</v>
      </c>
      <c r="J1348" t="s">
        <v>23</v>
      </c>
      <c r="K1348" t="e">
        <f>+_xlfn.XLOOKUP(tbl_encuesta[[#This Row],[Mi supervisor o jefe directo me otorga el soporte que necesito para afrontar cualquier problema que afecte mi trabajo]],#REF!,#REF!)</f>
        <v>#REF!</v>
      </c>
      <c r="L1348" t="s">
        <v>23</v>
      </c>
      <c r="M1348" t="e">
        <f>+_xlfn.XLOOKUP(tbl_encuesta[[#This Row],[Mi supervisor o jefe directo fomenta que nos apoyemos entre todos en el equipo]],#REF!,#REF!)</f>
        <v>#REF!</v>
      </c>
      <c r="N1348" t="s">
        <v>23</v>
      </c>
      <c r="O1348" t="e">
        <f>+_xlfn.XLOOKUP(tbl_encuesta[[#This Row],[Siento que mi trabajo es reconocido por mi supervisor o jefe directo.]],#REF!,#REF!)</f>
        <v>#REF!</v>
      </c>
      <c r="P1348" t="s">
        <v>31</v>
      </c>
      <c r="Q1348" t="e">
        <f xml:space="preserve">
_xlfn.XLOOKUP(
tbl_encuesta[[#This Row],[Mi supervisor o jefe directo nos brinda charlas de 5 minutos y comunica las novedades relevantes a mi puesto de trabajo]],#REF!,#REF!
)</f>
        <v>#REF!</v>
      </c>
      <c r="V1348" t="s">
        <v>3327</v>
      </c>
      <c r="W1348" t="s">
        <v>25</v>
      </c>
      <c r="X1348" t="s">
        <v>23</v>
      </c>
      <c r="Y1348" t="e">
        <f>+_xlfn.XLOOKUP(tbl_encuesta[[#This Row],[Considero a Limtek como un buen lugar para trabajar]],#REF!,#REF!)</f>
        <v>#REF!</v>
      </c>
      <c r="Z1348" t="s">
        <v>3328</v>
      </c>
      <c r="AA1348" t="s">
        <v>3329</v>
      </c>
      <c r="AB1348" t="s">
        <v>38</v>
      </c>
      <c r="AC1348" s="3" t="s">
        <v>3610</v>
      </c>
      <c r="AD1348" s="3" t="s">
        <v>3699</v>
      </c>
      <c r="AE1348" t="s">
        <v>61</v>
      </c>
    </row>
    <row r="1349" spans="1:31" x14ac:dyDescent="0.25">
      <c r="A1349">
        <v>119025696984</v>
      </c>
      <c r="B1349">
        <v>462598545</v>
      </c>
      <c r="C1349" s="1">
        <v>46014.441238425927</v>
      </c>
      <c r="D1349" s="1">
        <v>46014.456990740742</v>
      </c>
      <c r="E1349" t="s">
        <v>3311</v>
      </c>
      <c r="F1349" t="s">
        <v>23</v>
      </c>
      <c r="G1349" t="e">
        <f>+_xlfn.XLOOKUP(tbl_encuesta[[#This Row],[Me siento a gusto con el ambiente de trabajo que se genera en mi equipo.]],#REF!,#REF!)</f>
        <v>#REF!</v>
      </c>
      <c r="H1349" t="s">
        <v>23</v>
      </c>
      <c r="I1349" t="e">
        <f>+_xlfn.XLOOKUP(tbl_encuesta[[#This Row],[Me siento motivado a dar lo mejor de mí y hacer un buen trabajo]],#REF!,#REF!)</f>
        <v>#REF!</v>
      </c>
      <c r="J1349" t="s">
        <v>23</v>
      </c>
      <c r="K1349" t="e">
        <f>+_xlfn.XLOOKUP(tbl_encuesta[[#This Row],[Mi supervisor o jefe directo me otorga el soporte que necesito para afrontar cualquier problema que afecte mi trabajo]],#REF!,#REF!)</f>
        <v>#REF!</v>
      </c>
      <c r="L1349" t="s">
        <v>23</v>
      </c>
      <c r="M1349" t="e">
        <f>+_xlfn.XLOOKUP(tbl_encuesta[[#This Row],[Mi supervisor o jefe directo fomenta que nos apoyemos entre todos en el equipo]],#REF!,#REF!)</f>
        <v>#REF!</v>
      </c>
      <c r="N1349" t="s">
        <v>23</v>
      </c>
      <c r="O1349" t="e">
        <f>+_xlfn.XLOOKUP(tbl_encuesta[[#This Row],[Siento que mi trabajo es reconocido por mi supervisor o jefe directo.]],#REF!,#REF!)</f>
        <v>#REF!</v>
      </c>
      <c r="P1349" t="s">
        <v>31</v>
      </c>
      <c r="Q1349" t="e">
        <f xml:space="preserve">
_xlfn.XLOOKUP(
tbl_encuesta[[#This Row],[Mi supervisor o jefe directo nos brinda charlas de 5 minutos y comunica las novedades relevantes a mi puesto de trabajo]],#REF!,#REF!
)</f>
        <v>#REF!</v>
      </c>
      <c r="R1349" t="s">
        <v>17</v>
      </c>
      <c r="T1349" t="s">
        <v>19</v>
      </c>
      <c r="W1349" t="s">
        <v>25</v>
      </c>
      <c r="X1349" t="s">
        <v>23</v>
      </c>
      <c r="Y1349" t="e">
        <f>+_xlfn.XLOOKUP(tbl_encuesta[[#This Row],[Considero a Limtek como un buen lugar para trabajar]],#REF!,#REF!)</f>
        <v>#REF!</v>
      </c>
      <c r="Z1349" t="s">
        <v>3330</v>
      </c>
      <c r="AA1349" t="s">
        <v>3331</v>
      </c>
      <c r="AB1349" t="s">
        <v>687</v>
      </c>
      <c r="AC1349" s="3" t="s">
        <v>3837</v>
      </c>
      <c r="AD1349" s="3" t="s">
        <v>3837</v>
      </c>
      <c r="AE1349" t="s">
        <v>34</v>
      </c>
    </row>
    <row r="1350" spans="1:31" x14ac:dyDescent="0.25">
      <c r="A1350">
        <v>119025696567</v>
      </c>
      <c r="B1350">
        <v>462598545</v>
      </c>
      <c r="C1350" s="1">
        <v>46014.452916666669</v>
      </c>
      <c r="D1350" s="1">
        <v>46014.456365740742</v>
      </c>
      <c r="E1350" t="s">
        <v>3332</v>
      </c>
      <c r="F1350" t="s">
        <v>22</v>
      </c>
      <c r="G1350" t="e">
        <f>+_xlfn.XLOOKUP(tbl_encuesta[[#This Row],[Me siento a gusto con el ambiente de trabajo que se genera en mi equipo.]],#REF!,#REF!)</f>
        <v>#REF!</v>
      </c>
      <c r="H1350" t="s">
        <v>23</v>
      </c>
      <c r="I1350" t="e">
        <f>+_xlfn.XLOOKUP(tbl_encuesta[[#This Row],[Me siento motivado a dar lo mejor de mí y hacer un buen trabajo]],#REF!,#REF!)</f>
        <v>#REF!</v>
      </c>
      <c r="J1350" t="s">
        <v>23</v>
      </c>
      <c r="K1350" t="e">
        <f>+_xlfn.XLOOKUP(tbl_encuesta[[#This Row],[Mi supervisor o jefe directo me otorga el soporte que necesito para afrontar cualquier problema que afecte mi trabajo]],#REF!,#REF!)</f>
        <v>#REF!</v>
      </c>
      <c r="L1350" t="s">
        <v>23</v>
      </c>
      <c r="M1350" t="e">
        <f>+_xlfn.XLOOKUP(tbl_encuesta[[#This Row],[Mi supervisor o jefe directo fomenta que nos apoyemos entre todos en el equipo]],#REF!,#REF!)</f>
        <v>#REF!</v>
      </c>
      <c r="N1350" t="s">
        <v>23</v>
      </c>
      <c r="O1350" t="e">
        <f>+_xlfn.XLOOKUP(tbl_encuesta[[#This Row],[Siento que mi trabajo es reconocido por mi supervisor o jefe directo.]],#REF!,#REF!)</f>
        <v>#REF!</v>
      </c>
      <c r="P1350" t="s">
        <v>31</v>
      </c>
      <c r="Q1350" t="e">
        <f xml:space="preserve">
_xlfn.XLOOKUP(
tbl_encuesta[[#This Row],[Mi supervisor o jefe directo nos brinda charlas de 5 minutos y comunica las novedades relevantes a mi puesto de trabajo]],#REF!,#REF!
)</f>
        <v>#REF!</v>
      </c>
      <c r="R1350" t="s">
        <v>17</v>
      </c>
      <c r="W1350" t="s">
        <v>25</v>
      </c>
      <c r="X1350" t="s">
        <v>23</v>
      </c>
      <c r="Y1350" t="e">
        <f>+_xlfn.XLOOKUP(tbl_encuesta[[#This Row],[Considero a Limtek como un buen lugar para trabajar]],#REF!,#REF!)</f>
        <v>#REF!</v>
      </c>
      <c r="Z1350" t="s">
        <v>3333</v>
      </c>
      <c r="AA1350" t="s">
        <v>3334</v>
      </c>
      <c r="AB1350" t="s">
        <v>38</v>
      </c>
      <c r="AC1350" s="3" t="s">
        <v>3610</v>
      </c>
      <c r="AD1350" s="3" t="s">
        <v>3700</v>
      </c>
      <c r="AE1350" t="s">
        <v>29</v>
      </c>
    </row>
    <row r="1351" spans="1:31" x14ac:dyDescent="0.25">
      <c r="A1351">
        <v>119025696185</v>
      </c>
      <c r="B1351">
        <v>462598545</v>
      </c>
      <c r="C1351" s="1">
        <v>46014.455185185187</v>
      </c>
      <c r="D1351" s="1">
        <v>46014.455740740741</v>
      </c>
      <c r="E1351" t="s">
        <v>3335</v>
      </c>
      <c r="F1351" t="s">
        <v>23</v>
      </c>
      <c r="G1351" t="e">
        <f>+_xlfn.XLOOKUP(tbl_encuesta[[#This Row],[Me siento a gusto con el ambiente de trabajo que se genera en mi equipo.]],#REF!,#REF!)</f>
        <v>#REF!</v>
      </c>
      <c r="H1351" t="s">
        <v>23</v>
      </c>
      <c r="I1351" t="e">
        <f>+_xlfn.XLOOKUP(tbl_encuesta[[#This Row],[Me siento motivado a dar lo mejor de mí y hacer un buen trabajo]],#REF!,#REF!)</f>
        <v>#REF!</v>
      </c>
      <c r="J1351" t="s">
        <v>23</v>
      </c>
      <c r="K1351" t="e">
        <f>+_xlfn.XLOOKUP(tbl_encuesta[[#This Row],[Mi supervisor o jefe directo me otorga el soporte que necesito para afrontar cualquier problema que afecte mi trabajo]],#REF!,#REF!)</f>
        <v>#REF!</v>
      </c>
      <c r="L1351" t="s">
        <v>23</v>
      </c>
      <c r="M1351" t="e">
        <f>+_xlfn.XLOOKUP(tbl_encuesta[[#This Row],[Mi supervisor o jefe directo fomenta que nos apoyemos entre todos en el equipo]],#REF!,#REF!)</f>
        <v>#REF!</v>
      </c>
      <c r="N1351" t="s">
        <v>23</v>
      </c>
      <c r="O1351" t="e">
        <f>+_xlfn.XLOOKUP(tbl_encuesta[[#This Row],[Siento que mi trabajo es reconocido por mi supervisor o jefe directo.]],#REF!,#REF!)</f>
        <v>#REF!</v>
      </c>
      <c r="P1351" t="s">
        <v>31</v>
      </c>
      <c r="Q1351" t="e">
        <f xml:space="preserve">
_xlfn.XLOOKUP(
tbl_encuesta[[#This Row],[Mi supervisor o jefe directo nos brinda charlas de 5 minutos y comunica las novedades relevantes a mi puesto de trabajo]],#REF!,#REF!
)</f>
        <v>#REF!</v>
      </c>
      <c r="S1351" t="s">
        <v>18</v>
      </c>
      <c r="W1351" t="s">
        <v>25</v>
      </c>
      <c r="X1351" t="s">
        <v>23</v>
      </c>
      <c r="Y1351" t="e">
        <f>+_xlfn.XLOOKUP(tbl_encuesta[[#This Row],[Considero a Limtek como un buen lugar para trabajar]],#REF!,#REF!)</f>
        <v>#REF!</v>
      </c>
      <c r="Z1351" t="s">
        <v>3336</v>
      </c>
      <c r="AA1351" t="s">
        <v>122</v>
      </c>
      <c r="AB1351" t="s">
        <v>28</v>
      </c>
      <c r="AC1351" s="3" t="s">
        <v>3752</v>
      </c>
      <c r="AD1351" s="3" t="s">
        <v>3752</v>
      </c>
      <c r="AE1351" t="s">
        <v>69</v>
      </c>
    </row>
    <row r="1352" spans="1:31" x14ac:dyDescent="0.25">
      <c r="A1352">
        <v>119025695724</v>
      </c>
      <c r="B1352">
        <v>462598545</v>
      </c>
      <c r="C1352" s="1">
        <v>46014.447291666664</v>
      </c>
      <c r="D1352" s="1">
        <v>46014.455081018517</v>
      </c>
      <c r="E1352" t="s">
        <v>3335</v>
      </c>
      <c r="F1352" t="s">
        <v>23</v>
      </c>
      <c r="G1352" t="e">
        <f>+_xlfn.XLOOKUP(tbl_encuesta[[#This Row],[Me siento a gusto con el ambiente de trabajo que se genera en mi equipo.]],#REF!,#REF!)</f>
        <v>#REF!</v>
      </c>
      <c r="H1352" t="s">
        <v>23</v>
      </c>
      <c r="I1352" t="e">
        <f>+_xlfn.XLOOKUP(tbl_encuesta[[#This Row],[Me siento motivado a dar lo mejor de mí y hacer un buen trabajo]],#REF!,#REF!)</f>
        <v>#REF!</v>
      </c>
      <c r="J1352" t="s">
        <v>23</v>
      </c>
      <c r="K1352" t="e">
        <f>+_xlfn.XLOOKUP(tbl_encuesta[[#This Row],[Mi supervisor o jefe directo me otorga el soporte que necesito para afrontar cualquier problema que afecte mi trabajo]],#REF!,#REF!)</f>
        <v>#REF!</v>
      </c>
      <c r="L1352" t="s">
        <v>23</v>
      </c>
      <c r="M1352" t="e">
        <f>+_xlfn.XLOOKUP(tbl_encuesta[[#This Row],[Mi supervisor o jefe directo fomenta que nos apoyemos entre todos en el equipo]],#REF!,#REF!)</f>
        <v>#REF!</v>
      </c>
      <c r="N1352" t="s">
        <v>22</v>
      </c>
      <c r="O1352" t="e">
        <f>+_xlfn.XLOOKUP(tbl_encuesta[[#This Row],[Siento que mi trabajo es reconocido por mi supervisor o jefe directo.]],#REF!,#REF!)</f>
        <v>#REF!</v>
      </c>
      <c r="P1352" t="s">
        <v>31</v>
      </c>
      <c r="Q1352" t="e">
        <f xml:space="preserve">
_xlfn.XLOOKUP(
tbl_encuesta[[#This Row],[Mi supervisor o jefe directo nos brinda charlas de 5 minutos y comunica las novedades relevantes a mi puesto de trabajo]],#REF!,#REF!
)</f>
        <v>#REF!</v>
      </c>
      <c r="S1352" t="s">
        <v>18</v>
      </c>
      <c r="W1352" t="s">
        <v>25</v>
      </c>
      <c r="X1352" t="s">
        <v>23</v>
      </c>
      <c r="Y1352" t="e">
        <f>+_xlfn.XLOOKUP(tbl_encuesta[[#This Row],[Considero a Limtek como un buen lugar para trabajar]],#REF!,#REF!)</f>
        <v>#REF!</v>
      </c>
      <c r="Z1352" t="s">
        <v>3336</v>
      </c>
      <c r="AA1352" t="s">
        <v>122</v>
      </c>
      <c r="AB1352" t="s">
        <v>28</v>
      </c>
      <c r="AC1352" s="3" t="s">
        <v>3752</v>
      </c>
      <c r="AD1352" s="3" t="s">
        <v>3752</v>
      </c>
      <c r="AE1352" t="s">
        <v>69</v>
      </c>
    </row>
    <row r="1353" spans="1:31" x14ac:dyDescent="0.25">
      <c r="A1353">
        <v>119025695353</v>
      </c>
      <c r="B1353">
        <v>462598545</v>
      </c>
      <c r="C1353" s="1">
        <v>46014.448599537034</v>
      </c>
      <c r="D1353" s="1">
        <v>46014.454456018517</v>
      </c>
      <c r="E1353" t="s">
        <v>3337</v>
      </c>
      <c r="F1353" t="s">
        <v>22</v>
      </c>
      <c r="G1353" t="e">
        <f>+_xlfn.XLOOKUP(tbl_encuesta[[#This Row],[Me siento a gusto con el ambiente de trabajo que se genera en mi equipo.]],#REF!,#REF!)</f>
        <v>#REF!</v>
      </c>
      <c r="H1353" t="s">
        <v>23</v>
      </c>
      <c r="I1353" t="e">
        <f>+_xlfn.XLOOKUP(tbl_encuesta[[#This Row],[Me siento motivado a dar lo mejor de mí y hacer un buen trabajo]],#REF!,#REF!)</f>
        <v>#REF!</v>
      </c>
      <c r="J1353" t="s">
        <v>22</v>
      </c>
      <c r="K1353" t="e">
        <f>+_xlfn.XLOOKUP(tbl_encuesta[[#This Row],[Mi supervisor o jefe directo me otorga el soporte que necesito para afrontar cualquier problema que afecte mi trabajo]],#REF!,#REF!)</f>
        <v>#REF!</v>
      </c>
      <c r="L1353" t="s">
        <v>22</v>
      </c>
      <c r="M1353" t="e">
        <f>+_xlfn.XLOOKUP(tbl_encuesta[[#This Row],[Mi supervisor o jefe directo fomenta que nos apoyemos entre todos en el equipo]],#REF!,#REF!)</f>
        <v>#REF!</v>
      </c>
      <c r="N1353" t="s">
        <v>22</v>
      </c>
      <c r="O1353" t="e">
        <f>+_xlfn.XLOOKUP(tbl_encuesta[[#This Row],[Siento que mi trabajo es reconocido por mi supervisor o jefe directo.]],#REF!,#REF!)</f>
        <v>#REF!</v>
      </c>
      <c r="P1353" t="s">
        <v>67</v>
      </c>
      <c r="Q1353" t="e">
        <f xml:space="preserve">
_xlfn.XLOOKUP(
tbl_encuesta[[#This Row],[Mi supervisor o jefe directo nos brinda charlas de 5 minutos y comunica las novedades relevantes a mi puesto de trabajo]],#REF!,#REF!
)</f>
        <v>#REF!</v>
      </c>
      <c r="R1353" t="s">
        <v>17</v>
      </c>
      <c r="S1353" t="s">
        <v>18</v>
      </c>
      <c r="W1353" t="s">
        <v>25</v>
      </c>
      <c r="X1353" t="s">
        <v>22</v>
      </c>
      <c r="Y1353" t="e">
        <f>+_xlfn.XLOOKUP(tbl_encuesta[[#This Row],[Considero a Limtek como un buen lugar para trabajar]],#REF!,#REF!)</f>
        <v>#REF!</v>
      </c>
      <c r="Z1353" t="s">
        <v>3338</v>
      </c>
      <c r="AA1353" t="s">
        <v>3339</v>
      </c>
      <c r="AB1353" t="s">
        <v>38</v>
      </c>
      <c r="AC1353" s="3" t="s">
        <v>3716</v>
      </c>
      <c r="AD1353" s="3" t="s">
        <v>38</v>
      </c>
      <c r="AE1353" t="s">
        <v>69</v>
      </c>
    </row>
    <row r="1354" spans="1:31" x14ac:dyDescent="0.25">
      <c r="A1354">
        <v>119025695252</v>
      </c>
      <c r="B1354">
        <v>462598545</v>
      </c>
      <c r="C1354" s="1">
        <v>46014.447731481479</v>
      </c>
      <c r="D1354" s="1">
        <v>46014.454317129632</v>
      </c>
      <c r="E1354" t="s">
        <v>3340</v>
      </c>
      <c r="F1354" t="s">
        <v>22</v>
      </c>
      <c r="G1354" t="e">
        <f>+_xlfn.XLOOKUP(tbl_encuesta[[#This Row],[Me siento a gusto con el ambiente de trabajo que se genera en mi equipo.]],#REF!,#REF!)</f>
        <v>#REF!</v>
      </c>
      <c r="H1354" t="s">
        <v>22</v>
      </c>
      <c r="I1354" t="e">
        <f>+_xlfn.XLOOKUP(tbl_encuesta[[#This Row],[Me siento motivado a dar lo mejor de mí y hacer un buen trabajo]],#REF!,#REF!)</f>
        <v>#REF!</v>
      </c>
      <c r="J1354" t="s">
        <v>23</v>
      </c>
      <c r="K1354" t="e">
        <f>+_xlfn.XLOOKUP(tbl_encuesta[[#This Row],[Mi supervisor o jefe directo me otorga el soporte que necesito para afrontar cualquier problema que afecte mi trabajo]],#REF!,#REF!)</f>
        <v>#REF!</v>
      </c>
      <c r="L1354" t="s">
        <v>23</v>
      </c>
      <c r="M1354" t="e">
        <f>+_xlfn.XLOOKUP(tbl_encuesta[[#This Row],[Mi supervisor o jefe directo fomenta que nos apoyemos entre todos en el equipo]],#REF!,#REF!)</f>
        <v>#REF!</v>
      </c>
      <c r="N1354" t="s">
        <v>22</v>
      </c>
      <c r="O1354" t="e">
        <f>+_xlfn.XLOOKUP(tbl_encuesta[[#This Row],[Siento que mi trabajo es reconocido por mi supervisor o jefe directo.]],#REF!,#REF!)</f>
        <v>#REF!</v>
      </c>
      <c r="P1354" t="s">
        <v>31</v>
      </c>
      <c r="Q1354" t="e">
        <f xml:space="preserve">
_xlfn.XLOOKUP(
tbl_encuesta[[#This Row],[Mi supervisor o jefe directo nos brinda charlas de 5 minutos y comunica las novedades relevantes a mi puesto de trabajo]],#REF!,#REF!
)</f>
        <v>#REF!</v>
      </c>
      <c r="S1354" t="s">
        <v>18</v>
      </c>
      <c r="U1354" t="s">
        <v>20</v>
      </c>
      <c r="W1354" t="s">
        <v>25</v>
      </c>
      <c r="X1354" t="s">
        <v>23</v>
      </c>
      <c r="Y1354" t="e">
        <f>+_xlfn.XLOOKUP(tbl_encuesta[[#This Row],[Considero a Limtek como un buen lugar para trabajar]],#REF!,#REF!)</f>
        <v>#REF!</v>
      </c>
      <c r="Z1354" t="s">
        <v>3341</v>
      </c>
      <c r="AA1354" t="s">
        <v>3342</v>
      </c>
      <c r="AB1354" t="s">
        <v>28</v>
      </c>
      <c r="AC1354" s="3" t="s">
        <v>3752</v>
      </c>
      <c r="AD1354" s="3" t="s">
        <v>3752</v>
      </c>
      <c r="AE1354" t="s">
        <v>34</v>
      </c>
    </row>
    <row r="1355" spans="1:31" x14ac:dyDescent="0.25">
      <c r="A1355">
        <v>119025693518</v>
      </c>
      <c r="B1355">
        <v>462598545</v>
      </c>
      <c r="C1355" s="1">
        <v>46014.447002314817</v>
      </c>
      <c r="D1355" s="1">
        <v>46014.451736111114</v>
      </c>
      <c r="E1355" t="s">
        <v>3343</v>
      </c>
      <c r="F1355" t="s">
        <v>23</v>
      </c>
      <c r="G1355" t="e">
        <f>+_xlfn.XLOOKUP(tbl_encuesta[[#This Row],[Me siento a gusto con el ambiente de trabajo que se genera en mi equipo.]],#REF!,#REF!)</f>
        <v>#REF!</v>
      </c>
      <c r="H1355" t="s">
        <v>23</v>
      </c>
      <c r="I1355" t="e">
        <f>+_xlfn.XLOOKUP(tbl_encuesta[[#This Row],[Me siento motivado a dar lo mejor de mí y hacer un buen trabajo]],#REF!,#REF!)</f>
        <v>#REF!</v>
      </c>
      <c r="J1355" t="s">
        <v>23</v>
      </c>
      <c r="K1355" t="e">
        <f>+_xlfn.XLOOKUP(tbl_encuesta[[#This Row],[Mi supervisor o jefe directo me otorga el soporte que necesito para afrontar cualquier problema que afecte mi trabajo]],#REF!,#REF!)</f>
        <v>#REF!</v>
      </c>
      <c r="L1355" t="s">
        <v>23</v>
      </c>
      <c r="M1355" t="e">
        <f>+_xlfn.XLOOKUP(tbl_encuesta[[#This Row],[Mi supervisor o jefe directo fomenta que nos apoyemos entre todos en el equipo]],#REF!,#REF!)</f>
        <v>#REF!</v>
      </c>
      <c r="N1355" t="s">
        <v>23</v>
      </c>
      <c r="O1355" t="e">
        <f>+_xlfn.XLOOKUP(tbl_encuesta[[#This Row],[Siento que mi trabajo es reconocido por mi supervisor o jefe directo.]],#REF!,#REF!)</f>
        <v>#REF!</v>
      </c>
      <c r="P1355" t="s">
        <v>31</v>
      </c>
      <c r="Q1355" t="e">
        <f xml:space="preserve">
_xlfn.XLOOKUP(
tbl_encuesta[[#This Row],[Mi supervisor o jefe directo nos brinda charlas de 5 minutos y comunica las novedades relevantes a mi puesto de trabajo]],#REF!,#REF!
)</f>
        <v>#REF!</v>
      </c>
      <c r="R1355" t="s">
        <v>17</v>
      </c>
      <c r="S1355" t="s">
        <v>18</v>
      </c>
      <c r="W1355" t="s">
        <v>25</v>
      </c>
      <c r="X1355" t="s">
        <v>23</v>
      </c>
      <c r="Y1355" t="e">
        <f>+_xlfn.XLOOKUP(tbl_encuesta[[#This Row],[Considero a Limtek como un buen lugar para trabajar]],#REF!,#REF!)</f>
        <v>#REF!</v>
      </c>
      <c r="Z1355" t="s">
        <v>3344</v>
      </c>
      <c r="AA1355" t="s">
        <v>3345</v>
      </c>
      <c r="AB1355" t="s">
        <v>883</v>
      </c>
      <c r="AC1355" t="s">
        <v>3744</v>
      </c>
      <c r="AD1355" t="s">
        <v>3744</v>
      </c>
      <c r="AE1355" t="s">
        <v>34</v>
      </c>
    </row>
    <row r="1356" spans="1:31" x14ac:dyDescent="0.25">
      <c r="A1356">
        <v>119025692481</v>
      </c>
      <c r="B1356">
        <v>462598545</v>
      </c>
      <c r="C1356" s="1">
        <v>46014.448449074072</v>
      </c>
      <c r="D1356" s="1">
        <v>46014.450115740743</v>
      </c>
      <c r="E1356" t="s">
        <v>3346</v>
      </c>
      <c r="F1356" t="s">
        <v>23</v>
      </c>
      <c r="G1356" t="e">
        <f>+_xlfn.XLOOKUP(tbl_encuesta[[#This Row],[Me siento a gusto con el ambiente de trabajo que se genera en mi equipo.]],#REF!,#REF!)</f>
        <v>#REF!</v>
      </c>
      <c r="H1356" t="s">
        <v>23</v>
      </c>
      <c r="I1356" t="e">
        <f>+_xlfn.XLOOKUP(tbl_encuesta[[#This Row],[Me siento motivado a dar lo mejor de mí y hacer un buen trabajo]],#REF!,#REF!)</f>
        <v>#REF!</v>
      </c>
      <c r="J1356" t="s">
        <v>23</v>
      </c>
      <c r="K1356" t="e">
        <f>+_xlfn.XLOOKUP(tbl_encuesta[[#This Row],[Mi supervisor o jefe directo me otorga el soporte que necesito para afrontar cualquier problema que afecte mi trabajo]],#REF!,#REF!)</f>
        <v>#REF!</v>
      </c>
      <c r="L1356" t="s">
        <v>23</v>
      </c>
      <c r="M1356" t="e">
        <f>+_xlfn.XLOOKUP(tbl_encuesta[[#This Row],[Mi supervisor o jefe directo fomenta que nos apoyemos entre todos en el equipo]],#REF!,#REF!)</f>
        <v>#REF!</v>
      </c>
      <c r="N1356" t="s">
        <v>23</v>
      </c>
      <c r="O1356" t="e">
        <f>+_xlfn.XLOOKUP(tbl_encuesta[[#This Row],[Siento que mi trabajo es reconocido por mi supervisor o jefe directo.]],#REF!,#REF!)</f>
        <v>#REF!</v>
      </c>
      <c r="P1356" t="s">
        <v>31</v>
      </c>
      <c r="Q1356" t="e">
        <f xml:space="preserve">
_xlfn.XLOOKUP(
tbl_encuesta[[#This Row],[Mi supervisor o jefe directo nos brinda charlas de 5 minutos y comunica las novedades relevantes a mi puesto de trabajo]],#REF!,#REF!
)</f>
        <v>#REF!</v>
      </c>
      <c r="R1356" t="s">
        <v>17</v>
      </c>
      <c r="W1356" t="s">
        <v>25</v>
      </c>
      <c r="X1356" t="s">
        <v>23</v>
      </c>
      <c r="Y1356" t="e">
        <f>+_xlfn.XLOOKUP(tbl_encuesta[[#This Row],[Considero a Limtek como un buen lugar para trabajar]],#REF!,#REF!)</f>
        <v>#REF!</v>
      </c>
      <c r="Z1356" t="s">
        <v>166</v>
      </c>
      <c r="AA1356" t="s">
        <v>3347</v>
      </c>
      <c r="AB1356" t="s">
        <v>38</v>
      </c>
      <c r="AC1356" s="3" t="s">
        <v>3716</v>
      </c>
      <c r="AD1356" s="3" t="s">
        <v>3716</v>
      </c>
      <c r="AE1356" t="s">
        <v>55</v>
      </c>
    </row>
    <row r="1357" spans="1:31" x14ac:dyDescent="0.25">
      <c r="A1357">
        <v>119025691708</v>
      </c>
      <c r="B1357">
        <v>462598545</v>
      </c>
      <c r="C1357" s="1">
        <v>46014.44494212963</v>
      </c>
      <c r="D1357" s="1">
        <v>46014.448900462965</v>
      </c>
      <c r="E1357" t="s">
        <v>3348</v>
      </c>
      <c r="F1357" t="s">
        <v>97</v>
      </c>
      <c r="G1357" t="e">
        <f>+_xlfn.XLOOKUP(tbl_encuesta[[#This Row],[Me siento a gusto con el ambiente de trabajo que se genera en mi equipo.]],#REF!,#REF!)</f>
        <v>#REF!</v>
      </c>
      <c r="H1357" t="s">
        <v>22</v>
      </c>
      <c r="I1357" t="e">
        <f>+_xlfn.XLOOKUP(tbl_encuesta[[#This Row],[Me siento motivado a dar lo mejor de mí y hacer un buen trabajo]],#REF!,#REF!)</f>
        <v>#REF!</v>
      </c>
      <c r="J1357" t="s">
        <v>22</v>
      </c>
      <c r="K1357" t="e">
        <f>+_xlfn.XLOOKUP(tbl_encuesta[[#This Row],[Mi supervisor o jefe directo me otorga el soporte que necesito para afrontar cualquier problema que afecte mi trabajo]],#REF!,#REF!)</f>
        <v>#REF!</v>
      </c>
      <c r="L1357" t="s">
        <v>23</v>
      </c>
      <c r="M1357" t="e">
        <f>+_xlfn.XLOOKUP(tbl_encuesta[[#This Row],[Mi supervisor o jefe directo fomenta que nos apoyemos entre todos en el equipo]],#REF!,#REF!)</f>
        <v>#REF!</v>
      </c>
      <c r="N1357" t="s">
        <v>97</v>
      </c>
      <c r="O1357" t="e">
        <f>+_xlfn.XLOOKUP(tbl_encuesta[[#This Row],[Siento que mi trabajo es reconocido por mi supervisor o jefe directo.]],#REF!,#REF!)</f>
        <v>#REF!</v>
      </c>
      <c r="P1357" t="s">
        <v>31</v>
      </c>
      <c r="Q1357" t="e">
        <f xml:space="preserve">
_xlfn.XLOOKUP(
tbl_encuesta[[#This Row],[Mi supervisor o jefe directo nos brinda charlas de 5 minutos y comunica las novedades relevantes a mi puesto de trabajo]],#REF!,#REF!
)</f>
        <v>#REF!</v>
      </c>
      <c r="V1357" t="s">
        <v>3349</v>
      </c>
      <c r="W1357" t="s">
        <v>25</v>
      </c>
      <c r="X1357" t="s">
        <v>23</v>
      </c>
      <c r="Y1357" t="e">
        <f>+_xlfn.XLOOKUP(tbl_encuesta[[#This Row],[Considero a Limtek como un buen lugar para trabajar]],#REF!,#REF!)</f>
        <v>#REF!</v>
      </c>
      <c r="Z1357" t="s">
        <v>3350</v>
      </c>
      <c r="AA1357" t="s">
        <v>3351</v>
      </c>
      <c r="AB1357" t="s">
        <v>28</v>
      </c>
      <c r="AC1357" s="3" t="s">
        <v>3752</v>
      </c>
      <c r="AD1357" s="3" t="s">
        <v>3752</v>
      </c>
      <c r="AE1357" t="s">
        <v>61</v>
      </c>
    </row>
    <row r="1358" spans="1:31" x14ac:dyDescent="0.25">
      <c r="A1358">
        <v>119025688162</v>
      </c>
      <c r="B1358">
        <v>462598545</v>
      </c>
      <c r="C1358" s="1">
        <v>46014.441157407404</v>
      </c>
      <c r="D1358" s="1">
        <v>46014.443553240744</v>
      </c>
      <c r="E1358" t="s">
        <v>3352</v>
      </c>
      <c r="F1358" t="s">
        <v>22</v>
      </c>
      <c r="G1358" t="e">
        <f>+_xlfn.XLOOKUP(tbl_encuesta[[#This Row],[Me siento a gusto con el ambiente de trabajo que se genera en mi equipo.]],#REF!,#REF!)</f>
        <v>#REF!</v>
      </c>
      <c r="H1358" t="s">
        <v>23</v>
      </c>
      <c r="I1358" t="e">
        <f>+_xlfn.XLOOKUP(tbl_encuesta[[#This Row],[Me siento motivado a dar lo mejor de mí y hacer un buen trabajo]],#REF!,#REF!)</f>
        <v>#REF!</v>
      </c>
      <c r="J1358" t="s">
        <v>22</v>
      </c>
      <c r="K1358" t="e">
        <f>+_xlfn.XLOOKUP(tbl_encuesta[[#This Row],[Mi supervisor o jefe directo me otorga el soporte que necesito para afrontar cualquier problema que afecte mi trabajo]],#REF!,#REF!)</f>
        <v>#REF!</v>
      </c>
      <c r="L1358" t="s">
        <v>22</v>
      </c>
      <c r="M1358" t="e">
        <f>+_xlfn.XLOOKUP(tbl_encuesta[[#This Row],[Mi supervisor o jefe directo fomenta que nos apoyemos entre todos en el equipo]],#REF!,#REF!)</f>
        <v>#REF!</v>
      </c>
      <c r="N1358" t="s">
        <v>97</v>
      </c>
      <c r="O1358" t="e">
        <f>+_xlfn.XLOOKUP(tbl_encuesta[[#This Row],[Siento que mi trabajo es reconocido por mi supervisor o jefe directo.]],#REF!,#REF!)</f>
        <v>#REF!</v>
      </c>
      <c r="P1358" t="s">
        <v>67</v>
      </c>
      <c r="Q1358" t="e">
        <f xml:space="preserve">
_xlfn.XLOOKUP(
tbl_encuesta[[#This Row],[Mi supervisor o jefe directo nos brinda charlas de 5 minutos y comunica las novedades relevantes a mi puesto de trabajo]],#REF!,#REF!
)</f>
        <v>#REF!</v>
      </c>
      <c r="S1358" t="s">
        <v>18</v>
      </c>
      <c r="T1358" t="s">
        <v>19</v>
      </c>
      <c r="W1358" t="s">
        <v>25</v>
      </c>
      <c r="X1358" t="s">
        <v>22</v>
      </c>
      <c r="Y1358" t="e">
        <f>+_xlfn.XLOOKUP(tbl_encuesta[[#This Row],[Considero a Limtek como un buen lugar para trabajar]],#REF!,#REF!)</f>
        <v>#REF!</v>
      </c>
      <c r="Z1358" t="s">
        <v>3353</v>
      </c>
      <c r="AA1358" t="s">
        <v>3354</v>
      </c>
      <c r="AB1358" t="s">
        <v>28</v>
      </c>
      <c r="AC1358" s="3" t="s">
        <v>3752</v>
      </c>
      <c r="AD1358" s="3" t="s">
        <v>3752</v>
      </c>
      <c r="AE1358" t="s">
        <v>29</v>
      </c>
    </row>
    <row r="1359" spans="1:31" x14ac:dyDescent="0.25">
      <c r="A1359">
        <v>119025686461</v>
      </c>
      <c r="B1359">
        <v>462598545</v>
      </c>
      <c r="C1359" s="1">
        <v>46014.435277777775</v>
      </c>
      <c r="D1359" s="1">
        <v>46014.441064814811</v>
      </c>
      <c r="E1359" t="s">
        <v>3355</v>
      </c>
      <c r="F1359" t="s">
        <v>22</v>
      </c>
      <c r="G1359" t="e">
        <f>+_xlfn.XLOOKUP(tbl_encuesta[[#This Row],[Me siento a gusto con el ambiente de trabajo que se genera en mi equipo.]],#REF!,#REF!)</f>
        <v>#REF!</v>
      </c>
      <c r="H1359" t="s">
        <v>23</v>
      </c>
      <c r="I1359" t="e">
        <f>+_xlfn.XLOOKUP(tbl_encuesta[[#This Row],[Me siento motivado a dar lo mejor de mí y hacer un buen trabajo]],#REF!,#REF!)</f>
        <v>#REF!</v>
      </c>
      <c r="J1359" t="s">
        <v>22</v>
      </c>
      <c r="K1359" t="e">
        <f>+_xlfn.XLOOKUP(tbl_encuesta[[#This Row],[Mi supervisor o jefe directo me otorga el soporte que necesito para afrontar cualquier problema que afecte mi trabajo]],#REF!,#REF!)</f>
        <v>#REF!</v>
      </c>
      <c r="L1359" t="s">
        <v>23</v>
      </c>
      <c r="M1359" t="e">
        <f>+_xlfn.XLOOKUP(tbl_encuesta[[#This Row],[Mi supervisor o jefe directo fomenta que nos apoyemos entre todos en el equipo]],#REF!,#REF!)</f>
        <v>#REF!</v>
      </c>
      <c r="N1359" t="s">
        <v>22</v>
      </c>
      <c r="O1359" t="e">
        <f>+_xlfn.XLOOKUP(tbl_encuesta[[#This Row],[Siento que mi trabajo es reconocido por mi supervisor o jefe directo.]],#REF!,#REF!)</f>
        <v>#REF!</v>
      </c>
      <c r="P1359" t="s">
        <v>31</v>
      </c>
      <c r="Q1359" t="e">
        <f xml:space="preserve">
_xlfn.XLOOKUP(
tbl_encuesta[[#This Row],[Mi supervisor o jefe directo nos brinda charlas de 5 minutos y comunica las novedades relevantes a mi puesto de trabajo]],#REF!,#REF!
)</f>
        <v>#REF!</v>
      </c>
      <c r="R1359" t="s">
        <v>17</v>
      </c>
      <c r="U1359" t="s">
        <v>20</v>
      </c>
      <c r="W1359" t="s">
        <v>25</v>
      </c>
      <c r="X1359" t="s">
        <v>22</v>
      </c>
      <c r="Y1359" t="e">
        <f>+_xlfn.XLOOKUP(tbl_encuesta[[#This Row],[Considero a Limtek como un buen lugar para trabajar]],#REF!,#REF!)</f>
        <v>#REF!</v>
      </c>
      <c r="Z1359" t="s">
        <v>329</v>
      </c>
      <c r="AA1359" t="s">
        <v>3356</v>
      </c>
      <c r="AB1359" t="s">
        <v>28</v>
      </c>
      <c r="AC1359" s="3" t="s">
        <v>3716</v>
      </c>
      <c r="AD1359" s="3" t="s">
        <v>3724</v>
      </c>
      <c r="AE1359" t="s">
        <v>69</v>
      </c>
    </row>
    <row r="1360" spans="1:31" x14ac:dyDescent="0.25">
      <c r="A1360">
        <v>119025686438</v>
      </c>
      <c r="B1360">
        <v>462598545</v>
      </c>
      <c r="C1360" s="1">
        <v>46014.437465277777</v>
      </c>
      <c r="D1360" s="1">
        <v>46014.441030092596</v>
      </c>
      <c r="E1360" t="s">
        <v>3357</v>
      </c>
      <c r="F1360" t="s">
        <v>23</v>
      </c>
      <c r="G1360" t="e">
        <f>+_xlfn.XLOOKUP(tbl_encuesta[[#This Row],[Me siento a gusto con el ambiente de trabajo que se genera en mi equipo.]],#REF!,#REF!)</f>
        <v>#REF!</v>
      </c>
      <c r="H1360" t="s">
        <v>23</v>
      </c>
      <c r="I1360" t="e">
        <f>+_xlfn.XLOOKUP(tbl_encuesta[[#This Row],[Me siento motivado a dar lo mejor de mí y hacer un buen trabajo]],#REF!,#REF!)</f>
        <v>#REF!</v>
      </c>
      <c r="J1360" t="s">
        <v>23</v>
      </c>
      <c r="K1360" t="e">
        <f>+_xlfn.XLOOKUP(tbl_encuesta[[#This Row],[Mi supervisor o jefe directo me otorga el soporte que necesito para afrontar cualquier problema que afecte mi trabajo]],#REF!,#REF!)</f>
        <v>#REF!</v>
      </c>
      <c r="L1360" t="s">
        <v>22</v>
      </c>
      <c r="M1360" t="e">
        <f>+_xlfn.XLOOKUP(tbl_encuesta[[#This Row],[Mi supervisor o jefe directo fomenta que nos apoyemos entre todos en el equipo]],#REF!,#REF!)</f>
        <v>#REF!</v>
      </c>
      <c r="N1360" t="s">
        <v>22</v>
      </c>
      <c r="O1360" t="e">
        <f>+_xlfn.XLOOKUP(tbl_encuesta[[#This Row],[Siento que mi trabajo es reconocido por mi supervisor o jefe directo.]],#REF!,#REF!)</f>
        <v>#REF!</v>
      </c>
      <c r="P1360" t="s">
        <v>31</v>
      </c>
      <c r="Q1360" t="e">
        <f xml:space="preserve">
_xlfn.XLOOKUP(
tbl_encuesta[[#This Row],[Mi supervisor o jefe directo nos brinda charlas de 5 minutos y comunica las novedades relevantes a mi puesto de trabajo]],#REF!,#REF!
)</f>
        <v>#REF!</v>
      </c>
      <c r="T1360" t="s">
        <v>19</v>
      </c>
      <c r="U1360" t="s">
        <v>20</v>
      </c>
      <c r="W1360" t="s">
        <v>25</v>
      </c>
      <c r="X1360" t="s">
        <v>23</v>
      </c>
      <c r="Y1360" t="e">
        <f>+_xlfn.XLOOKUP(tbl_encuesta[[#This Row],[Considero a Limtek como un buen lugar para trabajar]],#REF!,#REF!)</f>
        <v>#REF!</v>
      </c>
      <c r="Z1360" t="s">
        <v>3358</v>
      </c>
      <c r="AA1360" t="s">
        <v>3359</v>
      </c>
      <c r="AB1360" t="s">
        <v>28</v>
      </c>
      <c r="AC1360" s="3" t="s">
        <v>3752</v>
      </c>
      <c r="AD1360" s="3" t="s">
        <v>3752</v>
      </c>
      <c r="AE1360" t="s">
        <v>34</v>
      </c>
    </row>
    <row r="1361" spans="1:31" x14ac:dyDescent="0.25">
      <c r="A1361">
        <v>119025683246</v>
      </c>
      <c r="B1361">
        <v>462598545</v>
      </c>
      <c r="C1361" s="1">
        <v>46014.432326388887</v>
      </c>
      <c r="D1361" s="1">
        <v>46014.436481481483</v>
      </c>
      <c r="E1361" t="s">
        <v>3360</v>
      </c>
      <c r="F1361" t="s">
        <v>22</v>
      </c>
      <c r="G1361" t="e">
        <f>+_xlfn.XLOOKUP(tbl_encuesta[[#This Row],[Me siento a gusto con el ambiente de trabajo que se genera en mi equipo.]],#REF!,#REF!)</f>
        <v>#REF!</v>
      </c>
      <c r="H1361" t="s">
        <v>23</v>
      </c>
      <c r="I1361" t="e">
        <f>+_xlfn.XLOOKUP(tbl_encuesta[[#This Row],[Me siento motivado a dar lo mejor de mí y hacer un buen trabajo]],#REF!,#REF!)</f>
        <v>#REF!</v>
      </c>
      <c r="J1361" t="s">
        <v>22</v>
      </c>
      <c r="K1361" t="e">
        <f>+_xlfn.XLOOKUP(tbl_encuesta[[#This Row],[Mi supervisor o jefe directo me otorga el soporte que necesito para afrontar cualquier problema que afecte mi trabajo]],#REF!,#REF!)</f>
        <v>#REF!</v>
      </c>
      <c r="L1361" t="s">
        <v>23</v>
      </c>
      <c r="M1361" t="e">
        <f>+_xlfn.XLOOKUP(tbl_encuesta[[#This Row],[Mi supervisor o jefe directo fomenta que nos apoyemos entre todos en el equipo]],#REF!,#REF!)</f>
        <v>#REF!</v>
      </c>
      <c r="N1361" t="s">
        <v>22</v>
      </c>
      <c r="O1361" t="e">
        <f>+_xlfn.XLOOKUP(tbl_encuesta[[#This Row],[Siento que mi trabajo es reconocido por mi supervisor o jefe directo.]],#REF!,#REF!)</f>
        <v>#REF!</v>
      </c>
      <c r="P1361" t="s">
        <v>31</v>
      </c>
      <c r="Q1361" t="e">
        <f xml:space="preserve">
_xlfn.XLOOKUP(
tbl_encuesta[[#This Row],[Mi supervisor o jefe directo nos brinda charlas de 5 minutos y comunica las novedades relevantes a mi puesto de trabajo]],#REF!,#REF!
)</f>
        <v>#REF!</v>
      </c>
      <c r="R1361" t="s">
        <v>17</v>
      </c>
      <c r="S1361" t="s">
        <v>18</v>
      </c>
      <c r="W1361" t="s">
        <v>25</v>
      </c>
      <c r="X1361" t="s">
        <v>23</v>
      </c>
      <c r="Y1361" t="e">
        <f>+_xlfn.XLOOKUP(tbl_encuesta[[#This Row],[Considero a Limtek como un buen lugar para trabajar]],#REF!,#REF!)</f>
        <v>#REF!</v>
      </c>
      <c r="Z1361" t="s">
        <v>3361</v>
      </c>
      <c r="AA1361" t="s">
        <v>3362</v>
      </c>
      <c r="AB1361" t="s">
        <v>28</v>
      </c>
      <c r="AC1361" s="3" t="s">
        <v>3752</v>
      </c>
      <c r="AD1361" s="3" t="s">
        <v>3752</v>
      </c>
      <c r="AE1361" t="s">
        <v>69</v>
      </c>
    </row>
    <row r="1362" spans="1:31" x14ac:dyDescent="0.25">
      <c r="A1362">
        <v>119025680783</v>
      </c>
      <c r="B1362">
        <v>462598545</v>
      </c>
      <c r="C1362" s="1">
        <v>46014.429282407407</v>
      </c>
      <c r="D1362" s="1">
        <v>46014.43304398148</v>
      </c>
      <c r="E1362" t="s">
        <v>3363</v>
      </c>
      <c r="F1362" t="s">
        <v>23</v>
      </c>
      <c r="G1362" t="e">
        <f>+_xlfn.XLOOKUP(tbl_encuesta[[#This Row],[Me siento a gusto con el ambiente de trabajo que se genera en mi equipo.]],#REF!,#REF!)</f>
        <v>#REF!</v>
      </c>
      <c r="H1362" t="s">
        <v>23</v>
      </c>
      <c r="I1362" t="e">
        <f>+_xlfn.XLOOKUP(tbl_encuesta[[#This Row],[Me siento motivado a dar lo mejor de mí y hacer un buen trabajo]],#REF!,#REF!)</f>
        <v>#REF!</v>
      </c>
      <c r="J1362" t="s">
        <v>23</v>
      </c>
      <c r="K1362" t="e">
        <f>+_xlfn.XLOOKUP(tbl_encuesta[[#This Row],[Mi supervisor o jefe directo me otorga el soporte que necesito para afrontar cualquier problema que afecte mi trabajo]],#REF!,#REF!)</f>
        <v>#REF!</v>
      </c>
      <c r="L1362" t="s">
        <v>23</v>
      </c>
      <c r="M1362" t="e">
        <f>+_xlfn.XLOOKUP(tbl_encuesta[[#This Row],[Mi supervisor o jefe directo fomenta que nos apoyemos entre todos en el equipo]],#REF!,#REF!)</f>
        <v>#REF!</v>
      </c>
      <c r="N1362" t="s">
        <v>23</v>
      </c>
      <c r="O1362" t="e">
        <f>+_xlfn.XLOOKUP(tbl_encuesta[[#This Row],[Siento que mi trabajo es reconocido por mi supervisor o jefe directo.]],#REF!,#REF!)</f>
        <v>#REF!</v>
      </c>
      <c r="P1362" t="s">
        <v>31</v>
      </c>
      <c r="Q1362" t="e">
        <f xml:space="preserve">
_xlfn.XLOOKUP(
tbl_encuesta[[#This Row],[Mi supervisor o jefe directo nos brinda charlas de 5 minutos y comunica las novedades relevantes a mi puesto de trabajo]],#REF!,#REF!
)</f>
        <v>#REF!</v>
      </c>
      <c r="R1362" t="s">
        <v>17</v>
      </c>
      <c r="W1362" t="s">
        <v>25</v>
      </c>
      <c r="X1362" t="s">
        <v>23</v>
      </c>
      <c r="Y1362" t="e">
        <f>+_xlfn.XLOOKUP(tbl_encuesta[[#This Row],[Considero a Limtek como un buen lugar para trabajar]],#REF!,#REF!)</f>
        <v>#REF!</v>
      </c>
      <c r="Z1362" t="s">
        <v>3364</v>
      </c>
      <c r="AA1362" t="s">
        <v>3365</v>
      </c>
      <c r="AB1362" t="s">
        <v>28</v>
      </c>
      <c r="AC1362" t="s">
        <v>3744</v>
      </c>
      <c r="AD1362" t="s">
        <v>3744</v>
      </c>
      <c r="AE1362" t="s">
        <v>61</v>
      </c>
    </row>
    <row r="1363" spans="1:31" x14ac:dyDescent="0.25">
      <c r="A1363">
        <v>119025680423</v>
      </c>
      <c r="B1363">
        <v>462598545</v>
      </c>
      <c r="C1363" s="1">
        <v>46014.428460648145</v>
      </c>
      <c r="D1363" s="1">
        <v>46014.432534722226</v>
      </c>
      <c r="E1363" t="s">
        <v>3366</v>
      </c>
      <c r="F1363" t="s">
        <v>23</v>
      </c>
      <c r="G1363" t="e">
        <f>+_xlfn.XLOOKUP(tbl_encuesta[[#This Row],[Me siento a gusto con el ambiente de trabajo que se genera en mi equipo.]],#REF!,#REF!)</f>
        <v>#REF!</v>
      </c>
      <c r="H1363" t="s">
        <v>23</v>
      </c>
      <c r="I1363" t="e">
        <f>+_xlfn.XLOOKUP(tbl_encuesta[[#This Row],[Me siento motivado a dar lo mejor de mí y hacer un buen trabajo]],#REF!,#REF!)</f>
        <v>#REF!</v>
      </c>
      <c r="J1363" t="s">
        <v>23</v>
      </c>
      <c r="K1363" t="e">
        <f>+_xlfn.XLOOKUP(tbl_encuesta[[#This Row],[Mi supervisor o jefe directo me otorga el soporte que necesito para afrontar cualquier problema que afecte mi trabajo]],#REF!,#REF!)</f>
        <v>#REF!</v>
      </c>
      <c r="L1363" t="s">
        <v>23</v>
      </c>
      <c r="M1363" t="e">
        <f>+_xlfn.XLOOKUP(tbl_encuesta[[#This Row],[Mi supervisor o jefe directo fomenta que nos apoyemos entre todos en el equipo]],#REF!,#REF!)</f>
        <v>#REF!</v>
      </c>
      <c r="N1363" t="s">
        <v>23</v>
      </c>
      <c r="O1363" t="e">
        <f>+_xlfn.XLOOKUP(tbl_encuesta[[#This Row],[Siento que mi trabajo es reconocido por mi supervisor o jefe directo.]],#REF!,#REF!)</f>
        <v>#REF!</v>
      </c>
      <c r="P1363" t="s">
        <v>31</v>
      </c>
      <c r="Q1363" t="e">
        <f xml:space="preserve">
_xlfn.XLOOKUP(
tbl_encuesta[[#This Row],[Mi supervisor o jefe directo nos brinda charlas de 5 minutos y comunica las novedades relevantes a mi puesto de trabajo]],#REF!,#REF!
)</f>
        <v>#REF!</v>
      </c>
      <c r="U1363" t="s">
        <v>20</v>
      </c>
      <c r="W1363" t="s">
        <v>25</v>
      </c>
      <c r="X1363" t="s">
        <v>22</v>
      </c>
      <c r="Y1363" t="e">
        <f>+_xlfn.XLOOKUP(tbl_encuesta[[#This Row],[Considero a Limtek como un buen lugar para trabajar]],#REF!,#REF!)</f>
        <v>#REF!</v>
      </c>
      <c r="Z1363" t="s">
        <v>3367</v>
      </c>
      <c r="AA1363" t="s">
        <v>3368</v>
      </c>
      <c r="AB1363" t="s">
        <v>28</v>
      </c>
      <c r="AC1363" t="s">
        <v>3744</v>
      </c>
      <c r="AD1363" t="s">
        <v>3744</v>
      </c>
      <c r="AE1363" t="s">
        <v>69</v>
      </c>
    </row>
    <row r="1364" spans="1:31" x14ac:dyDescent="0.25">
      <c r="A1364">
        <v>119025680165</v>
      </c>
      <c r="B1364">
        <v>462598545</v>
      </c>
      <c r="C1364" s="1">
        <v>46014.430127314816</v>
      </c>
      <c r="D1364" s="1">
        <v>46014.432187500002</v>
      </c>
      <c r="E1364" t="s">
        <v>3369</v>
      </c>
      <c r="F1364" t="s">
        <v>23</v>
      </c>
      <c r="G1364" t="e">
        <f>+_xlfn.XLOOKUP(tbl_encuesta[[#This Row],[Me siento a gusto con el ambiente de trabajo que se genera en mi equipo.]],#REF!,#REF!)</f>
        <v>#REF!</v>
      </c>
      <c r="H1364" t="s">
        <v>23</v>
      </c>
      <c r="I1364" t="e">
        <f>+_xlfn.XLOOKUP(tbl_encuesta[[#This Row],[Me siento motivado a dar lo mejor de mí y hacer un buen trabajo]],#REF!,#REF!)</f>
        <v>#REF!</v>
      </c>
      <c r="J1364" t="s">
        <v>23</v>
      </c>
      <c r="K1364" t="e">
        <f>+_xlfn.XLOOKUP(tbl_encuesta[[#This Row],[Mi supervisor o jefe directo me otorga el soporte que necesito para afrontar cualquier problema que afecte mi trabajo]],#REF!,#REF!)</f>
        <v>#REF!</v>
      </c>
      <c r="L1364" t="s">
        <v>23</v>
      </c>
      <c r="M1364" t="e">
        <f>+_xlfn.XLOOKUP(tbl_encuesta[[#This Row],[Mi supervisor o jefe directo fomenta que nos apoyemos entre todos en el equipo]],#REF!,#REF!)</f>
        <v>#REF!</v>
      </c>
      <c r="N1364" t="s">
        <v>23</v>
      </c>
      <c r="O1364" t="e">
        <f>+_xlfn.XLOOKUP(tbl_encuesta[[#This Row],[Siento que mi trabajo es reconocido por mi supervisor o jefe directo.]],#REF!,#REF!)</f>
        <v>#REF!</v>
      </c>
      <c r="P1364" t="s">
        <v>31</v>
      </c>
      <c r="Q1364" t="e">
        <f xml:space="preserve">
_xlfn.XLOOKUP(
tbl_encuesta[[#This Row],[Mi supervisor o jefe directo nos brinda charlas de 5 minutos y comunica las novedades relevantes a mi puesto de trabajo]],#REF!,#REF!
)</f>
        <v>#REF!</v>
      </c>
      <c r="R1364" t="s">
        <v>17</v>
      </c>
      <c r="S1364" t="s">
        <v>18</v>
      </c>
      <c r="W1364" t="s">
        <v>25</v>
      </c>
      <c r="X1364" t="s">
        <v>23</v>
      </c>
      <c r="Y1364" t="e">
        <f>+_xlfn.XLOOKUP(tbl_encuesta[[#This Row],[Considero a Limtek como un buen lugar para trabajar]],#REF!,#REF!)</f>
        <v>#REF!</v>
      </c>
      <c r="Z1364" t="s">
        <v>3370</v>
      </c>
      <c r="AA1364" t="s">
        <v>3371</v>
      </c>
      <c r="AB1364" t="s">
        <v>28</v>
      </c>
      <c r="AC1364" t="s">
        <v>3744</v>
      </c>
      <c r="AD1364" t="s">
        <v>3744</v>
      </c>
      <c r="AE1364" t="s">
        <v>69</v>
      </c>
    </row>
    <row r="1365" spans="1:31" x14ac:dyDescent="0.25">
      <c r="A1365">
        <v>119025679075</v>
      </c>
      <c r="B1365">
        <v>462598545</v>
      </c>
      <c r="C1365" s="1">
        <v>46014.429120370369</v>
      </c>
      <c r="D1365" s="1">
        <v>46014.430763888886</v>
      </c>
      <c r="E1365" t="s">
        <v>2174</v>
      </c>
      <c r="F1365" t="s">
        <v>23</v>
      </c>
      <c r="G1365" t="e">
        <f>+_xlfn.XLOOKUP(tbl_encuesta[[#This Row],[Me siento a gusto con el ambiente de trabajo que se genera en mi equipo.]],#REF!,#REF!)</f>
        <v>#REF!</v>
      </c>
      <c r="H1365" t="s">
        <v>23</v>
      </c>
      <c r="I1365" t="e">
        <f>+_xlfn.XLOOKUP(tbl_encuesta[[#This Row],[Me siento motivado a dar lo mejor de mí y hacer un buen trabajo]],#REF!,#REF!)</f>
        <v>#REF!</v>
      </c>
      <c r="J1365" t="s">
        <v>23</v>
      </c>
      <c r="K1365" t="e">
        <f>+_xlfn.XLOOKUP(tbl_encuesta[[#This Row],[Mi supervisor o jefe directo me otorga el soporte que necesito para afrontar cualquier problema que afecte mi trabajo]],#REF!,#REF!)</f>
        <v>#REF!</v>
      </c>
      <c r="L1365" t="s">
        <v>23</v>
      </c>
      <c r="M1365" t="e">
        <f>+_xlfn.XLOOKUP(tbl_encuesta[[#This Row],[Mi supervisor o jefe directo fomenta que nos apoyemos entre todos en el equipo]],#REF!,#REF!)</f>
        <v>#REF!</v>
      </c>
      <c r="N1365" t="s">
        <v>23</v>
      </c>
      <c r="O1365" t="e">
        <f>+_xlfn.XLOOKUP(tbl_encuesta[[#This Row],[Siento que mi trabajo es reconocido por mi supervisor o jefe directo.]],#REF!,#REF!)</f>
        <v>#REF!</v>
      </c>
      <c r="P1365" t="s">
        <v>31</v>
      </c>
      <c r="Q1365" t="e">
        <f xml:space="preserve">
_xlfn.XLOOKUP(
tbl_encuesta[[#This Row],[Mi supervisor o jefe directo nos brinda charlas de 5 minutos y comunica las novedades relevantes a mi puesto de trabajo]],#REF!,#REF!
)</f>
        <v>#REF!</v>
      </c>
      <c r="R1365" t="s">
        <v>17</v>
      </c>
      <c r="W1365" t="s">
        <v>25</v>
      </c>
      <c r="X1365" t="s">
        <v>23</v>
      </c>
      <c r="Y1365" t="e">
        <f>+_xlfn.XLOOKUP(tbl_encuesta[[#This Row],[Considero a Limtek como un buen lugar para trabajar]],#REF!,#REF!)</f>
        <v>#REF!</v>
      </c>
      <c r="Z1365" t="s">
        <v>3372</v>
      </c>
      <c r="AA1365" t="s">
        <v>3373</v>
      </c>
      <c r="AB1365" t="s">
        <v>28</v>
      </c>
      <c r="AC1365" t="s">
        <v>3744</v>
      </c>
      <c r="AD1365" t="s">
        <v>3744</v>
      </c>
      <c r="AE1365" t="s">
        <v>61</v>
      </c>
    </row>
    <row r="1366" spans="1:31" x14ac:dyDescent="0.25">
      <c r="A1366">
        <v>119025678283</v>
      </c>
      <c r="B1366">
        <v>462598545</v>
      </c>
      <c r="C1366" s="1">
        <v>46014.427858796298</v>
      </c>
      <c r="D1366" s="1">
        <v>46014.429606481484</v>
      </c>
      <c r="E1366" t="s">
        <v>3374</v>
      </c>
      <c r="F1366" t="s">
        <v>23</v>
      </c>
      <c r="G1366" t="e">
        <f>+_xlfn.XLOOKUP(tbl_encuesta[[#This Row],[Me siento a gusto con el ambiente de trabajo que se genera en mi equipo.]],#REF!,#REF!)</f>
        <v>#REF!</v>
      </c>
      <c r="H1366" t="s">
        <v>23</v>
      </c>
      <c r="I1366" t="e">
        <f>+_xlfn.XLOOKUP(tbl_encuesta[[#This Row],[Me siento motivado a dar lo mejor de mí y hacer un buen trabajo]],#REF!,#REF!)</f>
        <v>#REF!</v>
      </c>
      <c r="J1366" t="s">
        <v>23</v>
      </c>
      <c r="K1366" t="e">
        <f>+_xlfn.XLOOKUP(tbl_encuesta[[#This Row],[Mi supervisor o jefe directo me otorga el soporte que necesito para afrontar cualquier problema que afecte mi trabajo]],#REF!,#REF!)</f>
        <v>#REF!</v>
      </c>
      <c r="L1366" t="s">
        <v>23</v>
      </c>
      <c r="M1366" t="e">
        <f>+_xlfn.XLOOKUP(tbl_encuesta[[#This Row],[Mi supervisor o jefe directo fomenta que nos apoyemos entre todos en el equipo]],#REF!,#REF!)</f>
        <v>#REF!</v>
      </c>
      <c r="N1366" t="s">
        <v>23</v>
      </c>
      <c r="O1366" t="e">
        <f>+_xlfn.XLOOKUP(tbl_encuesta[[#This Row],[Siento que mi trabajo es reconocido por mi supervisor o jefe directo.]],#REF!,#REF!)</f>
        <v>#REF!</v>
      </c>
      <c r="P1366" t="s">
        <v>31</v>
      </c>
      <c r="Q1366" t="e">
        <f xml:space="preserve">
_xlfn.XLOOKUP(
tbl_encuesta[[#This Row],[Mi supervisor o jefe directo nos brinda charlas de 5 minutos y comunica las novedades relevantes a mi puesto de trabajo]],#REF!,#REF!
)</f>
        <v>#REF!</v>
      </c>
      <c r="U1366" t="s">
        <v>20</v>
      </c>
      <c r="W1366" t="s">
        <v>25</v>
      </c>
      <c r="X1366" t="s">
        <v>23</v>
      </c>
      <c r="Y1366" t="e">
        <f>+_xlfn.XLOOKUP(tbl_encuesta[[#This Row],[Considero a Limtek como un buen lugar para trabajar]],#REF!,#REF!)</f>
        <v>#REF!</v>
      </c>
      <c r="Z1366" t="s">
        <v>1405</v>
      </c>
      <c r="AA1366" t="s">
        <v>37</v>
      </c>
      <c r="AB1366" t="s">
        <v>28</v>
      </c>
      <c r="AC1366" s="3" t="s">
        <v>3768</v>
      </c>
      <c r="AD1366" s="3" t="s">
        <v>3768</v>
      </c>
      <c r="AE1366" t="s">
        <v>34</v>
      </c>
    </row>
    <row r="1367" spans="1:31" x14ac:dyDescent="0.25">
      <c r="A1367">
        <v>119025671843</v>
      </c>
      <c r="B1367">
        <v>462598545</v>
      </c>
      <c r="C1367" s="1">
        <v>46014.412002314813</v>
      </c>
      <c r="D1367" s="1">
        <v>46014.420740740738</v>
      </c>
      <c r="E1367" t="s">
        <v>3190</v>
      </c>
      <c r="F1367" t="s">
        <v>23</v>
      </c>
      <c r="G1367" t="e">
        <f>+_xlfn.XLOOKUP(tbl_encuesta[[#This Row],[Me siento a gusto con el ambiente de trabajo que se genera en mi equipo.]],#REF!,#REF!)</f>
        <v>#REF!</v>
      </c>
      <c r="H1367" t="s">
        <v>23</v>
      </c>
      <c r="I1367" t="e">
        <f>+_xlfn.XLOOKUP(tbl_encuesta[[#This Row],[Me siento motivado a dar lo mejor de mí y hacer un buen trabajo]],#REF!,#REF!)</f>
        <v>#REF!</v>
      </c>
      <c r="J1367" t="s">
        <v>22</v>
      </c>
      <c r="K1367" t="e">
        <f>+_xlfn.XLOOKUP(tbl_encuesta[[#This Row],[Mi supervisor o jefe directo me otorga el soporte que necesito para afrontar cualquier problema que afecte mi trabajo]],#REF!,#REF!)</f>
        <v>#REF!</v>
      </c>
      <c r="L1367" t="s">
        <v>22</v>
      </c>
      <c r="M1367" t="e">
        <f>+_xlfn.XLOOKUP(tbl_encuesta[[#This Row],[Mi supervisor o jefe directo fomenta que nos apoyemos entre todos en el equipo]],#REF!,#REF!)</f>
        <v>#REF!</v>
      </c>
      <c r="N1367" t="s">
        <v>22</v>
      </c>
      <c r="O1367" t="e">
        <f>+_xlfn.XLOOKUP(tbl_encuesta[[#This Row],[Siento que mi trabajo es reconocido por mi supervisor o jefe directo.]],#REF!,#REF!)</f>
        <v>#REF!</v>
      </c>
      <c r="P1367" t="s">
        <v>31</v>
      </c>
      <c r="Q1367" t="e">
        <f xml:space="preserve">
_xlfn.XLOOKUP(
tbl_encuesta[[#This Row],[Mi supervisor o jefe directo nos brinda charlas de 5 minutos y comunica las novedades relevantes a mi puesto de trabajo]],#REF!,#REF!
)</f>
        <v>#REF!</v>
      </c>
      <c r="R1367" t="s">
        <v>17</v>
      </c>
      <c r="T1367" t="s">
        <v>19</v>
      </c>
      <c r="W1367" t="s">
        <v>25</v>
      </c>
      <c r="X1367" t="s">
        <v>22</v>
      </c>
      <c r="Y1367" t="e">
        <f>+_xlfn.XLOOKUP(tbl_encuesta[[#This Row],[Considero a Limtek como un buen lugar para trabajar]],#REF!,#REF!)</f>
        <v>#REF!</v>
      </c>
      <c r="Z1367" t="s">
        <v>3375</v>
      </c>
      <c r="AA1367" t="s">
        <v>3376</v>
      </c>
      <c r="AB1367" t="s">
        <v>28</v>
      </c>
      <c r="AC1367" s="3" t="s">
        <v>3729</v>
      </c>
      <c r="AD1367" s="3" t="s">
        <v>3729</v>
      </c>
      <c r="AE1367" t="s">
        <v>34</v>
      </c>
    </row>
    <row r="1368" spans="1:31" x14ac:dyDescent="0.25">
      <c r="A1368">
        <v>119025671067</v>
      </c>
      <c r="B1368">
        <v>462598545</v>
      </c>
      <c r="C1368" s="1">
        <v>46014.411736111113</v>
      </c>
      <c r="D1368" s="1">
        <v>46014.419664351852</v>
      </c>
      <c r="E1368" t="s">
        <v>3377</v>
      </c>
      <c r="F1368" t="s">
        <v>22</v>
      </c>
      <c r="G1368" t="e">
        <f>+_xlfn.XLOOKUP(tbl_encuesta[[#This Row],[Me siento a gusto con el ambiente de trabajo que se genera en mi equipo.]],#REF!,#REF!)</f>
        <v>#REF!</v>
      </c>
      <c r="H1368" t="s">
        <v>23</v>
      </c>
      <c r="I1368" t="e">
        <f>+_xlfn.XLOOKUP(tbl_encuesta[[#This Row],[Me siento motivado a dar lo mejor de mí y hacer un buen trabajo]],#REF!,#REF!)</f>
        <v>#REF!</v>
      </c>
      <c r="J1368" t="s">
        <v>22</v>
      </c>
      <c r="K1368" t="e">
        <f>+_xlfn.XLOOKUP(tbl_encuesta[[#This Row],[Mi supervisor o jefe directo me otorga el soporte que necesito para afrontar cualquier problema que afecte mi trabajo]],#REF!,#REF!)</f>
        <v>#REF!</v>
      </c>
      <c r="L1368" t="s">
        <v>22</v>
      </c>
      <c r="M1368" t="e">
        <f>+_xlfn.XLOOKUP(tbl_encuesta[[#This Row],[Mi supervisor o jefe directo fomenta que nos apoyemos entre todos en el equipo]],#REF!,#REF!)</f>
        <v>#REF!</v>
      </c>
      <c r="N1368" t="s">
        <v>22</v>
      </c>
      <c r="O1368" t="e">
        <f>+_xlfn.XLOOKUP(tbl_encuesta[[#This Row],[Siento que mi trabajo es reconocido por mi supervisor o jefe directo.]],#REF!,#REF!)</f>
        <v>#REF!</v>
      </c>
      <c r="P1368" t="s">
        <v>31</v>
      </c>
      <c r="Q1368" t="e">
        <f xml:space="preserve">
_xlfn.XLOOKUP(
tbl_encuesta[[#This Row],[Mi supervisor o jefe directo nos brinda charlas de 5 minutos y comunica las novedades relevantes a mi puesto de trabajo]],#REF!,#REF!
)</f>
        <v>#REF!</v>
      </c>
      <c r="R1368" t="s">
        <v>17</v>
      </c>
      <c r="V1368" t="s">
        <v>3378</v>
      </c>
      <c r="W1368" t="s">
        <v>25</v>
      </c>
      <c r="X1368" t="s">
        <v>23</v>
      </c>
      <c r="Y1368" t="e">
        <f>+_xlfn.XLOOKUP(tbl_encuesta[[#This Row],[Considero a Limtek como un buen lugar para trabajar]],#REF!,#REF!)</f>
        <v>#REF!</v>
      </c>
      <c r="Z1368" t="s">
        <v>3379</v>
      </c>
      <c r="AA1368" t="s">
        <v>3380</v>
      </c>
      <c r="AB1368" t="s">
        <v>28</v>
      </c>
      <c r="AC1368" s="3" t="s">
        <v>3729</v>
      </c>
      <c r="AD1368" s="3" t="s">
        <v>3730</v>
      </c>
      <c r="AE1368" t="s">
        <v>61</v>
      </c>
    </row>
    <row r="1369" spans="1:31" x14ac:dyDescent="0.25">
      <c r="A1369">
        <v>119025664920</v>
      </c>
      <c r="B1369">
        <v>462598545</v>
      </c>
      <c r="C1369" s="1">
        <v>46014.407546296294</v>
      </c>
      <c r="D1369" s="1">
        <v>46014.41064814815</v>
      </c>
      <c r="E1369" t="s">
        <v>3381</v>
      </c>
      <c r="F1369" t="s">
        <v>23</v>
      </c>
      <c r="G1369" t="e">
        <f>+_xlfn.XLOOKUP(tbl_encuesta[[#This Row],[Me siento a gusto con el ambiente de trabajo que se genera en mi equipo.]],#REF!,#REF!)</f>
        <v>#REF!</v>
      </c>
      <c r="H1369" t="s">
        <v>23</v>
      </c>
      <c r="I1369" t="e">
        <f>+_xlfn.XLOOKUP(tbl_encuesta[[#This Row],[Me siento motivado a dar lo mejor de mí y hacer un buen trabajo]],#REF!,#REF!)</f>
        <v>#REF!</v>
      </c>
      <c r="J1369" t="s">
        <v>23</v>
      </c>
      <c r="K1369" t="e">
        <f>+_xlfn.XLOOKUP(tbl_encuesta[[#This Row],[Mi supervisor o jefe directo me otorga el soporte que necesito para afrontar cualquier problema que afecte mi trabajo]],#REF!,#REF!)</f>
        <v>#REF!</v>
      </c>
      <c r="L1369" t="s">
        <v>23</v>
      </c>
      <c r="M1369" t="e">
        <f>+_xlfn.XLOOKUP(tbl_encuesta[[#This Row],[Mi supervisor o jefe directo fomenta que nos apoyemos entre todos en el equipo]],#REF!,#REF!)</f>
        <v>#REF!</v>
      </c>
      <c r="N1369" t="s">
        <v>23</v>
      </c>
      <c r="O1369" t="e">
        <f>+_xlfn.XLOOKUP(tbl_encuesta[[#This Row],[Siento que mi trabajo es reconocido por mi supervisor o jefe directo.]],#REF!,#REF!)</f>
        <v>#REF!</v>
      </c>
      <c r="P1369" t="s">
        <v>31</v>
      </c>
      <c r="Q1369" t="e">
        <f xml:space="preserve">
_xlfn.XLOOKUP(
tbl_encuesta[[#This Row],[Mi supervisor o jefe directo nos brinda charlas de 5 minutos y comunica las novedades relevantes a mi puesto de trabajo]],#REF!,#REF!
)</f>
        <v>#REF!</v>
      </c>
      <c r="R1369" t="s">
        <v>17</v>
      </c>
      <c r="U1369" t="s">
        <v>20</v>
      </c>
      <c r="W1369" t="s">
        <v>25</v>
      </c>
      <c r="X1369" t="s">
        <v>23</v>
      </c>
      <c r="Y1369" t="e">
        <f>+_xlfn.XLOOKUP(tbl_encuesta[[#This Row],[Considero a Limtek como un buen lugar para trabajar]],#REF!,#REF!)</f>
        <v>#REF!</v>
      </c>
      <c r="Z1369" t="s">
        <v>3382</v>
      </c>
      <c r="AA1369" t="s">
        <v>527</v>
      </c>
      <c r="AB1369" t="s">
        <v>28</v>
      </c>
      <c r="AC1369" s="3" t="s">
        <v>3729</v>
      </c>
      <c r="AD1369" s="3" t="s">
        <v>3731</v>
      </c>
      <c r="AE1369" t="s">
        <v>34</v>
      </c>
    </row>
    <row r="1370" spans="1:31" x14ac:dyDescent="0.25">
      <c r="A1370">
        <v>119025662628</v>
      </c>
      <c r="B1370">
        <v>462598545</v>
      </c>
      <c r="C1370" s="1">
        <v>46014.406770833331</v>
      </c>
      <c r="D1370" s="1">
        <v>46014.407256944447</v>
      </c>
      <c r="E1370" t="s">
        <v>3210</v>
      </c>
      <c r="F1370" t="s">
        <v>23</v>
      </c>
      <c r="G1370" t="e">
        <f>+_xlfn.XLOOKUP(tbl_encuesta[[#This Row],[Me siento a gusto con el ambiente de trabajo que se genera en mi equipo.]],#REF!,#REF!)</f>
        <v>#REF!</v>
      </c>
      <c r="H1370" t="s">
        <v>23</v>
      </c>
      <c r="I1370" t="e">
        <f>+_xlfn.XLOOKUP(tbl_encuesta[[#This Row],[Me siento motivado a dar lo mejor de mí y hacer un buen trabajo]],#REF!,#REF!)</f>
        <v>#REF!</v>
      </c>
      <c r="J1370" t="s">
        <v>23</v>
      </c>
      <c r="K1370" t="e">
        <f>+_xlfn.XLOOKUP(tbl_encuesta[[#This Row],[Mi supervisor o jefe directo me otorga el soporte que necesito para afrontar cualquier problema que afecte mi trabajo]],#REF!,#REF!)</f>
        <v>#REF!</v>
      </c>
      <c r="L1370" t="s">
        <v>23</v>
      </c>
      <c r="M1370" t="e">
        <f>+_xlfn.XLOOKUP(tbl_encuesta[[#This Row],[Mi supervisor o jefe directo fomenta que nos apoyemos entre todos en el equipo]],#REF!,#REF!)</f>
        <v>#REF!</v>
      </c>
      <c r="N1370" t="s">
        <v>23</v>
      </c>
      <c r="O1370" t="e">
        <f>+_xlfn.XLOOKUP(tbl_encuesta[[#This Row],[Siento que mi trabajo es reconocido por mi supervisor o jefe directo.]],#REF!,#REF!)</f>
        <v>#REF!</v>
      </c>
      <c r="P1370" t="s">
        <v>31</v>
      </c>
      <c r="Q1370" t="e">
        <f xml:space="preserve">
_xlfn.XLOOKUP(
tbl_encuesta[[#This Row],[Mi supervisor o jefe directo nos brinda charlas de 5 minutos y comunica las novedades relevantes a mi puesto de trabajo]],#REF!,#REF!
)</f>
        <v>#REF!</v>
      </c>
      <c r="R1370" t="s">
        <v>17</v>
      </c>
      <c r="W1370" t="s">
        <v>25</v>
      </c>
      <c r="X1370" t="s">
        <v>23</v>
      </c>
      <c r="Y1370" t="e">
        <f>+_xlfn.XLOOKUP(tbl_encuesta[[#This Row],[Considero a Limtek como un buen lugar para trabajar]],#REF!,#REF!)</f>
        <v>#REF!</v>
      </c>
      <c r="Z1370" t="s">
        <v>1211</v>
      </c>
      <c r="AA1370" t="s">
        <v>122</v>
      </c>
      <c r="AB1370" t="s">
        <v>28</v>
      </c>
      <c r="AC1370" s="3" t="s">
        <v>3729</v>
      </c>
      <c r="AD1370" s="3" t="s">
        <v>3731</v>
      </c>
      <c r="AE1370" t="s">
        <v>29</v>
      </c>
    </row>
    <row r="1371" spans="1:31" x14ac:dyDescent="0.25">
      <c r="A1371">
        <v>119025662032</v>
      </c>
      <c r="B1371">
        <v>462598545</v>
      </c>
      <c r="C1371" s="1">
        <v>46014.405335648145</v>
      </c>
      <c r="D1371" s="1">
        <v>46014.406365740739</v>
      </c>
      <c r="E1371" t="s">
        <v>3210</v>
      </c>
      <c r="F1371" t="s">
        <v>23</v>
      </c>
      <c r="G1371" t="e">
        <f>+_xlfn.XLOOKUP(tbl_encuesta[[#This Row],[Me siento a gusto con el ambiente de trabajo que se genera en mi equipo.]],#REF!,#REF!)</f>
        <v>#REF!</v>
      </c>
      <c r="H1371" t="s">
        <v>23</v>
      </c>
      <c r="I1371" t="e">
        <f>+_xlfn.XLOOKUP(tbl_encuesta[[#This Row],[Me siento motivado a dar lo mejor de mí y hacer un buen trabajo]],#REF!,#REF!)</f>
        <v>#REF!</v>
      </c>
      <c r="J1371" t="s">
        <v>23</v>
      </c>
      <c r="K1371" t="e">
        <f>+_xlfn.XLOOKUP(tbl_encuesta[[#This Row],[Mi supervisor o jefe directo me otorga el soporte que necesito para afrontar cualquier problema que afecte mi trabajo]],#REF!,#REF!)</f>
        <v>#REF!</v>
      </c>
      <c r="L1371" t="s">
        <v>23</v>
      </c>
      <c r="M1371" t="e">
        <f>+_xlfn.XLOOKUP(tbl_encuesta[[#This Row],[Mi supervisor o jefe directo fomenta que nos apoyemos entre todos en el equipo]],#REF!,#REF!)</f>
        <v>#REF!</v>
      </c>
      <c r="N1371" t="s">
        <v>23</v>
      </c>
      <c r="O1371" t="e">
        <f>+_xlfn.XLOOKUP(tbl_encuesta[[#This Row],[Siento que mi trabajo es reconocido por mi supervisor o jefe directo.]],#REF!,#REF!)</f>
        <v>#REF!</v>
      </c>
      <c r="P1371" t="s">
        <v>31</v>
      </c>
      <c r="Q1371" t="e">
        <f xml:space="preserve">
_xlfn.XLOOKUP(
tbl_encuesta[[#This Row],[Mi supervisor o jefe directo nos brinda charlas de 5 minutos y comunica las novedades relevantes a mi puesto de trabajo]],#REF!,#REF!
)</f>
        <v>#REF!</v>
      </c>
      <c r="R1371" t="s">
        <v>17</v>
      </c>
      <c r="W1371" t="s">
        <v>46</v>
      </c>
      <c r="X1371" t="s">
        <v>23</v>
      </c>
      <c r="Y1371" t="e">
        <f>+_xlfn.XLOOKUP(tbl_encuesta[[#This Row],[Considero a Limtek como un buen lugar para trabajar]],#REF!,#REF!)</f>
        <v>#REF!</v>
      </c>
      <c r="Z1371" t="s">
        <v>1211</v>
      </c>
      <c r="AA1371" t="s">
        <v>122</v>
      </c>
      <c r="AB1371" t="s">
        <v>28</v>
      </c>
      <c r="AC1371" s="3" t="s">
        <v>3729</v>
      </c>
      <c r="AD1371" s="3" t="s">
        <v>3731</v>
      </c>
      <c r="AE1371" t="s">
        <v>29</v>
      </c>
    </row>
    <row r="1372" spans="1:31" x14ac:dyDescent="0.25">
      <c r="A1372">
        <v>119025661700</v>
      </c>
      <c r="B1372">
        <v>462598545</v>
      </c>
      <c r="C1372" s="1">
        <v>46014.397118055553</v>
      </c>
      <c r="D1372" s="1">
        <v>46014.405844907407</v>
      </c>
      <c r="E1372" t="s">
        <v>3383</v>
      </c>
      <c r="F1372" t="s">
        <v>23</v>
      </c>
      <c r="G1372" t="e">
        <f>+_xlfn.XLOOKUP(tbl_encuesta[[#This Row],[Me siento a gusto con el ambiente de trabajo que se genera en mi equipo.]],#REF!,#REF!)</f>
        <v>#REF!</v>
      </c>
      <c r="H1372" t="s">
        <v>23</v>
      </c>
      <c r="I1372" t="e">
        <f>+_xlfn.XLOOKUP(tbl_encuesta[[#This Row],[Me siento motivado a dar lo mejor de mí y hacer un buen trabajo]],#REF!,#REF!)</f>
        <v>#REF!</v>
      </c>
      <c r="J1372" t="s">
        <v>23</v>
      </c>
      <c r="K1372" t="e">
        <f>+_xlfn.XLOOKUP(tbl_encuesta[[#This Row],[Mi supervisor o jefe directo me otorga el soporte que necesito para afrontar cualquier problema que afecte mi trabajo]],#REF!,#REF!)</f>
        <v>#REF!</v>
      </c>
      <c r="L1372" t="s">
        <v>23</v>
      </c>
      <c r="M1372" t="e">
        <f>+_xlfn.XLOOKUP(tbl_encuesta[[#This Row],[Mi supervisor o jefe directo fomenta que nos apoyemos entre todos en el equipo]],#REF!,#REF!)</f>
        <v>#REF!</v>
      </c>
      <c r="N1372" t="s">
        <v>23</v>
      </c>
      <c r="O1372" t="e">
        <f>+_xlfn.XLOOKUP(tbl_encuesta[[#This Row],[Siento que mi trabajo es reconocido por mi supervisor o jefe directo.]],#REF!,#REF!)</f>
        <v>#REF!</v>
      </c>
      <c r="P1372" t="s">
        <v>31</v>
      </c>
      <c r="Q1372" t="e">
        <f xml:space="preserve">
_xlfn.XLOOKUP(
tbl_encuesta[[#This Row],[Mi supervisor o jefe directo nos brinda charlas de 5 minutos y comunica las novedades relevantes a mi puesto de trabajo]],#REF!,#REF!
)</f>
        <v>#REF!</v>
      </c>
      <c r="R1372" t="s">
        <v>17</v>
      </c>
      <c r="W1372" t="s">
        <v>25</v>
      </c>
      <c r="X1372" t="s">
        <v>23</v>
      </c>
      <c r="Y1372" t="e">
        <f>+_xlfn.XLOOKUP(tbl_encuesta[[#This Row],[Considero a Limtek como un buen lugar para trabajar]],#REF!,#REF!)</f>
        <v>#REF!</v>
      </c>
      <c r="Z1372" t="s">
        <v>3384</v>
      </c>
      <c r="AA1372" t="s">
        <v>3385</v>
      </c>
      <c r="AB1372" t="s">
        <v>28</v>
      </c>
      <c r="AC1372" s="3" t="s">
        <v>3729</v>
      </c>
      <c r="AD1372" s="3" t="s">
        <v>3729</v>
      </c>
      <c r="AE1372" t="s">
        <v>61</v>
      </c>
    </row>
    <row r="1373" spans="1:31" x14ac:dyDescent="0.25">
      <c r="A1373">
        <v>119025655512</v>
      </c>
      <c r="B1373">
        <v>462598545</v>
      </c>
      <c r="C1373" s="1">
        <v>46014.393819444442</v>
      </c>
      <c r="D1373" s="1">
        <v>46014.396608796298</v>
      </c>
      <c r="E1373" t="s">
        <v>3386</v>
      </c>
      <c r="F1373" t="s">
        <v>23</v>
      </c>
      <c r="G1373" t="e">
        <f>+_xlfn.XLOOKUP(tbl_encuesta[[#This Row],[Me siento a gusto con el ambiente de trabajo que se genera en mi equipo.]],#REF!,#REF!)</f>
        <v>#REF!</v>
      </c>
      <c r="H1373" t="s">
        <v>23</v>
      </c>
      <c r="I1373" t="e">
        <f>+_xlfn.XLOOKUP(tbl_encuesta[[#This Row],[Me siento motivado a dar lo mejor de mí y hacer un buen trabajo]],#REF!,#REF!)</f>
        <v>#REF!</v>
      </c>
      <c r="J1373" t="s">
        <v>23</v>
      </c>
      <c r="K1373" t="e">
        <f>+_xlfn.XLOOKUP(tbl_encuesta[[#This Row],[Mi supervisor o jefe directo me otorga el soporte que necesito para afrontar cualquier problema que afecte mi trabajo]],#REF!,#REF!)</f>
        <v>#REF!</v>
      </c>
      <c r="L1373" t="s">
        <v>23</v>
      </c>
      <c r="M1373" t="e">
        <f>+_xlfn.XLOOKUP(tbl_encuesta[[#This Row],[Mi supervisor o jefe directo fomenta que nos apoyemos entre todos en el equipo]],#REF!,#REF!)</f>
        <v>#REF!</v>
      </c>
      <c r="N1373" t="s">
        <v>23</v>
      </c>
      <c r="O1373" t="e">
        <f>+_xlfn.XLOOKUP(tbl_encuesta[[#This Row],[Siento que mi trabajo es reconocido por mi supervisor o jefe directo.]],#REF!,#REF!)</f>
        <v>#REF!</v>
      </c>
      <c r="P1373" t="s">
        <v>31</v>
      </c>
      <c r="Q1373" t="e">
        <f xml:space="preserve">
_xlfn.XLOOKUP(
tbl_encuesta[[#This Row],[Mi supervisor o jefe directo nos brinda charlas de 5 minutos y comunica las novedades relevantes a mi puesto de trabajo]],#REF!,#REF!
)</f>
        <v>#REF!</v>
      </c>
      <c r="R1373" t="s">
        <v>17</v>
      </c>
      <c r="W1373" t="s">
        <v>25</v>
      </c>
      <c r="X1373" t="s">
        <v>23</v>
      </c>
      <c r="Y1373" t="e">
        <f>+_xlfn.XLOOKUP(tbl_encuesta[[#This Row],[Considero a Limtek como un buen lugar para trabajar]],#REF!,#REF!)</f>
        <v>#REF!</v>
      </c>
      <c r="Z1373" t="s">
        <v>3387</v>
      </c>
      <c r="AA1373" t="s">
        <v>3388</v>
      </c>
      <c r="AB1373" t="s">
        <v>28</v>
      </c>
      <c r="AC1373" t="s">
        <v>3729</v>
      </c>
      <c r="AD1373" t="s">
        <v>3729</v>
      </c>
      <c r="AE1373" t="s">
        <v>34</v>
      </c>
    </row>
    <row r="1374" spans="1:31" x14ac:dyDescent="0.25">
      <c r="A1374">
        <v>119025647842</v>
      </c>
      <c r="B1374">
        <v>462598545</v>
      </c>
      <c r="C1374" s="1">
        <v>46014.383518518516</v>
      </c>
      <c r="D1374" s="1">
        <v>46014.385555555556</v>
      </c>
      <c r="E1374" t="s">
        <v>1842</v>
      </c>
      <c r="F1374" t="s">
        <v>43</v>
      </c>
      <c r="G1374" t="e">
        <f>+_xlfn.XLOOKUP(tbl_encuesta[[#This Row],[Me siento a gusto con el ambiente de trabajo que se genera en mi equipo.]],#REF!,#REF!)</f>
        <v>#REF!</v>
      </c>
      <c r="H1374" t="s">
        <v>23</v>
      </c>
      <c r="I1374" t="e">
        <f>+_xlfn.XLOOKUP(tbl_encuesta[[#This Row],[Me siento motivado a dar lo mejor de mí y hacer un buen trabajo]],#REF!,#REF!)</f>
        <v>#REF!</v>
      </c>
      <c r="J1374" t="s">
        <v>22</v>
      </c>
      <c r="K1374" t="e">
        <f>+_xlfn.XLOOKUP(tbl_encuesta[[#This Row],[Mi supervisor o jefe directo me otorga el soporte que necesito para afrontar cualquier problema que afecte mi trabajo]],#REF!,#REF!)</f>
        <v>#REF!</v>
      </c>
      <c r="L1374" t="s">
        <v>23</v>
      </c>
      <c r="M1374" t="e">
        <f>+_xlfn.XLOOKUP(tbl_encuesta[[#This Row],[Mi supervisor o jefe directo fomenta que nos apoyemos entre todos en el equipo]],#REF!,#REF!)</f>
        <v>#REF!</v>
      </c>
      <c r="N1374" t="s">
        <v>23</v>
      </c>
      <c r="O1374" t="e">
        <f>+_xlfn.XLOOKUP(tbl_encuesta[[#This Row],[Siento que mi trabajo es reconocido por mi supervisor o jefe directo.]],#REF!,#REF!)</f>
        <v>#REF!</v>
      </c>
      <c r="P1374" t="s">
        <v>31</v>
      </c>
      <c r="Q1374" t="e">
        <f xml:space="preserve">
_xlfn.XLOOKUP(
tbl_encuesta[[#This Row],[Mi supervisor o jefe directo nos brinda charlas de 5 minutos y comunica las novedades relevantes a mi puesto de trabajo]],#REF!,#REF!
)</f>
        <v>#REF!</v>
      </c>
      <c r="U1374" t="s">
        <v>20</v>
      </c>
      <c r="W1374" t="s">
        <v>25</v>
      </c>
      <c r="X1374" t="s">
        <v>23</v>
      </c>
      <c r="Y1374" t="e">
        <f>+_xlfn.XLOOKUP(tbl_encuesta[[#This Row],[Considero a Limtek como un buen lugar para trabajar]],#REF!,#REF!)</f>
        <v>#REF!</v>
      </c>
      <c r="Z1374" t="s">
        <v>3389</v>
      </c>
      <c r="AA1374" t="s">
        <v>3390</v>
      </c>
      <c r="AB1374" t="s">
        <v>28</v>
      </c>
      <c r="AC1374" s="3" t="s">
        <v>3716</v>
      </c>
      <c r="AD1374" s="3" t="s">
        <v>3724</v>
      </c>
      <c r="AE1374" t="s">
        <v>29</v>
      </c>
    </row>
    <row r="1375" spans="1:31" x14ac:dyDescent="0.25">
      <c r="A1375">
        <v>119025646699</v>
      </c>
      <c r="B1375">
        <v>462598545</v>
      </c>
      <c r="C1375" s="1">
        <v>46014.38045138889</v>
      </c>
      <c r="D1375" s="1">
        <v>46014.38386574074</v>
      </c>
      <c r="E1375" t="s">
        <v>3391</v>
      </c>
      <c r="F1375" t="s">
        <v>23</v>
      </c>
      <c r="G1375" t="e">
        <f>+_xlfn.XLOOKUP(tbl_encuesta[[#This Row],[Me siento a gusto con el ambiente de trabajo que se genera en mi equipo.]],#REF!,#REF!)</f>
        <v>#REF!</v>
      </c>
      <c r="H1375" t="s">
        <v>23</v>
      </c>
      <c r="I1375" t="e">
        <f>+_xlfn.XLOOKUP(tbl_encuesta[[#This Row],[Me siento motivado a dar lo mejor de mí y hacer un buen trabajo]],#REF!,#REF!)</f>
        <v>#REF!</v>
      </c>
      <c r="J1375" t="s">
        <v>23</v>
      </c>
      <c r="K1375" t="e">
        <f>+_xlfn.XLOOKUP(tbl_encuesta[[#This Row],[Mi supervisor o jefe directo me otorga el soporte que necesito para afrontar cualquier problema que afecte mi trabajo]],#REF!,#REF!)</f>
        <v>#REF!</v>
      </c>
      <c r="L1375" t="s">
        <v>23</v>
      </c>
      <c r="M1375" t="e">
        <f>+_xlfn.XLOOKUP(tbl_encuesta[[#This Row],[Mi supervisor o jefe directo fomenta que nos apoyemos entre todos en el equipo]],#REF!,#REF!)</f>
        <v>#REF!</v>
      </c>
      <c r="N1375" t="s">
        <v>23</v>
      </c>
      <c r="O1375" t="e">
        <f>+_xlfn.XLOOKUP(tbl_encuesta[[#This Row],[Siento que mi trabajo es reconocido por mi supervisor o jefe directo.]],#REF!,#REF!)</f>
        <v>#REF!</v>
      </c>
      <c r="P1375" t="s">
        <v>31</v>
      </c>
      <c r="Q1375" t="e">
        <f xml:space="preserve">
_xlfn.XLOOKUP(
tbl_encuesta[[#This Row],[Mi supervisor o jefe directo nos brinda charlas de 5 minutos y comunica las novedades relevantes a mi puesto de trabajo]],#REF!,#REF!
)</f>
        <v>#REF!</v>
      </c>
      <c r="R1375" t="s">
        <v>17</v>
      </c>
      <c r="S1375" t="s">
        <v>18</v>
      </c>
      <c r="W1375" t="s">
        <v>25</v>
      </c>
      <c r="X1375" t="s">
        <v>23</v>
      </c>
      <c r="Y1375" t="e">
        <f>+_xlfn.XLOOKUP(tbl_encuesta[[#This Row],[Considero a Limtek como un buen lugar para trabajar]],#REF!,#REF!)</f>
        <v>#REF!</v>
      </c>
      <c r="Z1375" t="s">
        <v>3392</v>
      </c>
      <c r="AA1375" t="s">
        <v>3393</v>
      </c>
      <c r="AB1375" t="s">
        <v>28</v>
      </c>
      <c r="AC1375" s="3" t="s">
        <v>3729</v>
      </c>
      <c r="AD1375" s="3" t="s">
        <v>3732</v>
      </c>
      <c r="AE1375" t="s">
        <v>29</v>
      </c>
    </row>
    <row r="1376" spans="1:31" x14ac:dyDescent="0.25">
      <c r="A1376">
        <v>119025645761</v>
      </c>
      <c r="B1376">
        <v>462598545</v>
      </c>
      <c r="C1376" s="1">
        <v>46014.366990740738</v>
      </c>
      <c r="D1376" s="1">
        <v>46014.382488425923</v>
      </c>
      <c r="E1376" t="s">
        <v>1874</v>
      </c>
      <c r="F1376" t="s">
        <v>23</v>
      </c>
      <c r="G1376" t="e">
        <f>+_xlfn.XLOOKUP(tbl_encuesta[[#This Row],[Me siento a gusto con el ambiente de trabajo que se genera en mi equipo.]],#REF!,#REF!)</f>
        <v>#REF!</v>
      </c>
      <c r="H1376" t="s">
        <v>23</v>
      </c>
      <c r="I1376" t="e">
        <f>+_xlfn.XLOOKUP(tbl_encuesta[[#This Row],[Me siento motivado a dar lo mejor de mí y hacer un buen trabajo]],#REF!,#REF!)</f>
        <v>#REF!</v>
      </c>
      <c r="J1376" t="s">
        <v>23</v>
      </c>
      <c r="K1376" t="e">
        <f>+_xlfn.XLOOKUP(tbl_encuesta[[#This Row],[Mi supervisor o jefe directo me otorga el soporte que necesito para afrontar cualquier problema que afecte mi trabajo]],#REF!,#REF!)</f>
        <v>#REF!</v>
      </c>
      <c r="L1376" t="s">
        <v>23</v>
      </c>
      <c r="M1376" t="e">
        <f>+_xlfn.XLOOKUP(tbl_encuesta[[#This Row],[Mi supervisor o jefe directo fomenta que nos apoyemos entre todos en el equipo]],#REF!,#REF!)</f>
        <v>#REF!</v>
      </c>
      <c r="N1376" t="s">
        <v>23</v>
      </c>
      <c r="O1376" t="e">
        <f>+_xlfn.XLOOKUP(tbl_encuesta[[#This Row],[Siento que mi trabajo es reconocido por mi supervisor o jefe directo.]],#REF!,#REF!)</f>
        <v>#REF!</v>
      </c>
      <c r="P1376" t="s">
        <v>31</v>
      </c>
      <c r="Q1376" t="e">
        <f xml:space="preserve">
_xlfn.XLOOKUP(
tbl_encuesta[[#This Row],[Mi supervisor o jefe directo nos brinda charlas de 5 minutos y comunica las novedades relevantes a mi puesto de trabajo]],#REF!,#REF!
)</f>
        <v>#REF!</v>
      </c>
      <c r="R1376" t="s">
        <v>17</v>
      </c>
      <c r="S1376" t="s">
        <v>18</v>
      </c>
      <c r="W1376" t="s">
        <v>25</v>
      </c>
      <c r="X1376" t="s">
        <v>23</v>
      </c>
      <c r="Y1376" t="e">
        <f>+_xlfn.XLOOKUP(tbl_encuesta[[#This Row],[Considero a Limtek como un buen lugar para trabajar]],#REF!,#REF!)</f>
        <v>#REF!</v>
      </c>
      <c r="Z1376" t="s">
        <v>3394</v>
      </c>
      <c r="AA1376" t="s">
        <v>3395</v>
      </c>
      <c r="AB1376" t="s">
        <v>28</v>
      </c>
      <c r="AC1376" s="3" t="s">
        <v>3716</v>
      </c>
      <c r="AD1376" s="3" t="s">
        <v>3724</v>
      </c>
      <c r="AE1376" t="s">
        <v>29</v>
      </c>
    </row>
    <row r="1377" spans="1:31" x14ac:dyDescent="0.25">
      <c r="A1377">
        <v>119025641212</v>
      </c>
      <c r="B1377">
        <v>462598545</v>
      </c>
      <c r="C1377" s="1">
        <v>46014.367615740739</v>
      </c>
      <c r="D1377" s="1">
        <v>46014.375081018516</v>
      </c>
      <c r="E1377" t="s">
        <v>3396</v>
      </c>
      <c r="F1377" t="s">
        <v>23</v>
      </c>
      <c r="G1377" t="e">
        <f>+_xlfn.XLOOKUP(tbl_encuesta[[#This Row],[Me siento a gusto con el ambiente de trabajo que se genera en mi equipo.]],#REF!,#REF!)</f>
        <v>#REF!</v>
      </c>
      <c r="H1377" t="s">
        <v>23</v>
      </c>
      <c r="I1377" t="e">
        <f>+_xlfn.XLOOKUP(tbl_encuesta[[#This Row],[Me siento motivado a dar lo mejor de mí y hacer un buen trabajo]],#REF!,#REF!)</f>
        <v>#REF!</v>
      </c>
      <c r="J1377" t="s">
        <v>22</v>
      </c>
      <c r="K1377" t="e">
        <f>+_xlfn.XLOOKUP(tbl_encuesta[[#This Row],[Mi supervisor o jefe directo me otorga el soporte que necesito para afrontar cualquier problema que afecte mi trabajo]],#REF!,#REF!)</f>
        <v>#REF!</v>
      </c>
      <c r="L1377" t="s">
        <v>22</v>
      </c>
      <c r="M1377" t="e">
        <f>+_xlfn.XLOOKUP(tbl_encuesta[[#This Row],[Mi supervisor o jefe directo fomenta que nos apoyemos entre todos en el equipo]],#REF!,#REF!)</f>
        <v>#REF!</v>
      </c>
      <c r="N1377" t="s">
        <v>22</v>
      </c>
      <c r="O1377" t="e">
        <f>+_xlfn.XLOOKUP(tbl_encuesta[[#This Row],[Siento que mi trabajo es reconocido por mi supervisor o jefe directo.]],#REF!,#REF!)</f>
        <v>#REF!</v>
      </c>
      <c r="P1377" t="s">
        <v>31</v>
      </c>
      <c r="Q1377" t="e">
        <f xml:space="preserve">
_xlfn.XLOOKUP(
tbl_encuesta[[#This Row],[Mi supervisor o jefe directo nos brinda charlas de 5 minutos y comunica las novedades relevantes a mi puesto de trabajo]],#REF!,#REF!
)</f>
        <v>#REF!</v>
      </c>
      <c r="U1377" t="s">
        <v>20</v>
      </c>
      <c r="W1377" t="s">
        <v>25</v>
      </c>
      <c r="X1377" t="s">
        <v>23</v>
      </c>
      <c r="Y1377" t="e">
        <f>+_xlfn.XLOOKUP(tbl_encuesta[[#This Row],[Considero a Limtek como un buen lugar para trabajar]],#REF!,#REF!)</f>
        <v>#REF!</v>
      </c>
      <c r="Z1377" t="s">
        <v>3397</v>
      </c>
      <c r="AA1377" t="s">
        <v>3398</v>
      </c>
      <c r="AB1377" t="s">
        <v>28</v>
      </c>
      <c r="AC1377" s="3" t="s">
        <v>3716</v>
      </c>
      <c r="AD1377" s="3" t="s">
        <v>3724</v>
      </c>
      <c r="AE1377" t="s">
        <v>29</v>
      </c>
    </row>
    <row r="1378" spans="1:31" x14ac:dyDescent="0.25">
      <c r="A1378">
        <v>119025640559</v>
      </c>
      <c r="B1378">
        <v>462598545</v>
      </c>
      <c r="C1378" s="1">
        <v>46014.372719907406</v>
      </c>
      <c r="D1378" s="1">
        <v>46014.373981481483</v>
      </c>
      <c r="E1378" t="s">
        <v>1620</v>
      </c>
      <c r="F1378" t="s">
        <v>43</v>
      </c>
      <c r="G1378" t="e">
        <f>+_xlfn.XLOOKUP(tbl_encuesta[[#This Row],[Me siento a gusto con el ambiente de trabajo que se genera en mi equipo.]],#REF!,#REF!)</f>
        <v>#REF!</v>
      </c>
      <c r="H1378" t="s">
        <v>23</v>
      </c>
      <c r="I1378" t="e">
        <f>+_xlfn.XLOOKUP(tbl_encuesta[[#This Row],[Me siento motivado a dar lo mejor de mí y hacer un buen trabajo]],#REF!,#REF!)</f>
        <v>#REF!</v>
      </c>
      <c r="J1378" t="s">
        <v>22</v>
      </c>
      <c r="K1378" t="e">
        <f>+_xlfn.XLOOKUP(tbl_encuesta[[#This Row],[Mi supervisor o jefe directo me otorga el soporte que necesito para afrontar cualquier problema que afecte mi trabajo]],#REF!,#REF!)</f>
        <v>#REF!</v>
      </c>
      <c r="L1378" t="s">
        <v>22</v>
      </c>
      <c r="M1378" t="e">
        <f>+_xlfn.XLOOKUP(tbl_encuesta[[#This Row],[Mi supervisor o jefe directo fomenta que nos apoyemos entre todos en el equipo]],#REF!,#REF!)</f>
        <v>#REF!</v>
      </c>
      <c r="N1378" t="s">
        <v>22</v>
      </c>
      <c r="O1378" t="e">
        <f>+_xlfn.XLOOKUP(tbl_encuesta[[#This Row],[Siento que mi trabajo es reconocido por mi supervisor o jefe directo.]],#REF!,#REF!)</f>
        <v>#REF!</v>
      </c>
      <c r="P1378" t="s">
        <v>31</v>
      </c>
      <c r="Q1378" t="e">
        <f xml:space="preserve">
_xlfn.XLOOKUP(
tbl_encuesta[[#This Row],[Mi supervisor o jefe directo nos brinda charlas de 5 minutos y comunica las novedades relevantes a mi puesto de trabajo]],#REF!,#REF!
)</f>
        <v>#REF!</v>
      </c>
      <c r="U1378" t="s">
        <v>20</v>
      </c>
      <c r="W1378" t="s">
        <v>25</v>
      </c>
      <c r="X1378" t="s">
        <v>23</v>
      </c>
      <c r="Y1378" t="e">
        <f>+_xlfn.XLOOKUP(tbl_encuesta[[#This Row],[Considero a Limtek como un buen lugar para trabajar]],#REF!,#REF!)</f>
        <v>#REF!</v>
      </c>
      <c r="Z1378" t="s">
        <v>3399</v>
      </c>
      <c r="AA1378" t="s">
        <v>3400</v>
      </c>
      <c r="AB1378" t="s">
        <v>28</v>
      </c>
      <c r="AC1378" s="3" t="s">
        <v>3716</v>
      </c>
      <c r="AD1378" s="3" t="s">
        <v>3724</v>
      </c>
      <c r="AE1378" t="s">
        <v>29</v>
      </c>
    </row>
    <row r="1379" spans="1:31" x14ac:dyDescent="0.25">
      <c r="A1379">
        <v>119025640013</v>
      </c>
      <c r="B1379">
        <v>462598545</v>
      </c>
      <c r="C1379" s="1">
        <v>46014.36922453704</v>
      </c>
      <c r="D1379" s="1">
        <v>46014.373043981483</v>
      </c>
      <c r="E1379" t="s">
        <v>1620</v>
      </c>
      <c r="F1379" t="s">
        <v>23</v>
      </c>
      <c r="G1379" t="e">
        <f>+_xlfn.XLOOKUP(tbl_encuesta[[#This Row],[Me siento a gusto con el ambiente de trabajo que se genera en mi equipo.]],#REF!,#REF!)</f>
        <v>#REF!</v>
      </c>
      <c r="H1379" t="s">
        <v>23</v>
      </c>
      <c r="I1379" t="e">
        <f>+_xlfn.XLOOKUP(tbl_encuesta[[#This Row],[Me siento motivado a dar lo mejor de mí y hacer un buen trabajo]],#REF!,#REF!)</f>
        <v>#REF!</v>
      </c>
      <c r="J1379" t="s">
        <v>23</v>
      </c>
      <c r="K1379" t="e">
        <f>+_xlfn.XLOOKUP(tbl_encuesta[[#This Row],[Mi supervisor o jefe directo me otorga el soporte que necesito para afrontar cualquier problema que afecte mi trabajo]],#REF!,#REF!)</f>
        <v>#REF!</v>
      </c>
      <c r="L1379" t="s">
        <v>23</v>
      </c>
      <c r="M1379" t="e">
        <f>+_xlfn.XLOOKUP(tbl_encuesta[[#This Row],[Mi supervisor o jefe directo fomenta que nos apoyemos entre todos en el equipo]],#REF!,#REF!)</f>
        <v>#REF!</v>
      </c>
      <c r="N1379" t="s">
        <v>23</v>
      </c>
      <c r="O1379" t="e">
        <f>+_xlfn.XLOOKUP(tbl_encuesta[[#This Row],[Siento que mi trabajo es reconocido por mi supervisor o jefe directo.]],#REF!,#REF!)</f>
        <v>#REF!</v>
      </c>
      <c r="P1379" t="s">
        <v>31</v>
      </c>
      <c r="Q1379" t="e">
        <f xml:space="preserve">
_xlfn.XLOOKUP(
tbl_encuesta[[#This Row],[Mi supervisor o jefe directo nos brinda charlas de 5 minutos y comunica las novedades relevantes a mi puesto de trabajo]],#REF!,#REF!
)</f>
        <v>#REF!</v>
      </c>
      <c r="T1379" t="s">
        <v>19</v>
      </c>
      <c r="U1379" t="s">
        <v>20</v>
      </c>
      <c r="W1379" t="s">
        <v>25</v>
      </c>
      <c r="X1379" t="s">
        <v>23</v>
      </c>
      <c r="Y1379" t="e">
        <f>+_xlfn.XLOOKUP(tbl_encuesta[[#This Row],[Considero a Limtek como un buen lugar para trabajar]],#REF!,#REF!)</f>
        <v>#REF!</v>
      </c>
      <c r="Z1379" t="s">
        <v>3401</v>
      </c>
      <c r="AA1379" t="s">
        <v>2504</v>
      </c>
      <c r="AB1379" t="s">
        <v>28</v>
      </c>
      <c r="AC1379" s="3" t="s">
        <v>3716</v>
      </c>
      <c r="AD1379" s="3" t="s">
        <v>3724</v>
      </c>
      <c r="AE1379" t="s">
        <v>29</v>
      </c>
    </row>
    <row r="1380" spans="1:31" x14ac:dyDescent="0.25">
      <c r="A1380">
        <v>119025639495</v>
      </c>
      <c r="B1380">
        <v>462598545</v>
      </c>
      <c r="C1380" s="1">
        <v>46014.369050925925</v>
      </c>
      <c r="D1380" s="1">
        <v>46014.372210648151</v>
      </c>
      <c r="E1380" t="s">
        <v>3402</v>
      </c>
      <c r="F1380" t="s">
        <v>23</v>
      </c>
      <c r="G1380" t="e">
        <f>+_xlfn.XLOOKUP(tbl_encuesta[[#This Row],[Me siento a gusto con el ambiente de trabajo que se genera en mi equipo.]],#REF!,#REF!)</f>
        <v>#REF!</v>
      </c>
      <c r="H1380" t="s">
        <v>23</v>
      </c>
      <c r="I1380" t="e">
        <f>+_xlfn.XLOOKUP(tbl_encuesta[[#This Row],[Me siento motivado a dar lo mejor de mí y hacer un buen trabajo]],#REF!,#REF!)</f>
        <v>#REF!</v>
      </c>
      <c r="J1380" t="s">
        <v>23</v>
      </c>
      <c r="K1380" t="e">
        <f>+_xlfn.XLOOKUP(tbl_encuesta[[#This Row],[Mi supervisor o jefe directo me otorga el soporte que necesito para afrontar cualquier problema que afecte mi trabajo]],#REF!,#REF!)</f>
        <v>#REF!</v>
      </c>
      <c r="L1380" t="s">
        <v>23</v>
      </c>
      <c r="M1380" t="e">
        <f>+_xlfn.XLOOKUP(tbl_encuesta[[#This Row],[Mi supervisor o jefe directo fomenta que nos apoyemos entre todos en el equipo]],#REF!,#REF!)</f>
        <v>#REF!</v>
      </c>
      <c r="N1380" t="s">
        <v>23</v>
      </c>
      <c r="O1380" t="e">
        <f>+_xlfn.XLOOKUP(tbl_encuesta[[#This Row],[Siento que mi trabajo es reconocido por mi supervisor o jefe directo.]],#REF!,#REF!)</f>
        <v>#REF!</v>
      </c>
      <c r="P1380" t="s">
        <v>31</v>
      </c>
      <c r="Q1380" t="e">
        <f xml:space="preserve">
_xlfn.XLOOKUP(
tbl_encuesta[[#This Row],[Mi supervisor o jefe directo nos brinda charlas de 5 minutos y comunica las novedades relevantes a mi puesto de trabajo]],#REF!,#REF!
)</f>
        <v>#REF!</v>
      </c>
      <c r="R1380" t="s">
        <v>17</v>
      </c>
      <c r="T1380" t="s">
        <v>19</v>
      </c>
      <c r="W1380" t="s">
        <v>25</v>
      </c>
      <c r="X1380" t="s">
        <v>23</v>
      </c>
      <c r="Y1380" t="e">
        <f>+_xlfn.XLOOKUP(tbl_encuesta[[#This Row],[Considero a Limtek como un buen lugar para trabajar]],#REF!,#REF!)</f>
        <v>#REF!</v>
      </c>
      <c r="Z1380" t="s">
        <v>3403</v>
      </c>
      <c r="AA1380" t="s">
        <v>3404</v>
      </c>
      <c r="AB1380" t="s">
        <v>28</v>
      </c>
      <c r="AC1380" s="3" t="s">
        <v>3716</v>
      </c>
      <c r="AD1380" s="3" t="s">
        <v>3724</v>
      </c>
      <c r="AE1380" t="s">
        <v>69</v>
      </c>
    </row>
    <row r="1381" spans="1:31" x14ac:dyDescent="0.25">
      <c r="A1381">
        <v>119025638494</v>
      </c>
      <c r="B1381">
        <v>462598545</v>
      </c>
      <c r="C1381" s="1">
        <v>46014.367430555554</v>
      </c>
      <c r="D1381" s="1">
        <v>46014.370416666665</v>
      </c>
      <c r="E1381" t="s">
        <v>1620</v>
      </c>
      <c r="F1381" t="s">
        <v>23</v>
      </c>
      <c r="G1381" t="e">
        <f>+_xlfn.XLOOKUP(tbl_encuesta[[#This Row],[Me siento a gusto con el ambiente de trabajo que se genera en mi equipo.]],#REF!,#REF!)</f>
        <v>#REF!</v>
      </c>
      <c r="H1381" t="s">
        <v>23</v>
      </c>
      <c r="I1381" t="e">
        <f>+_xlfn.XLOOKUP(tbl_encuesta[[#This Row],[Me siento motivado a dar lo mejor de mí y hacer un buen trabajo]],#REF!,#REF!)</f>
        <v>#REF!</v>
      </c>
      <c r="J1381" t="s">
        <v>23</v>
      </c>
      <c r="K1381" t="e">
        <f>+_xlfn.XLOOKUP(tbl_encuesta[[#This Row],[Mi supervisor o jefe directo me otorga el soporte que necesito para afrontar cualquier problema que afecte mi trabajo]],#REF!,#REF!)</f>
        <v>#REF!</v>
      </c>
      <c r="L1381" t="s">
        <v>23</v>
      </c>
      <c r="M1381" t="e">
        <f>+_xlfn.XLOOKUP(tbl_encuesta[[#This Row],[Mi supervisor o jefe directo fomenta que nos apoyemos entre todos en el equipo]],#REF!,#REF!)</f>
        <v>#REF!</v>
      </c>
      <c r="N1381" t="s">
        <v>23</v>
      </c>
      <c r="O1381" t="e">
        <f>+_xlfn.XLOOKUP(tbl_encuesta[[#This Row],[Siento que mi trabajo es reconocido por mi supervisor o jefe directo.]],#REF!,#REF!)</f>
        <v>#REF!</v>
      </c>
      <c r="P1381" t="s">
        <v>31</v>
      </c>
      <c r="Q1381" t="e">
        <f xml:space="preserve">
_xlfn.XLOOKUP(
tbl_encuesta[[#This Row],[Mi supervisor o jefe directo nos brinda charlas de 5 minutos y comunica las novedades relevantes a mi puesto de trabajo]],#REF!,#REF!
)</f>
        <v>#REF!</v>
      </c>
      <c r="R1381" t="s">
        <v>17</v>
      </c>
      <c r="T1381" t="s">
        <v>19</v>
      </c>
      <c r="W1381" t="s">
        <v>25</v>
      </c>
      <c r="X1381" t="s">
        <v>23</v>
      </c>
      <c r="Y1381" t="e">
        <f>+_xlfn.XLOOKUP(tbl_encuesta[[#This Row],[Considero a Limtek como un buen lugar para trabajar]],#REF!,#REF!)</f>
        <v>#REF!</v>
      </c>
      <c r="Z1381" t="s">
        <v>3405</v>
      </c>
      <c r="AA1381" t="s">
        <v>2504</v>
      </c>
      <c r="AB1381" t="s">
        <v>28</v>
      </c>
      <c r="AC1381" s="3" t="s">
        <v>3716</v>
      </c>
      <c r="AD1381" s="3" t="s">
        <v>3724</v>
      </c>
      <c r="AE1381" t="s">
        <v>61</v>
      </c>
    </row>
    <row r="1382" spans="1:31" x14ac:dyDescent="0.25">
      <c r="A1382">
        <v>119025630548</v>
      </c>
      <c r="B1382">
        <v>462598545</v>
      </c>
      <c r="C1382" s="1">
        <v>46014.352986111109</v>
      </c>
      <c r="D1382" s="1">
        <v>46014.357141203705</v>
      </c>
      <c r="E1382" t="s">
        <v>3406</v>
      </c>
      <c r="F1382" t="s">
        <v>23</v>
      </c>
      <c r="G1382" t="e">
        <f>+_xlfn.XLOOKUP(tbl_encuesta[[#This Row],[Me siento a gusto con el ambiente de trabajo que se genera en mi equipo.]],#REF!,#REF!)</f>
        <v>#REF!</v>
      </c>
      <c r="H1382" t="s">
        <v>22</v>
      </c>
      <c r="I1382" t="e">
        <f>+_xlfn.XLOOKUP(tbl_encuesta[[#This Row],[Me siento motivado a dar lo mejor de mí y hacer un buen trabajo]],#REF!,#REF!)</f>
        <v>#REF!</v>
      </c>
      <c r="J1382" t="s">
        <v>23</v>
      </c>
      <c r="K1382" t="e">
        <f>+_xlfn.XLOOKUP(tbl_encuesta[[#This Row],[Mi supervisor o jefe directo me otorga el soporte que necesito para afrontar cualquier problema que afecte mi trabajo]],#REF!,#REF!)</f>
        <v>#REF!</v>
      </c>
      <c r="L1382" t="s">
        <v>23</v>
      </c>
      <c r="M1382" t="e">
        <f>+_xlfn.XLOOKUP(tbl_encuesta[[#This Row],[Mi supervisor o jefe directo fomenta que nos apoyemos entre todos en el equipo]],#REF!,#REF!)</f>
        <v>#REF!</v>
      </c>
      <c r="N1382" t="s">
        <v>23</v>
      </c>
      <c r="O1382" t="e">
        <f>+_xlfn.XLOOKUP(tbl_encuesta[[#This Row],[Siento que mi trabajo es reconocido por mi supervisor o jefe directo.]],#REF!,#REF!)</f>
        <v>#REF!</v>
      </c>
      <c r="P1382" t="s">
        <v>31</v>
      </c>
      <c r="Q1382" t="e">
        <f xml:space="preserve">
_xlfn.XLOOKUP(
tbl_encuesta[[#This Row],[Mi supervisor o jefe directo nos brinda charlas de 5 minutos y comunica las novedades relevantes a mi puesto de trabajo]],#REF!,#REF!
)</f>
        <v>#REF!</v>
      </c>
      <c r="R1382" t="s">
        <v>17</v>
      </c>
      <c r="S1382" t="s">
        <v>18</v>
      </c>
      <c r="W1382" t="s">
        <v>25</v>
      </c>
      <c r="X1382" t="s">
        <v>22</v>
      </c>
      <c r="Y1382" t="e">
        <f>+_xlfn.XLOOKUP(tbl_encuesta[[#This Row],[Considero a Limtek como un buen lugar para trabajar]],#REF!,#REF!)</f>
        <v>#REF!</v>
      </c>
      <c r="Z1382" t="s">
        <v>3407</v>
      </c>
      <c r="AA1382" t="s">
        <v>3408</v>
      </c>
      <c r="AB1382" t="s">
        <v>28</v>
      </c>
      <c r="AC1382" s="3" t="s">
        <v>3815</v>
      </c>
      <c r="AD1382" s="3" t="s">
        <v>3816</v>
      </c>
      <c r="AE1382" t="s">
        <v>61</v>
      </c>
    </row>
    <row r="1383" spans="1:31" x14ac:dyDescent="0.25">
      <c r="A1383">
        <v>119025629114</v>
      </c>
      <c r="B1383">
        <v>462598545</v>
      </c>
      <c r="C1383" s="1">
        <v>46014.34646990741</v>
      </c>
      <c r="D1383" s="1">
        <v>46014.354861111111</v>
      </c>
      <c r="E1383" t="s">
        <v>3409</v>
      </c>
      <c r="F1383" t="s">
        <v>23</v>
      </c>
      <c r="G1383" t="e">
        <f>+_xlfn.XLOOKUP(tbl_encuesta[[#This Row],[Me siento a gusto con el ambiente de trabajo que se genera en mi equipo.]],#REF!,#REF!)</f>
        <v>#REF!</v>
      </c>
      <c r="H1383" t="s">
        <v>23</v>
      </c>
      <c r="I1383" t="e">
        <f>+_xlfn.XLOOKUP(tbl_encuesta[[#This Row],[Me siento motivado a dar lo mejor de mí y hacer un buen trabajo]],#REF!,#REF!)</f>
        <v>#REF!</v>
      </c>
      <c r="J1383" t="s">
        <v>22</v>
      </c>
      <c r="K1383" t="e">
        <f>+_xlfn.XLOOKUP(tbl_encuesta[[#This Row],[Mi supervisor o jefe directo me otorga el soporte que necesito para afrontar cualquier problema que afecte mi trabajo]],#REF!,#REF!)</f>
        <v>#REF!</v>
      </c>
      <c r="L1383" t="s">
        <v>23</v>
      </c>
      <c r="M1383" t="e">
        <f>+_xlfn.XLOOKUP(tbl_encuesta[[#This Row],[Mi supervisor o jefe directo fomenta que nos apoyemos entre todos en el equipo]],#REF!,#REF!)</f>
        <v>#REF!</v>
      </c>
      <c r="N1383" t="s">
        <v>22</v>
      </c>
      <c r="O1383" t="e">
        <f>+_xlfn.XLOOKUP(tbl_encuesta[[#This Row],[Siento que mi trabajo es reconocido por mi supervisor o jefe directo.]],#REF!,#REF!)</f>
        <v>#REF!</v>
      </c>
      <c r="P1383" t="s">
        <v>67</v>
      </c>
      <c r="Q1383" t="e">
        <f xml:space="preserve">
_xlfn.XLOOKUP(
tbl_encuesta[[#This Row],[Mi supervisor o jefe directo nos brinda charlas de 5 minutos y comunica las novedades relevantes a mi puesto de trabajo]],#REF!,#REF!
)</f>
        <v>#REF!</v>
      </c>
      <c r="R1383" t="s">
        <v>17</v>
      </c>
      <c r="T1383" t="s">
        <v>19</v>
      </c>
      <c r="W1383" t="s">
        <v>25</v>
      </c>
      <c r="X1383" t="s">
        <v>23</v>
      </c>
      <c r="Y1383" t="e">
        <f>+_xlfn.XLOOKUP(tbl_encuesta[[#This Row],[Considero a Limtek como un buen lugar para trabajar]],#REF!,#REF!)</f>
        <v>#REF!</v>
      </c>
      <c r="Z1383" t="s">
        <v>3410</v>
      </c>
      <c r="AA1383" t="s">
        <v>3411</v>
      </c>
      <c r="AB1383" t="s">
        <v>28</v>
      </c>
      <c r="AC1383" s="3" t="s">
        <v>3716</v>
      </c>
      <c r="AD1383" s="3" t="s">
        <v>3720</v>
      </c>
      <c r="AE1383" t="s">
        <v>69</v>
      </c>
    </row>
    <row r="1384" spans="1:31" x14ac:dyDescent="0.25">
      <c r="A1384">
        <v>119025619958</v>
      </c>
      <c r="B1384">
        <v>462598545</v>
      </c>
      <c r="C1384" s="1">
        <v>46014.305972222224</v>
      </c>
      <c r="D1384" s="1">
        <v>46014.339259259257</v>
      </c>
      <c r="E1384" t="s">
        <v>2406</v>
      </c>
      <c r="F1384" t="s">
        <v>23</v>
      </c>
      <c r="G1384" t="e">
        <f>+_xlfn.XLOOKUP(tbl_encuesta[[#This Row],[Me siento a gusto con el ambiente de trabajo que se genera en mi equipo.]],#REF!,#REF!)</f>
        <v>#REF!</v>
      </c>
      <c r="H1384" t="s">
        <v>23</v>
      </c>
      <c r="I1384" t="e">
        <f>+_xlfn.XLOOKUP(tbl_encuesta[[#This Row],[Me siento motivado a dar lo mejor de mí y hacer un buen trabajo]],#REF!,#REF!)</f>
        <v>#REF!</v>
      </c>
      <c r="J1384" t="s">
        <v>23</v>
      </c>
      <c r="K1384" t="e">
        <f>+_xlfn.XLOOKUP(tbl_encuesta[[#This Row],[Mi supervisor o jefe directo me otorga el soporte que necesito para afrontar cualquier problema que afecte mi trabajo]],#REF!,#REF!)</f>
        <v>#REF!</v>
      </c>
      <c r="L1384" t="s">
        <v>23</v>
      </c>
      <c r="M1384" t="e">
        <f>+_xlfn.XLOOKUP(tbl_encuesta[[#This Row],[Mi supervisor o jefe directo fomenta que nos apoyemos entre todos en el equipo]],#REF!,#REF!)</f>
        <v>#REF!</v>
      </c>
      <c r="N1384" t="s">
        <v>23</v>
      </c>
      <c r="O1384" t="e">
        <f>+_xlfn.XLOOKUP(tbl_encuesta[[#This Row],[Siento que mi trabajo es reconocido por mi supervisor o jefe directo.]],#REF!,#REF!)</f>
        <v>#REF!</v>
      </c>
      <c r="P1384" t="s">
        <v>31</v>
      </c>
      <c r="Q1384" t="e">
        <f xml:space="preserve">
_xlfn.XLOOKUP(
tbl_encuesta[[#This Row],[Mi supervisor o jefe directo nos brinda charlas de 5 minutos y comunica las novedades relevantes a mi puesto de trabajo]],#REF!,#REF!
)</f>
        <v>#REF!</v>
      </c>
      <c r="R1384" t="s">
        <v>17</v>
      </c>
      <c r="W1384" t="s">
        <v>25</v>
      </c>
      <c r="X1384" t="s">
        <v>23</v>
      </c>
      <c r="Y1384" t="e">
        <f>+_xlfn.XLOOKUP(tbl_encuesta[[#This Row],[Considero a Limtek como un buen lugar para trabajar]],#REF!,#REF!)</f>
        <v>#REF!</v>
      </c>
      <c r="Z1384" t="s">
        <v>1397</v>
      </c>
      <c r="AA1384" t="s">
        <v>3412</v>
      </c>
      <c r="AB1384" t="s">
        <v>28</v>
      </c>
      <c r="AC1384" s="3" t="s">
        <v>3729</v>
      </c>
      <c r="AD1384" s="3" t="s">
        <v>3730</v>
      </c>
      <c r="AE1384" t="s">
        <v>69</v>
      </c>
    </row>
    <row r="1385" spans="1:31" x14ac:dyDescent="0.25">
      <c r="A1385">
        <v>119025619736</v>
      </c>
      <c r="B1385">
        <v>462598545</v>
      </c>
      <c r="C1385" s="1">
        <v>46014.332326388889</v>
      </c>
      <c r="D1385" s="1">
        <v>46014.338854166665</v>
      </c>
      <c r="E1385" t="s">
        <v>2406</v>
      </c>
      <c r="F1385" t="s">
        <v>23</v>
      </c>
      <c r="G1385" t="e">
        <f>+_xlfn.XLOOKUP(tbl_encuesta[[#This Row],[Me siento a gusto con el ambiente de trabajo que se genera en mi equipo.]],#REF!,#REF!)</f>
        <v>#REF!</v>
      </c>
      <c r="H1385" t="s">
        <v>23</v>
      </c>
      <c r="I1385" t="e">
        <f>+_xlfn.XLOOKUP(tbl_encuesta[[#This Row],[Me siento motivado a dar lo mejor de mí y hacer un buen trabajo]],#REF!,#REF!)</f>
        <v>#REF!</v>
      </c>
      <c r="J1385" t="s">
        <v>23</v>
      </c>
      <c r="K1385" t="e">
        <f>+_xlfn.XLOOKUP(tbl_encuesta[[#This Row],[Mi supervisor o jefe directo me otorga el soporte que necesito para afrontar cualquier problema que afecte mi trabajo]],#REF!,#REF!)</f>
        <v>#REF!</v>
      </c>
      <c r="L1385" t="s">
        <v>23</v>
      </c>
      <c r="M1385" t="e">
        <f>+_xlfn.XLOOKUP(tbl_encuesta[[#This Row],[Mi supervisor o jefe directo fomenta que nos apoyemos entre todos en el equipo]],#REF!,#REF!)</f>
        <v>#REF!</v>
      </c>
      <c r="N1385" t="s">
        <v>23</v>
      </c>
      <c r="O1385" t="e">
        <f>+_xlfn.XLOOKUP(tbl_encuesta[[#This Row],[Siento que mi trabajo es reconocido por mi supervisor o jefe directo.]],#REF!,#REF!)</f>
        <v>#REF!</v>
      </c>
      <c r="P1385" t="s">
        <v>31</v>
      </c>
      <c r="Q1385" t="e">
        <f xml:space="preserve">
_xlfn.XLOOKUP(
tbl_encuesta[[#This Row],[Mi supervisor o jefe directo nos brinda charlas de 5 minutos y comunica las novedades relevantes a mi puesto de trabajo]],#REF!,#REF!
)</f>
        <v>#REF!</v>
      </c>
      <c r="R1385" t="s">
        <v>17</v>
      </c>
      <c r="W1385" t="s">
        <v>25</v>
      </c>
      <c r="X1385" t="s">
        <v>23</v>
      </c>
      <c r="Y1385" t="e">
        <f>+_xlfn.XLOOKUP(tbl_encuesta[[#This Row],[Considero a Limtek como un buen lugar para trabajar]],#REF!,#REF!)</f>
        <v>#REF!</v>
      </c>
      <c r="Z1385" t="s">
        <v>329</v>
      </c>
      <c r="AA1385" t="s">
        <v>3413</v>
      </c>
      <c r="AB1385" t="s">
        <v>28</v>
      </c>
      <c r="AC1385" s="3" t="s">
        <v>3729</v>
      </c>
      <c r="AD1385" s="3" t="s">
        <v>3730</v>
      </c>
      <c r="AE1385" t="s">
        <v>61</v>
      </c>
    </row>
    <row r="1386" spans="1:31" x14ac:dyDescent="0.25">
      <c r="A1386">
        <v>119025615894</v>
      </c>
      <c r="B1386">
        <v>462598545</v>
      </c>
      <c r="C1386" s="1">
        <v>46014.330104166664</v>
      </c>
      <c r="D1386" s="1">
        <v>46014.332106481481</v>
      </c>
      <c r="E1386" t="s">
        <v>3414</v>
      </c>
      <c r="F1386" t="s">
        <v>23</v>
      </c>
      <c r="G1386" t="e">
        <f>+_xlfn.XLOOKUP(tbl_encuesta[[#This Row],[Me siento a gusto con el ambiente de trabajo que se genera en mi equipo.]],#REF!,#REF!)</f>
        <v>#REF!</v>
      </c>
      <c r="H1386" t="s">
        <v>23</v>
      </c>
      <c r="I1386" t="e">
        <f>+_xlfn.XLOOKUP(tbl_encuesta[[#This Row],[Me siento motivado a dar lo mejor de mí y hacer un buen trabajo]],#REF!,#REF!)</f>
        <v>#REF!</v>
      </c>
      <c r="J1386" t="s">
        <v>23</v>
      </c>
      <c r="K1386" t="e">
        <f>+_xlfn.XLOOKUP(tbl_encuesta[[#This Row],[Mi supervisor o jefe directo me otorga el soporte que necesito para afrontar cualquier problema que afecte mi trabajo]],#REF!,#REF!)</f>
        <v>#REF!</v>
      </c>
      <c r="L1386" t="s">
        <v>23</v>
      </c>
      <c r="M1386" t="e">
        <f>+_xlfn.XLOOKUP(tbl_encuesta[[#This Row],[Mi supervisor o jefe directo fomenta que nos apoyemos entre todos en el equipo]],#REF!,#REF!)</f>
        <v>#REF!</v>
      </c>
      <c r="N1386" t="s">
        <v>23</v>
      </c>
      <c r="O1386" t="e">
        <f>+_xlfn.XLOOKUP(tbl_encuesta[[#This Row],[Siento que mi trabajo es reconocido por mi supervisor o jefe directo.]],#REF!,#REF!)</f>
        <v>#REF!</v>
      </c>
      <c r="P1386" t="s">
        <v>31</v>
      </c>
      <c r="Q1386" t="e">
        <f xml:space="preserve">
_xlfn.XLOOKUP(
tbl_encuesta[[#This Row],[Mi supervisor o jefe directo nos brinda charlas de 5 minutos y comunica las novedades relevantes a mi puesto de trabajo]],#REF!,#REF!
)</f>
        <v>#REF!</v>
      </c>
      <c r="R1386" t="s">
        <v>17</v>
      </c>
      <c r="T1386" t="s">
        <v>19</v>
      </c>
      <c r="W1386" t="s">
        <v>25</v>
      </c>
      <c r="X1386" t="s">
        <v>23</v>
      </c>
      <c r="Y1386" t="e">
        <f>+_xlfn.XLOOKUP(tbl_encuesta[[#This Row],[Considero a Limtek como un buen lugar para trabajar]],#REF!,#REF!)</f>
        <v>#REF!</v>
      </c>
      <c r="Z1386" t="s">
        <v>3415</v>
      </c>
      <c r="AA1386" t="s">
        <v>3416</v>
      </c>
      <c r="AB1386" t="s">
        <v>28</v>
      </c>
      <c r="AC1386" t="s">
        <v>3744</v>
      </c>
      <c r="AD1386" t="s">
        <v>3744</v>
      </c>
      <c r="AE1386" t="s">
        <v>29</v>
      </c>
    </row>
    <row r="1387" spans="1:31" x14ac:dyDescent="0.25">
      <c r="A1387">
        <v>119025614475</v>
      </c>
      <c r="B1387">
        <v>462598545</v>
      </c>
      <c r="C1387" s="1">
        <v>46014.328530092593</v>
      </c>
      <c r="D1387" s="1">
        <v>46014.32953703704</v>
      </c>
      <c r="E1387" t="s">
        <v>3417</v>
      </c>
      <c r="F1387" t="s">
        <v>22</v>
      </c>
      <c r="G1387" t="e">
        <f>+_xlfn.XLOOKUP(tbl_encuesta[[#This Row],[Me siento a gusto con el ambiente de trabajo que se genera en mi equipo.]],#REF!,#REF!)</f>
        <v>#REF!</v>
      </c>
      <c r="H1387" t="s">
        <v>23</v>
      </c>
      <c r="I1387" t="e">
        <f>+_xlfn.XLOOKUP(tbl_encuesta[[#This Row],[Me siento motivado a dar lo mejor de mí y hacer un buen trabajo]],#REF!,#REF!)</f>
        <v>#REF!</v>
      </c>
      <c r="J1387" t="s">
        <v>23</v>
      </c>
      <c r="K1387" t="e">
        <f>+_xlfn.XLOOKUP(tbl_encuesta[[#This Row],[Mi supervisor o jefe directo me otorga el soporte que necesito para afrontar cualquier problema que afecte mi trabajo]],#REF!,#REF!)</f>
        <v>#REF!</v>
      </c>
      <c r="L1387" t="s">
        <v>23</v>
      </c>
      <c r="M1387" t="e">
        <f>+_xlfn.XLOOKUP(tbl_encuesta[[#This Row],[Mi supervisor o jefe directo fomenta que nos apoyemos entre todos en el equipo]],#REF!,#REF!)</f>
        <v>#REF!</v>
      </c>
      <c r="N1387" t="s">
        <v>22</v>
      </c>
      <c r="O1387" t="e">
        <f>+_xlfn.XLOOKUP(tbl_encuesta[[#This Row],[Siento que mi trabajo es reconocido por mi supervisor o jefe directo.]],#REF!,#REF!)</f>
        <v>#REF!</v>
      </c>
      <c r="P1387" t="s">
        <v>31</v>
      </c>
      <c r="Q1387" t="e">
        <f xml:space="preserve">
_xlfn.XLOOKUP(
tbl_encuesta[[#This Row],[Mi supervisor o jefe directo nos brinda charlas de 5 minutos y comunica las novedades relevantes a mi puesto de trabajo]],#REF!,#REF!
)</f>
        <v>#REF!</v>
      </c>
      <c r="R1387" t="s">
        <v>17</v>
      </c>
      <c r="S1387" t="s">
        <v>18</v>
      </c>
      <c r="W1387" t="s">
        <v>25</v>
      </c>
      <c r="X1387" t="s">
        <v>23</v>
      </c>
      <c r="Y1387" t="e">
        <f>+_xlfn.XLOOKUP(tbl_encuesta[[#This Row],[Considero a Limtek como un buen lugar para trabajar]],#REF!,#REF!)</f>
        <v>#REF!</v>
      </c>
      <c r="Z1387" t="s">
        <v>193</v>
      </c>
      <c r="AA1387" t="s">
        <v>3418</v>
      </c>
      <c r="AB1387" t="s">
        <v>28</v>
      </c>
      <c r="AC1387" s="3" t="s">
        <v>3714</v>
      </c>
      <c r="AD1387" s="3" t="s">
        <v>3724</v>
      </c>
      <c r="AE1387" t="s">
        <v>55</v>
      </c>
    </row>
    <row r="1388" spans="1:31" x14ac:dyDescent="0.25">
      <c r="A1388">
        <v>119025613767</v>
      </c>
      <c r="B1388">
        <v>462598545</v>
      </c>
      <c r="C1388" s="1">
        <v>46014.322951388887</v>
      </c>
      <c r="D1388" s="1">
        <v>46014.328113425923</v>
      </c>
      <c r="E1388" t="s">
        <v>3419</v>
      </c>
      <c r="F1388" t="s">
        <v>23</v>
      </c>
      <c r="G1388" t="e">
        <f>+_xlfn.XLOOKUP(tbl_encuesta[[#This Row],[Me siento a gusto con el ambiente de trabajo que se genera en mi equipo.]],#REF!,#REF!)</f>
        <v>#REF!</v>
      </c>
      <c r="H1388" t="s">
        <v>23</v>
      </c>
      <c r="I1388" t="e">
        <f>+_xlfn.XLOOKUP(tbl_encuesta[[#This Row],[Me siento motivado a dar lo mejor de mí y hacer un buen trabajo]],#REF!,#REF!)</f>
        <v>#REF!</v>
      </c>
      <c r="J1388" t="s">
        <v>23</v>
      </c>
      <c r="K1388" t="e">
        <f>+_xlfn.XLOOKUP(tbl_encuesta[[#This Row],[Mi supervisor o jefe directo me otorga el soporte que necesito para afrontar cualquier problema que afecte mi trabajo]],#REF!,#REF!)</f>
        <v>#REF!</v>
      </c>
      <c r="L1388" t="s">
        <v>23</v>
      </c>
      <c r="M1388" t="e">
        <f>+_xlfn.XLOOKUP(tbl_encuesta[[#This Row],[Mi supervisor o jefe directo fomenta que nos apoyemos entre todos en el equipo]],#REF!,#REF!)</f>
        <v>#REF!</v>
      </c>
      <c r="N1388" t="s">
        <v>23</v>
      </c>
      <c r="O1388" t="e">
        <f>+_xlfn.XLOOKUP(tbl_encuesta[[#This Row],[Siento que mi trabajo es reconocido por mi supervisor o jefe directo.]],#REF!,#REF!)</f>
        <v>#REF!</v>
      </c>
      <c r="P1388" t="s">
        <v>31</v>
      </c>
      <c r="Q1388" t="e">
        <f xml:space="preserve">
_xlfn.XLOOKUP(
tbl_encuesta[[#This Row],[Mi supervisor o jefe directo nos brinda charlas de 5 minutos y comunica las novedades relevantes a mi puesto de trabajo]],#REF!,#REF!
)</f>
        <v>#REF!</v>
      </c>
      <c r="R1388" t="s">
        <v>17</v>
      </c>
      <c r="T1388" t="s">
        <v>19</v>
      </c>
      <c r="W1388" t="s">
        <v>25</v>
      </c>
      <c r="X1388" t="s">
        <v>23</v>
      </c>
      <c r="Y1388" t="e">
        <f>+_xlfn.XLOOKUP(tbl_encuesta[[#This Row],[Considero a Limtek como un buen lugar para trabajar]],#REF!,#REF!)</f>
        <v>#REF!</v>
      </c>
      <c r="Z1388" t="s">
        <v>329</v>
      </c>
      <c r="AA1388" t="s">
        <v>2797</v>
      </c>
      <c r="AB1388" t="s">
        <v>28</v>
      </c>
      <c r="AC1388" s="3" t="s">
        <v>3714</v>
      </c>
      <c r="AD1388" s="3" t="s">
        <v>3724</v>
      </c>
      <c r="AE1388" t="s">
        <v>69</v>
      </c>
    </row>
    <row r="1389" spans="1:31" x14ac:dyDescent="0.25">
      <c r="A1389">
        <v>119025613041</v>
      </c>
      <c r="B1389">
        <v>462598545</v>
      </c>
      <c r="C1389" s="1">
        <v>46014.325208333335</v>
      </c>
      <c r="D1389" s="1">
        <v>46014.326666666668</v>
      </c>
      <c r="E1389" t="s">
        <v>3417</v>
      </c>
      <c r="F1389" t="s">
        <v>22</v>
      </c>
      <c r="G1389" t="e">
        <f>+_xlfn.XLOOKUP(tbl_encuesta[[#This Row],[Me siento a gusto con el ambiente de trabajo que se genera en mi equipo.]],#REF!,#REF!)</f>
        <v>#REF!</v>
      </c>
      <c r="H1389" t="s">
        <v>23</v>
      </c>
      <c r="I1389" t="e">
        <f>+_xlfn.XLOOKUP(tbl_encuesta[[#This Row],[Me siento motivado a dar lo mejor de mí y hacer un buen trabajo]],#REF!,#REF!)</f>
        <v>#REF!</v>
      </c>
      <c r="J1389" t="s">
        <v>23</v>
      </c>
      <c r="K1389" t="e">
        <f>+_xlfn.XLOOKUP(tbl_encuesta[[#This Row],[Mi supervisor o jefe directo me otorga el soporte que necesito para afrontar cualquier problema que afecte mi trabajo]],#REF!,#REF!)</f>
        <v>#REF!</v>
      </c>
      <c r="L1389" t="s">
        <v>23</v>
      </c>
      <c r="M1389" t="e">
        <f>+_xlfn.XLOOKUP(tbl_encuesta[[#This Row],[Mi supervisor o jefe directo fomenta que nos apoyemos entre todos en el equipo]],#REF!,#REF!)</f>
        <v>#REF!</v>
      </c>
      <c r="N1389" t="s">
        <v>22</v>
      </c>
      <c r="O1389" t="e">
        <f>+_xlfn.XLOOKUP(tbl_encuesta[[#This Row],[Siento que mi trabajo es reconocido por mi supervisor o jefe directo.]],#REF!,#REF!)</f>
        <v>#REF!</v>
      </c>
      <c r="P1389" t="s">
        <v>31</v>
      </c>
      <c r="Q1389" t="e">
        <f xml:space="preserve">
_xlfn.XLOOKUP(
tbl_encuesta[[#This Row],[Mi supervisor o jefe directo nos brinda charlas de 5 minutos y comunica las novedades relevantes a mi puesto de trabajo]],#REF!,#REF!
)</f>
        <v>#REF!</v>
      </c>
      <c r="R1389" t="s">
        <v>17</v>
      </c>
      <c r="S1389" t="s">
        <v>18</v>
      </c>
      <c r="W1389" t="s">
        <v>25</v>
      </c>
      <c r="X1389" t="s">
        <v>23</v>
      </c>
      <c r="Y1389" t="e">
        <f>+_xlfn.XLOOKUP(tbl_encuesta[[#This Row],[Considero a Limtek como un buen lugar para trabajar]],#REF!,#REF!)</f>
        <v>#REF!</v>
      </c>
      <c r="Z1389" t="s">
        <v>145</v>
      </c>
      <c r="AA1389" t="s">
        <v>3418</v>
      </c>
      <c r="AB1389" t="s">
        <v>28</v>
      </c>
      <c r="AC1389" s="3" t="s">
        <v>3714</v>
      </c>
      <c r="AD1389" s="3" t="s">
        <v>3724</v>
      </c>
      <c r="AE1389" t="s">
        <v>29</v>
      </c>
    </row>
    <row r="1390" spans="1:31" x14ac:dyDescent="0.25">
      <c r="A1390">
        <v>119025612609</v>
      </c>
      <c r="B1390">
        <v>462598545</v>
      </c>
      <c r="C1390" s="1">
        <v>46014.322187500002</v>
      </c>
      <c r="D1390" s="1">
        <v>46014.325798611113</v>
      </c>
      <c r="E1390" t="s">
        <v>3420</v>
      </c>
      <c r="F1390" t="s">
        <v>23</v>
      </c>
      <c r="G1390" t="e">
        <f>+_xlfn.XLOOKUP(tbl_encuesta[[#This Row],[Me siento a gusto con el ambiente de trabajo que se genera en mi equipo.]],#REF!,#REF!)</f>
        <v>#REF!</v>
      </c>
      <c r="H1390" t="s">
        <v>23</v>
      </c>
      <c r="I1390" t="e">
        <f>+_xlfn.XLOOKUP(tbl_encuesta[[#This Row],[Me siento motivado a dar lo mejor de mí y hacer un buen trabajo]],#REF!,#REF!)</f>
        <v>#REF!</v>
      </c>
      <c r="J1390" t="s">
        <v>23</v>
      </c>
      <c r="K1390" t="e">
        <f>+_xlfn.XLOOKUP(tbl_encuesta[[#This Row],[Mi supervisor o jefe directo me otorga el soporte que necesito para afrontar cualquier problema que afecte mi trabajo]],#REF!,#REF!)</f>
        <v>#REF!</v>
      </c>
      <c r="L1390" t="s">
        <v>23</v>
      </c>
      <c r="M1390" t="e">
        <f>+_xlfn.XLOOKUP(tbl_encuesta[[#This Row],[Mi supervisor o jefe directo fomenta que nos apoyemos entre todos en el equipo]],#REF!,#REF!)</f>
        <v>#REF!</v>
      </c>
      <c r="N1390" t="s">
        <v>23</v>
      </c>
      <c r="O1390" t="e">
        <f>+_xlfn.XLOOKUP(tbl_encuesta[[#This Row],[Siento que mi trabajo es reconocido por mi supervisor o jefe directo.]],#REF!,#REF!)</f>
        <v>#REF!</v>
      </c>
      <c r="P1390" t="s">
        <v>31</v>
      </c>
      <c r="Q1390" t="e">
        <f xml:space="preserve">
_xlfn.XLOOKUP(
tbl_encuesta[[#This Row],[Mi supervisor o jefe directo nos brinda charlas de 5 minutos y comunica las novedades relevantes a mi puesto de trabajo]],#REF!,#REF!
)</f>
        <v>#REF!</v>
      </c>
      <c r="R1390" t="s">
        <v>17</v>
      </c>
      <c r="U1390" t="s">
        <v>20</v>
      </c>
      <c r="W1390" t="s">
        <v>25</v>
      </c>
      <c r="X1390" t="s">
        <v>23</v>
      </c>
      <c r="Y1390" t="e">
        <f>+_xlfn.XLOOKUP(tbl_encuesta[[#This Row],[Considero a Limtek como un buen lugar para trabajar]],#REF!,#REF!)</f>
        <v>#REF!</v>
      </c>
      <c r="Z1390" t="s">
        <v>3421</v>
      </c>
      <c r="AA1390" t="s">
        <v>3422</v>
      </c>
      <c r="AB1390" t="s">
        <v>28</v>
      </c>
      <c r="AC1390" s="3" t="s">
        <v>3729</v>
      </c>
      <c r="AD1390" s="3" t="s">
        <v>3730</v>
      </c>
      <c r="AE1390" t="s">
        <v>55</v>
      </c>
    </row>
    <row r="1391" spans="1:31" x14ac:dyDescent="0.25">
      <c r="A1391">
        <v>119025611207</v>
      </c>
      <c r="B1391">
        <v>462598545</v>
      </c>
      <c r="C1391" s="1">
        <v>46014.321956018517</v>
      </c>
      <c r="D1391" s="1">
        <v>46014.323113425926</v>
      </c>
      <c r="E1391" t="s">
        <v>3423</v>
      </c>
      <c r="F1391" t="s">
        <v>23</v>
      </c>
      <c r="G1391" t="e">
        <f>+_xlfn.XLOOKUP(tbl_encuesta[[#This Row],[Me siento a gusto con el ambiente de trabajo que se genera en mi equipo.]],#REF!,#REF!)</f>
        <v>#REF!</v>
      </c>
      <c r="H1391" t="s">
        <v>23</v>
      </c>
      <c r="I1391" t="e">
        <f>+_xlfn.XLOOKUP(tbl_encuesta[[#This Row],[Me siento motivado a dar lo mejor de mí y hacer un buen trabajo]],#REF!,#REF!)</f>
        <v>#REF!</v>
      </c>
      <c r="J1391" t="s">
        <v>23</v>
      </c>
      <c r="K1391" t="e">
        <f>+_xlfn.XLOOKUP(tbl_encuesta[[#This Row],[Mi supervisor o jefe directo me otorga el soporte que necesito para afrontar cualquier problema que afecte mi trabajo]],#REF!,#REF!)</f>
        <v>#REF!</v>
      </c>
      <c r="L1391" t="s">
        <v>23</v>
      </c>
      <c r="M1391" t="e">
        <f>+_xlfn.XLOOKUP(tbl_encuesta[[#This Row],[Mi supervisor o jefe directo fomenta que nos apoyemos entre todos en el equipo]],#REF!,#REF!)</f>
        <v>#REF!</v>
      </c>
      <c r="N1391" t="s">
        <v>23</v>
      </c>
      <c r="O1391" t="e">
        <f>+_xlfn.XLOOKUP(tbl_encuesta[[#This Row],[Siento que mi trabajo es reconocido por mi supervisor o jefe directo.]],#REF!,#REF!)</f>
        <v>#REF!</v>
      </c>
      <c r="P1391" t="s">
        <v>31</v>
      </c>
      <c r="Q1391" t="e">
        <f xml:space="preserve">
_xlfn.XLOOKUP(
tbl_encuesta[[#This Row],[Mi supervisor o jefe directo nos brinda charlas de 5 minutos y comunica las novedades relevantes a mi puesto de trabajo]],#REF!,#REF!
)</f>
        <v>#REF!</v>
      </c>
      <c r="R1391" t="s">
        <v>17</v>
      </c>
      <c r="W1391" t="s">
        <v>25</v>
      </c>
      <c r="X1391" t="s">
        <v>23</v>
      </c>
      <c r="Y1391" t="e">
        <f>+_xlfn.XLOOKUP(tbl_encuesta[[#This Row],[Considero a Limtek como un buen lugar para trabajar]],#REF!,#REF!)</f>
        <v>#REF!</v>
      </c>
      <c r="Z1391" t="s">
        <v>3424</v>
      </c>
      <c r="AA1391" t="s">
        <v>638</v>
      </c>
      <c r="AB1391" t="s">
        <v>28</v>
      </c>
      <c r="AC1391" s="3" t="s">
        <v>3716</v>
      </c>
      <c r="AD1391" s="3" t="s">
        <v>3720</v>
      </c>
      <c r="AE1391" t="s">
        <v>69</v>
      </c>
    </row>
    <row r="1392" spans="1:31" x14ac:dyDescent="0.25">
      <c r="A1392">
        <v>119025609787</v>
      </c>
      <c r="B1392">
        <v>462598545</v>
      </c>
      <c r="C1392" s="1">
        <v>46014.319131944445</v>
      </c>
      <c r="D1392" s="1">
        <v>46014.320324074077</v>
      </c>
      <c r="E1392" t="s">
        <v>3425</v>
      </c>
      <c r="F1392" t="s">
        <v>23</v>
      </c>
      <c r="G1392" t="e">
        <f>+_xlfn.XLOOKUP(tbl_encuesta[[#This Row],[Me siento a gusto con el ambiente de trabajo que se genera en mi equipo.]],#REF!,#REF!)</f>
        <v>#REF!</v>
      </c>
      <c r="H1392" t="s">
        <v>23</v>
      </c>
      <c r="I1392" t="e">
        <f>+_xlfn.XLOOKUP(tbl_encuesta[[#This Row],[Me siento motivado a dar lo mejor de mí y hacer un buen trabajo]],#REF!,#REF!)</f>
        <v>#REF!</v>
      </c>
      <c r="J1392" t="s">
        <v>23</v>
      </c>
      <c r="K1392" t="e">
        <f>+_xlfn.XLOOKUP(tbl_encuesta[[#This Row],[Mi supervisor o jefe directo me otorga el soporte que necesito para afrontar cualquier problema que afecte mi trabajo]],#REF!,#REF!)</f>
        <v>#REF!</v>
      </c>
      <c r="L1392" t="s">
        <v>23</v>
      </c>
      <c r="M1392" t="e">
        <f>+_xlfn.XLOOKUP(tbl_encuesta[[#This Row],[Mi supervisor o jefe directo fomenta que nos apoyemos entre todos en el equipo]],#REF!,#REF!)</f>
        <v>#REF!</v>
      </c>
      <c r="N1392" t="s">
        <v>22</v>
      </c>
      <c r="O1392" t="e">
        <f>+_xlfn.XLOOKUP(tbl_encuesta[[#This Row],[Siento que mi trabajo es reconocido por mi supervisor o jefe directo.]],#REF!,#REF!)</f>
        <v>#REF!</v>
      </c>
      <c r="P1392" t="s">
        <v>31</v>
      </c>
      <c r="Q1392" t="e">
        <f xml:space="preserve">
_xlfn.XLOOKUP(
tbl_encuesta[[#This Row],[Mi supervisor o jefe directo nos brinda charlas de 5 minutos y comunica las novedades relevantes a mi puesto de trabajo]],#REF!,#REF!
)</f>
        <v>#REF!</v>
      </c>
      <c r="R1392" t="s">
        <v>17</v>
      </c>
      <c r="T1392" t="s">
        <v>19</v>
      </c>
      <c r="W1392" t="s">
        <v>25</v>
      </c>
      <c r="X1392" t="s">
        <v>23</v>
      </c>
      <c r="Y1392" t="e">
        <f>+_xlfn.XLOOKUP(tbl_encuesta[[#This Row],[Considero a Limtek como un buen lugar para trabajar]],#REF!,#REF!)</f>
        <v>#REF!</v>
      </c>
      <c r="Z1392" t="s">
        <v>1483</v>
      </c>
      <c r="AA1392" t="s">
        <v>3426</v>
      </c>
      <c r="AB1392" t="s">
        <v>28</v>
      </c>
      <c r="AC1392" s="3" t="s">
        <v>3716</v>
      </c>
      <c r="AD1392" s="3" t="s">
        <v>3720</v>
      </c>
      <c r="AE1392" t="s">
        <v>34</v>
      </c>
    </row>
    <row r="1393" spans="1:31" x14ac:dyDescent="0.25">
      <c r="A1393">
        <v>119025603160</v>
      </c>
      <c r="B1393">
        <v>462598545</v>
      </c>
      <c r="C1393" s="1">
        <v>46014.304351851853</v>
      </c>
      <c r="D1393" s="1">
        <v>46014.307326388887</v>
      </c>
      <c r="E1393" t="s">
        <v>3427</v>
      </c>
      <c r="F1393" t="s">
        <v>22</v>
      </c>
      <c r="G1393" t="e">
        <f>+_xlfn.XLOOKUP(tbl_encuesta[[#This Row],[Me siento a gusto con el ambiente de trabajo que se genera en mi equipo.]],#REF!,#REF!)</f>
        <v>#REF!</v>
      </c>
      <c r="H1393" t="s">
        <v>23</v>
      </c>
      <c r="I1393" t="e">
        <f>+_xlfn.XLOOKUP(tbl_encuesta[[#This Row],[Me siento motivado a dar lo mejor de mí y hacer un buen trabajo]],#REF!,#REF!)</f>
        <v>#REF!</v>
      </c>
      <c r="J1393" t="s">
        <v>22</v>
      </c>
      <c r="K1393" t="e">
        <f>+_xlfn.XLOOKUP(tbl_encuesta[[#This Row],[Mi supervisor o jefe directo me otorga el soporte que necesito para afrontar cualquier problema que afecte mi trabajo]],#REF!,#REF!)</f>
        <v>#REF!</v>
      </c>
      <c r="L1393" t="s">
        <v>22</v>
      </c>
      <c r="M1393" t="e">
        <f>+_xlfn.XLOOKUP(tbl_encuesta[[#This Row],[Mi supervisor o jefe directo fomenta que nos apoyemos entre todos en el equipo]],#REF!,#REF!)</f>
        <v>#REF!</v>
      </c>
      <c r="N1393" t="s">
        <v>97</v>
      </c>
      <c r="O1393" t="e">
        <f>+_xlfn.XLOOKUP(tbl_encuesta[[#This Row],[Siento que mi trabajo es reconocido por mi supervisor o jefe directo.]],#REF!,#REF!)</f>
        <v>#REF!</v>
      </c>
      <c r="P1393" t="s">
        <v>67</v>
      </c>
      <c r="Q1393" t="e">
        <f xml:space="preserve">
_xlfn.XLOOKUP(
tbl_encuesta[[#This Row],[Mi supervisor o jefe directo nos brinda charlas de 5 minutos y comunica las novedades relevantes a mi puesto de trabajo]],#REF!,#REF!
)</f>
        <v>#REF!</v>
      </c>
      <c r="U1393" t="s">
        <v>20</v>
      </c>
      <c r="W1393" t="s">
        <v>25</v>
      </c>
      <c r="X1393" t="s">
        <v>22</v>
      </c>
      <c r="Y1393" t="e">
        <f>+_xlfn.XLOOKUP(tbl_encuesta[[#This Row],[Considero a Limtek como un buen lugar para trabajar]],#REF!,#REF!)</f>
        <v>#REF!</v>
      </c>
      <c r="Z1393" t="s">
        <v>193</v>
      </c>
      <c r="AA1393" t="s">
        <v>3428</v>
      </c>
      <c r="AB1393" t="s">
        <v>28</v>
      </c>
      <c r="AC1393" s="3" t="s">
        <v>3714</v>
      </c>
      <c r="AD1393" s="3" t="s">
        <v>3715</v>
      </c>
      <c r="AE1393" t="s">
        <v>29</v>
      </c>
    </row>
    <row r="1394" spans="1:31" x14ac:dyDescent="0.25">
      <c r="A1394">
        <v>119025603137</v>
      </c>
      <c r="B1394">
        <v>462598545</v>
      </c>
      <c r="C1394" s="1">
        <v>46014.303124999999</v>
      </c>
      <c r="D1394" s="1">
        <v>46014.307291666664</v>
      </c>
      <c r="E1394" t="s">
        <v>2406</v>
      </c>
      <c r="F1394" t="s">
        <v>23</v>
      </c>
      <c r="G1394" t="e">
        <f>+_xlfn.XLOOKUP(tbl_encuesta[[#This Row],[Me siento a gusto con el ambiente de trabajo que se genera en mi equipo.]],#REF!,#REF!)</f>
        <v>#REF!</v>
      </c>
      <c r="H1394" t="s">
        <v>23</v>
      </c>
      <c r="I1394" t="e">
        <f>+_xlfn.XLOOKUP(tbl_encuesta[[#This Row],[Me siento motivado a dar lo mejor de mí y hacer un buen trabajo]],#REF!,#REF!)</f>
        <v>#REF!</v>
      </c>
      <c r="J1394" t="s">
        <v>23</v>
      </c>
      <c r="K1394" t="e">
        <f>+_xlfn.XLOOKUP(tbl_encuesta[[#This Row],[Mi supervisor o jefe directo me otorga el soporte que necesito para afrontar cualquier problema que afecte mi trabajo]],#REF!,#REF!)</f>
        <v>#REF!</v>
      </c>
      <c r="L1394" t="s">
        <v>23</v>
      </c>
      <c r="M1394" t="e">
        <f>+_xlfn.XLOOKUP(tbl_encuesta[[#This Row],[Mi supervisor o jefe directo fomenta que nos apoyemos entre todos en el equipo]],#REF!,#REF!)</f>
        <v>#REF!</v>
      </c>
      <c r="N1394" t="s">
        <v>23</v>
      </c>
      <c r="O1394" t="e">
        <f>+_xlfn.XLOOKUP(tbl_encuesta[[#This Row],[Siento que mi trabajo es reconocido por mi supervisor o jefe directo.]],#REF!,#REF!)</f>
        <v>#REF!</v>
      </c>
      <c r="P1394" t="s">
        <v>31</v>
      </c>
      <c r="Q1394" t="e">
        <f xml:space="preserve">
_xlfn.XLOOKUP(
tbl_encuesta[[#This Row],[Mi supervisor o jefe directo nos brinda charlas de 5 minutos y comunica las novedades relevantes a mi puesto de trabajo]],#REF!,#REF!
)</f>
        <v>#REF!</v>
      </c>
      <c r="R1394" t="s">
        <v>17</v>
      </c>
      <c r="U1394" t="s">
        <v>20</v>
      </c>
      <c r="W1394" t="s">
        <v>25</v>
      </c>
      <c r="X1394" t="s">
        <v>23</v>
      </c>
      <c r="Y1394" t="e">
        <f>+_xlfn.XLOOKUP(tbl_encuesta[[#This Row],[Considero a Limtek como un buen lugar para trabajar]],#REF!,#REF!)</f>
        <v>#REF!</v>
      </c>
      <c r="Z1394" t="s">
        <v>3429</v>
      </c>
      <c r="AA1394" t="s">
        <v>3430</v>
      </c>
      <c r="AB1394" t="s">
        <v>28</v>
      </c>
      <c r="AC1394" s="3" t="s">
        <v>3729</v>
      </c>
      <c r="AD1394" s="3" t="s">
        <v>3730</v>
      </c>
      <c r="AE1394" t="s">
        <v>61</v>
      </c>
    </row>
    <row r="1395" spans="1:31" x14ac:dyDescent="0.25">
      <c r="A1395">
        <v>119025602817</v>
      </c>
      <c r="B1395">
        <v>462598545</v>
      </c>
      <c r="C1395" s="1">
        <v>46014.303611111114</v>
      </c>
      <c r="D1395" s="1">
        <v>46014.306643518517</v>
      </c>
      <c r="E1395" t="s">
        <v>2406</v>
      </c>
      <c r="F1395" t="s">
        <v>23</v>
      </c>
      <c r="G1395" t="e">
        <f>+_xlfn.XLOOKUP(tbl_encuesta[[#This Row],[Me siento a gusto con el ambiente de trabajo que se genera en mi equipo.]],#REF!,#REF!)</f>
        <v>#REF!</v>
      </c>
      <c r="H1395" t="s">
        <v>23</v>
      </c>
      <c r="I1395" t="e">
        <f>+_xlfn.XLOOKUP(tbl_encuesta[[#This Row],[Me siento motivado a dar lo mejor de mí y hacer un buen trabajo]],#REF!,#REF!)</f>
        <v>#REF!</v>
      </c>
      <c r="J1395" t="s">
        <v>23</v>
      </c>
      <c r="K1395" t="e">
        <f>+_xlfn.XLOOKUP(tbl_encuesta[[#This Row],[Mi supervisor o jefe directo me otorga el soporte que necesito para afrontar cualquier problema que afecte mi trabajo]],#REF!,#REF!)</f>
        <v>#REF!</v>
      </c>
      <c r="L1395" t="s">
        <v>23</v>
      </c>
      <c r="M1395" t="e">
        <f>+_xlfn.XLOOKUP(tbl_encuesta[[#This Row],[Mi supervisor o jefe directo fomenta que nos apoyemos entre todos en el equipo]],#REF!,#REF!)</f>
        <v>#REF!</v>
      </c>
      <c r="N1395" t="s">
        <v>23</v>
      </c>
      <c r="O1395" t="e">
        <f>+_xlfn.XLOOKUP(tbl_encuesta[[#This Row],[Siento que mi trabajo es reconocido por mi supervisor o jefe directo.]],#REF!,#REF!)</f>
        <v>#REF!</v>
      </c>
      <c r="P1395" t="s">
        <v>31</v>
      </c>
      <c r="Q1395" t="e">
        <f xml:space="preserve">
_xlfn.XLOOKUP(
tbl_encuesta[[#This Row],[Mi supervisor o jefe directo nos brinda charlas de 5 minutos y comunica las novedades relevantes a mi puesto de trabajo]],#REF!,#REF!
)</f>
        <v>#REF!</v>
      </c>
      <c r="S1395" t="s">
        <v>18</v>
      </c>
      <c r="U1395" t="s">
        <v>20</v>
      </c>
      <c r="W1395" t="s">
        <v>25</v>
      </c>
      <c r="X1395" t="s">
        <v>23</v>
      </c>
      <c r="Y1395" t="e">
        <f>+_xlfn.XLOOKUP(tbl_encuesta[[#This Row],[Considero a Limtek como un buen lugar para trabajar]],#REF!,#REF!)</f>
        <v>#REF!</v>
      </c>
      <c r="Z1395" t="s">
        <v>213</v>
      </c>
      <c r="AA1395" t="s">
        <v>3431</v>
      </c>
      <c r="AB1395" t="s">
        <v>28</v>
      </c>
      <c r="AC1395" s="3" t="s">
        <v>3729</v>
      </c>
      <c r="AD1395" s="3" t="s">
        <v>3730</v>
      </c>
      <c r="AE1395" t="s">
        <v>55</v>
      </c>
    </row>
    <row r="1396" spans="1:31" x14ac:dyDescent="0.25">
      <c r="A1396">
        <v>119025602151</v>
      </c>
      <c r="B1396">
        <v>462598545</v>
      </c>
      <c r="C1396" s="1">
        <v>46014.303935185184</v>
      </c>
      <c r="D1396" s="1">
        <v>46014.30537037037</v>
      </c>
      <c r="E1396" t="s">
        <v>2406</v>
      </c>
      <c r="F1396" t="s">
        <v>23</v>
      </c>
      <c r="G1396" t="e">
        <f>+_xlfn.XLOOKUP(tbl_encuesta[[#This Row],[Me siento a gusto con el ambiente de trabajo que se genera en mi equipo.]],#REF!,#REF!)</f>
        <v>#REF!</v>
      </c>
      <c r="H1396" t="s">
        <v>23</v>
      </c>
      <c r="I1396" t="e">
        <f>+_xlfn.XLOOKUP(tbl_encuesta[[#This Row],[Me siento motivado a dar lo mejor de mí y hacer un buen trabajo]],#REF!,#REF!)</f>
        <v>#REF!</v>
      </c>
      <c r="J1396" t="s">
        <v>23</v>
      </c>
      <c r="K1396" t="e">
        <f>+_xlfn.XLOOKUP(tbl_encuesta[[#This Row],[Mi supervisor o jefe directo me otorga el soporte que necesito para afrontar cualquier problema que afecte mi trabajo]],#REF!,#REF!)</f>
        <v>#REF!</v>
      </c>
      <c r="L1396" t="s">
        <v>23</v>
      </c>
      <c r="M1396" t="e">
        <f>+_xlfn.XLOOKUP(tbl_encuesta[[#This Row],[Mi supervisor o jefe directo fomenta que nos apoyemos entre todos en el equipo]],#REF!,#REF!)</f>
        <v>#REF!</v>
      </c>
      <c r="N1396" t="s">
        <v>23</v>
      </c>
      <c r="O1396" t="e">
        <f>+_xlfn.XLOOKUP(tbl_encuesta[[#This Row],[Siento que mi trabajo es reconocido por mi supervisor o jefe directo.]],#REF!,#REF!)</f>
        <v>#REF!</v>
      </c>
      <c r="P1396" t="s">
        <v>31</v>
      </c>
      <c r="Q1396" t="e">
        <f xml:space="preserve">
_xlfn.XLOOKUP(
tbl_encuesta[[#This Row],[Mi supervisor o jefe directo nos brinda charlas de 5 minutos y comunica las novedades relevantes a mi puesto de trabajo]],#REF!,#REF!
)</f>
        <v>#REF!</v>
      </c>
      <c r="R1396" t="s">
        <v>17</v>
      </c>
      <c r="U1396" t="s">
        <v>20</v>
      </c>
      <c r="W1396" t="s">
        <v>25</v>
      </c>
      <c r="X1396" t="s">
        <v>22</v>
      </c>
      <c r="Y1396" t="e">
        <f>+_xlfn.XLOOKUP(tbl_encuesta[[#This Row],[Considero a Limtek como un buen lugar para trabajar]],#REF!,#REF!)</f>
        <v>#REF!</v>
      </c>
      <c r="Z1396" t="s">
        <v>3432</v>
      </c>
      <c r="AA1396" t="s">
        <v>3433</v>
      </c>
      <c r="AB1396" t="s">
        <v>28</v>
      </c>
      <c r="AC1396" s="3" t="s">
        <v>3729</v>
      </c>
      <c r="AD1396" s="3" t="s">
        <v>3729</v>
      </c>
      <c r="AE1396" t="s">
        <v>55</v>
      </c>
    </row>
    <row r="1397" spans="1:31" x14ac:dyDescent="0.25">
      <c r="A1397">
        <v>119025601235</v>
      </c>
      <c r="B1397">
        <v>462598545</v>
      </c>
      <c r="C1397" s="1">
        <v>46014.301655092589</v>
      </c>
      <c r="D1397" s="1">
        <v>46014.30363425926</v>
      </c>
      <c r="E1397" t="s">
        <v>3434</v>
      </c>
      <c r="F1397" t="s">
        <v>23</v>
      </c>
      <c r="G1397" t="e">
        <f>+_xlfn.XLOOKUP(tbl_encuesta[[#This Row],[Me siento a gusto con el ambiente de trabajo que se genera en mi equipo.]],#REF!,#REF!)</f>
        <v>#REF!</v>
      </c>
      <c r="H1397" t="s">
        <v>23</v>
      </c>
      <c r="I1397" t="e">
        <f>+_xlfn.XLOOKUP(tbl_encuesta[[#This Row],[Me siento motivado a dar lo mejor de mí y hacer un buen trabajo]],#REF!,#REF!)</f>
        <v>#REF!</v>
      </c>
      <c r="J1397" t="s">
        <v>23</v>
      </c>
      <c r="K1397" t="e">
        <f>+_xlfn.XLOOKUP(tbl_encuesta[[#This Row],[Mi supervisor o jefe directo me otorga el soporte que necesito para afrontar cualquier problema que afecte mi trabajo]],#REF!,#REF!)</f>
        <v>#REF!</v>
      </c>
      <c r="L1397" t="s">
        <v>23</v>
      </c>
      <c r="M1397" t="e">
        <f>+_xlfn.XLOOKUP(tbl_encuesta[[#This Row],[Mi supervisor o jefe directo fomenta que nos apoyemos entre todos en el equipo]],#REF!,#REF!)</f>
        <v>#REF!</v>
      </c>
      <c r="N1397" t="s">
        <v>23</v>
      </c>
      <c r="O1397" t="e">
        <f>+_xlfn.XLOOKUP(tbl_encuesta[[#This Row],[Siento que mi trabajo es reconocido por mi supervisor o jefe directo.]],#REF!,#REF!)</f>
        <v>#REF!</v>
      </c>
      <c r="P1397" t="s">
        <v>31</v>
      </c>
      <c r="Q1397" t="e">
        <f xml:space="preserve">
_xlfn.XLOOKUP(
tbl_encuesta[[#This Row],[Mi supervisor o jefe directo nos brinda charlas de 5 minutos y comunica las novedades relevantes a mi puesto de trabajo]],#REF!,#REF!
)</f>
        <v>#REF!</v>
      </c>
      <c r="S1397" t="s">
        <v>18</v>
      </c>
      <c r="W1397" t="s">
        <v>25</v>
      </c>
      <c r="X1397" t="s">
        <v>23</v>
      </c>
      <c r="Y1397" t="e">
        <f>+_xlfn.XLOOKUP(tbl_encuesta[[#This Row],[Considero a Limtek como un buen lugar para trabajar]],#REF!,#REF!)</f>
        <v>#REF!</v>
      </c>
      <c r="Z1397" t="s">
        <v>3435</v>
      </c>
      <c r="AA1397" t="s">
        <v>3436</v>
      </c>
      <c r="AB1397" t="s">
        <v>28</v>
      </c>
      <c r="AC1397" s="3" t="s">
        <v>3714</v>
      </c>
      <c r="AD1397" s="3" t="s">
        <v>3714</v>
      </c>
      <c r="AE1397" t="s">
        <v>61</v>
      </c>
    </row>
    <row r="1398" spans="1:31" x14ac:dyDescent="0.25">
      <c r="A1398">
        <v>119025600594</v>
      </c>
      <c r="B1398">
        <v>462598545</v>
      </c>
      <c r="C1398" s="1">
        <v>46014.300405092596</v>
      </c>
      <c r="D1398" s="1">
        <v>46014.302337962959</v>
      </c>
      <c r="E1398" t="s">
        <v>3437</v>
      </c>
      <c r="F1398" t="s">
        <v>97</v>
      </c>
      <c r="G1398" t="e">
        <f>+_xlfn.XLOOKUP(tbl_encuesta[[#This Row],[Me siento a gusto con el ambiente de trabajo que se genera en mi equipo.]],#REF!,#REF!)</f>
        <v>#REF!</v>
      </c>
      <c r="H1398" t="s">
        <v>97</v>
      </c>
      <c r="I1398" t="e">
        <f>+_xlfn.XLOOKUP(tbl_encuesta[[#This Row],[Me siento motivado a dar lo mejor de mí y hacer un buen trabajo]],#REF!,#REF!)</f>
        <v>#REF!</v>
      </c>
      <c r="J1398" t="s">
        <v>22</v>
      </c>
      <c r="K1398" t="e">
        <f>+_xlfn.XLOOKUP(tbl_encuesta[[#This Row],[Mi supervisor o jefe directo me otorga el soporte que necesito para afrontar cualquier problema que afecte mi trabajo]],#REF!,#REF!)</f>
        <v>#REF!</v>
      </c>
      <c r="L1398" t="s">
        <v>97</v>
      </c>
      <c r="M1398" t="e">
        <f>+_xlfn.XLOOKUP(tbl_encuesta[[#This Row],[Mi supervisor o jefe directo fomenta que nos apoyemos entre todos en el equipo]],#REF!,#REF!)</f>
        <v>#REF!</v>
      </c>
      <c r="N1398" t="s">
        <v>43</v>
      </c>
      <c r="O1398" t="e">
        <f>+_xlfn.XLOOKUP(tbl_encuesta[[#This Row],[Siento que mi trabajo es reconocido por mi supervisor o jefe directo.]],#REF!,#REF!)</f>
        <v>#REF!</v>
      </c>
      <c r="P1398" t="s">
        <v>67</v>
      </c>
      <c r="Q1398" t="e">
        <f xml:space="preserve">
_xlfn.XLOOKUP(
tbl_encuesta[[#This Row],[Mi supervisor o jefe directo nos brinda charlas de 5 minutos y comunica las novedades relevantes a mi puesto de trabajo]],#REF!,#REF!
)</f>
        <v>#REF!</v>
      </c>
      <c r="U1398" t="s">
        <v>20</v>
      </c>
      <c r="V1398" t="s">
        <v>3438</v>
      </c>
      <c r="W1398" t="s">
        <v>46</v>
      </c>
      <c r="X1398" t="s">
        <v>97</v>
      </c>
      <c r="Y1398" t="e">
        <f>+_xlfn.XLOOKUP(tbl_encuesta[[#This Row],[Considero a Limtek como un buen lugar para trabajar]],#REF!,#REF!)</f>
        <v>#REF!</v>
      </c>
      <c r="Z1398" t="s">
        <v>122</v>
      </c>
      <c r="AA1398" t="s">
        <v>3439</v>
      </c>
      <c r="AB1398" t="s">
        <v>28</v>
      </c>
      <c r="AC1398" s="3" t="s">
        <v>3714</v>
      </c>
      <c r="AD1398" s="3" t="s">
        <v>3714</v>
      </c>
      <c r="AE1398" t="s">
        <v>29</v>
      </c>
    </row>
    <row r="1399" spans="1:31" x14ac:dyDescent="0.25">
      <c r="A1399">
        <v>119025600478</v>
      </c>
      <c r="B1399">
        <v>462598545</v>
      </c>
      <c r="C1399" s="1">
        <v>46014.298622685186</v>
      </c>
      <c r="D1399" s="1">
        <v>46014.302118055559</v>
      </c>
      <c r="E1399" t="s">
        <v>3440</v>
      </c>
      <c r="F1399" t="s">
        <v>23</v>
      </c>
      <c r="G1399" t="e">
        <f>+_xlfn.XLOOKUP(tbl_encuesta[[#This Row],[Me siento a gusto con el ambiente de trabajo que se genera en mi equipo.]],#REF!,#REF!)</f>
        <v>#REF!</v>
      </c>
      <c r="H1399" t="s">
        <v>23</v>
      </c>
      <c r="I1399" t="e">
        <f>+_xlfn.XLOOKUP(tbl_encuesta[[#This Row],[Me siento motivado a dar lo mejor de mí y hacer un buen trabajo]],#REF!,#REF!)</f>
        <v>#REF!</v>
      </c>
      <c r="J1399" t="s">
        <v>23</v>
      </c>
      <c r="K1399" t="e">
        <f>+_xlfn.XLOOKUP(tbl_encuesta[[#This Row],[Mi supervisor o jefe directo me otorga el soporte que necesito para afrontar cualquier problema que afecte mi trabajo]],#REF!,#REF!)</f>
        <v>#REF!</v>
      </c>
      <c r="L1399" t="s">
        <v>23</v>
      </c>
      <c r="M1399" t="e">
        <f>+_xlfn.XLOOKUP(tbl_encuesta[[#This Row],[Mi supervisor o jefe directo fomenta que nos apoyemos entre todos en el equipo]],#REF!,#REF!)</f>
        <v>#REF!</v>
      </c>
      <c r="N1399" t="s">
        <v>23</v>
      </c>
      <c r="O1399" t="e">
        <f>+_xlfn.XLOOKUP(tbl_encuesta[[#This Row],[Siento que mi trabajo es reconocido por mi supervisor o jefe directo.]],#REF!,#REF!)</f>
        <v>#REF!</v>
      </c>
      <c r="P1399" t="s">
        <v>31</v>
      </c>
      <c r="Q1399" t="e">
        <f xml:space="preserve">
_xlfn.XLOOKUP(
tbl_encuesta[[#This Row],[Mi supervisor o jefe directo nos brinda charlas de 5 minutos y comunica las novedades relevantes a mi puesto de trabajo]],#REF!,#REF!
)</f>
        <v>#REF!</v>
      </c>
      <c r="S1399" t="s">
        <v>18</v>
      </c>
      <c r="W1399" t="s">
        <v>25</v>
      </c>
      <c r="X1399" t="s">
        <v>23</v>
      </c>
      <c r="Y1399" t="e">
        <f>+_xlfn.XLOOKUP(tbl_encuesta[[#This Row],[Considero a Limtek como un buen lugar para trabajar]],#REF!,#REF!)</f>
        <v>#REF!</v>
      </c>
      <c r="Z1399" t="s">
        <v>3441</v>
      </c>
      <c r="AA1399" t="s">
        <v>3442</v>
      </c>
      <c r="AB1399" t="s">
        <v>28</v>
      </c>
      <c r="AC1399" s="3" t="s">
        <v>3714</v>
      </c>
      <c r="AD1399" s="3" t="s">
        <v>3714</v>
      </c>
      <c r="AE1399" t="s">
        <v>69</v>
      </c>
    </row>
    <row r="1400" spans="1:31" x14ac:dyDescent="0.25">
      <c r="A1400">
        <v>119025598518</v>
      </c>
      <c r="B1400">
        <v>462598545</v>
      </c>
      <c r="C1400" s="1">
        <v>46014.296180555553</v>
      </c>
      <c r="D1400" s="1">
        <v>46014.298125000001</v>
      </c>
      <c r="E1400" t="s">
        <v>3443</v>
      </c>
      <c r="F1400" t="s">
        <v>43</v>
      </c>
      <c r="G1400" t="e">
        <f>+_xlfn.XLOOKUP(tbl_encuesta[[#This Row],[Me siento a gusto con el ambiente de trabajo que se genera en mi equipo.]],#REF!,#REF!)</f>
        <v>#REF!</v>
      </c>
      <c r="H1400" t="s">
        <v>23</v>
      </c>
      <c r="I1400" t="e">
        <f>+_xlfn.XLOOKUP(tbl_encuesta[[#This Row],[Me siento motivado a dar lo mejor de mí y hacer un buen trabajo]],#REF!,#REF!)</f>
        <v>#REF!</v>
      </c>
      <c r="J1400" t="s">
        <v>22</v>
      </c>
      <c r="K1400" t="e">
        <f>+_xlfn.XLOOKUP(tbl_encuesta[[#This Row],[Mi supervisor o jefe directo me otorga el soporte que necesito para afrontar cualquier problema que afecte mi trabajo]],#REF!,#REF!)</f>
        <v>#REF!</v>
      </c>
      <c r="L1400" t="s">
        <v>22</v>
      </c>
      <c r="M1400" t="e">
        <f>+_xlfn.XLOOKUP(tbl_encuesta[[#This Row],[Mi supervisor o jefe directo fomenta que nos apoyemos entre todos en el equipo]],#REF!,#REF!)</f>
        <v>#REF!</v>
      </c>
      <c r="N1400" t="s">
        <v>22</v>
      </c>
      <c r="O1400" t="e">
        <f>+_xlfn.XLOOKUP(tbl_encuesta[[#This Row],[Siento que mi trabajo es reconocido por mi supervisor o jefe directo.]],#REF!,#REF!)</f>
        <v>#REF!</v>
      </c>
      <c r="P1400" t="s">
        <v>31</v>
      </c>
      <c r="Q1400" t="e">
        <f xml:space="preserve">
_xlfn.XLOOKUP(
tbl_encuesta[[#This Row],[Mi supervisor o jefe directo nos brinda charlas de 5 minutos y comunica las novedades relevantes a mi puesto de trabajo]],#REF!,#REF!
)</f>
        <v>#REF!</v>
      </c>
      <c r="V1400" t="s">
        <v>2087</v>
      </c>
      <c r="W1400" t="s">
        <v>25</v>
      </c>
      <c r="X1400" t="s">
        <v>23</v>
      </c>
      <c r="Y1400" t="e">
        <f>+_xlfn.XLOOKUP(tbl_encuesta[[#This Row],[Considero a Limtek como un buen lugar para trabajar]],#REF!,#REF!)</f>
        <v>#REF!</v>
      </c>
      <c r="Z1400" t="s">
        <v>3444</v>
      </c>
      <c r="AA1400" t="s">
        <v>3445</v>
      </c>
      <c r="AB1400" t="s">
        <v>28</v>
      </c>
      <c r="AC1400" s="3" t="s">
        <v>3716</v>
      </c>
      <c r="AD1400" s="3" t="s">
        <v>3724</v>
      </c>
      <c r="AE1400" t="s">
        <v>29</v>
      </c>
    </row>
    <row r="1401" spans="1:31" x14ac:dyDescent="0.25">
      <c r="A1401">
        <v>119025598083</v>
      </c>
      <c r="B1401">
        <v>462598545</v>
      </c>
      <c r="C1401" s="1">
        <v>46014.295231481483</v>
      </c>
      <c r="D1401" s="1">
        <v>46014.297291666669</v>
      </c>
      <c r="E1401" t="s">
        <v>3446</v>
      </c>
      <c r="F1401" t="s">
        <v>22</v>
      </c>
      <c r="G1401" t="e">
        <f>+_xlfn.XLOOKUP(tbl_encuesta[[#This Row],[Me siento a gusto con el ambiente de trabajo que se genera en mi equipo.]],#REF!,#REF!)</f>
        <v>#REF!</v>
      </c>
      <c r="H1401" t="s">
        <v>23</v>
      </c>
      <c r="I1401" t="e">
        <f>+_xlfn.XLOOKUP(tbl_encuesta[[#This Row],[Me siento motivado a dar lo mejor de mí y hacer un buen trabajo]],#REF!,#REF!)</f>
        <v>#REF!</v>
      </c>
      <c r="J1401" t="s">
        <v>23</v>
      </c>
      <c r="K1401" t="e">
        <f>+_xlfn.XLOOKUP(tbl_encuesta[[#This Row],[Mi supervisor o jefe directo me otorga el soporte que necesito para afrontar cualquier problema que afecte mi trabajo]],#REF!,#REF!)</f>
        <v>#REF!</v>
      </c>
      <c r="L1401" t="s">
        <v>23</v>
      </c>
      <c r="M1401" t="e">
        <f>+_xlfn.XLOOKUP(tbl_encuesta[[#This Row],[Mi supervisor o jefe directo fomenta que nos apoyemos entre todos en el equipo]],#REF!,#REF!)</f>
        <v>#REF!</v>
      </c>
      <c r="N1401" t="s">
        <v>22</v>
      </c>
      <c r="O1401" t="e">
        <f>+_xlfn.XLOOKUP(tbl_encuesta[[#This Row],[Siento que mi trabajo es reconocido por mi supervisor o jefe directo.]],#REF!,#REF!)</f>
        <v>#REF!</v>
      </c>
      <c r="P1401" t="s">
        <v>31</v>
      </c>
      <c r="Q1401" t="e">
        <f xml:space="preserve">
_xlfn.XLOOKUP(
tbl_encuesta[[#This Row],[Mi supervisor o jefe directo nos brinda charlas de 5 minutos y comunica las novedades relevantes a mi puesto de trabajo]],#REF!,#REF!
)</f>
        <v>#REF!</v>
      </c>
      <c r="U1401" t="s">
        <v>20</v>
      </c>
      <c r="W1401" t="s">
        <v>25</v>
      </c>
      <c r="X1401" t="s">
        <v>22</v>
      </c>
      <c r="Y1401" t="e">
        <f>+_xlfn.XLOOKUP(tbl_encuesta[[#This Row],[Considero a Limtek como un buen lugar para trabajar]],#REF!,#REF!)</f>
        <v>#REF!</v>
      </c>
      <c r="Z1401" t="s">
        <v>3447</v>
      </c>
      <c r="AA1401" t="s">
        <v>3448</v>
      </c>
      <c r="AB1401" t="s">
        <v>28</v>
      </c>
      <c r="AC1401" s="3" t="s">
        <v>3714</v>
      </c>
      <c r="AD1401" s="3" t="s">
        <v>3714</v>
      </c>
      <c r="AE1401" t="s">
        <v>29</v>
      </c>
    </row>
    <row r="1402" spans="1:31" x14ac:dyDescent="0.25">
      <c r="A1402">
        <v>119025597975</v>
      </c>
      <c r="B1402">
        <v>462598545</v>
      </c>
      <c r="C1402" s="1">
        <v>46014.291180555556</v>
      </c>
      <c r="D1402" s="1">
        <v>46014.297060185185</v>
      </c>
      <c r="E1402" t="s">
        <v>3449</v>
      </c>
      <c r="F1402" t="s">
        <v>23</v>
      </c>
      <c r="G1402" t="e">
        <f>+_xlfn.XLOOKUP(tbl_encuesta[[#This Row],[Me siento a gusto con el ambiente de trabajo que se genera en mi equipo.]],#REF!,#REF!)</f>
        <v>#REF!</v>
      </c>
      <c r="H1402" t="s">
        <v>23</v>
      </c>
      <c r="I1402" t="e">
        <f>+_xlfn.XLOOKUP(tbl_encuesta[[#This Row],[Me siento motivado a dar lo mejor de mí y hacer un buen trabajo]],#REF!,#REF!)</f>
        <v>#REF!</v>
      </c>
      <c r="J1402" t="s">
        <v>23</v>
      </c>
      <c r="K1402" t="e">
        <f>+_xlfn.XLOOKUP(tbl_encuesta[[#This Row],[Mi supervisor o jefe directo me otorga el soporte que necesito para afrontar cualquier problema que afecte mi trabajo]],#REF!,#REF!)</f>
        <v>#REF!</v>
      </c>
      <c r="L1402" t="s">
        <v>23</v>
      </c>
      <c r="M1402" t="e">
        <f>+_xlfn.XLOOKUP(tbl_encuesta[[#This Row],[Mi supervisor o jefe directo fomenta que nos apoyemos entre todos en el equipo]],#REF!,#REF!)</f>
        <v>#REF!</v>
      </c>
      <c r="N1402" t="s">
        <v>23</v>
      </c>
      <c r="O1402" t="e">
        <f>+_xlfn.XLOOKUP(tbl_encuesta[[#This Row],[Siento que mi trabajo es reconocido por mi supervisor o jefe directo.]],#REF!,#REF!)</f>
        <v>#REF!</v>
      </c>
      <c r="P1402" t="s">
        <v>31</v>
      </c>
      <c r="Q1402" t="e">
        <f xml:space="preserve">
_xlfn.XLOOKUP(
tbl_encuesta[[#This Row],[Mi supervisor o jefe directo nos brinda charlas de 5 minutos y comunica las novedades relevantes a mi puesto de trabajo]],#REF!,#REF!
)</f>
        <v>#REF!</v>
      </c>
      <c r="R1402" t="s">
        <v>17</v>
      </c>
      <c r="U1402" t="s">
        <v>20</v>
      </c>
      <c r="W1402" t="s">
        <v>25</v>
      </c>
      <c r="X1402" t="s">
        <v>23</v>
      </c>
      <c r="Y1402" t="e">
        <f>+_xlfn.XLOOKUP(tbl_encuesta[[#This Row],[Considero a Limtek como un buen lugar para trabajar]],#REF!,#REF!)</f>
        <v>#REF!</v>
      </c>
      <c r="Z1402" t="s">
        <v>3450</v>
      </c>
      <c r="AA1402" t="s">
        <v>3451</v>
      </c>
      <c r="AB1402" t="s">
        <v>28</v>
      </c>
      <c r="AC1402" s="3" t="s">
        <v>3815</v>
      </c>
      <c r="AD1402" s="3" t="s">
        <v>3816</v>
      </c>
      <c r="AE1402" t="s">
        <v>29</v>
      </c>
    </row>
    <row r="1403" spans="1:31" x14ac:dyDescent="0.25">
      <c r="A1403">
        <v>119025596577</v>
      </c>
      <c r="B1403">
        <v>462598545</v>
      </c>
      <c r="C1403" s="1">
        <v>46014.292673611111</v>
      </c>
      <c r="D1403" s="1">
        <v>46014.294328703705</v>
      </c>
      <c r="E1403" t="s">
        <v>3452</v>
      </c>
      <c r="F1403" t="s">
        <v>23</v>
      </c>
      <c r="G1403" t="e">
        <f>+_xlfn.XLOOKUP(tbl_encuesta[[#This Row],[Me siento a gusto con el ambiente de trabajo que se genera en mi equipo.]],#REF!,#REF!)</f>
        <v>#REF!</v>
      </c>
      <c r="H1403" t="s">
        <v>23</v>
      </c>
      <c r="I1403" t="e">
        <f>+_xlfn.XLOOKUP(tbl_encuesta[[#This Row],[Me siento motivado a dar lo mejor de mí y hacer un buen trabajo]],#REF!,#REF!)</f>
        <v>#REF!</v>
      </c>
      <c r="J1403" t="s">
        <v>23</v>
      </c>
      <c r="K1403" t="e">
        <f>+_xlfn.XLOOKUP(tbl_encuesta[[#This Row],[Mi supervisor o jefe directo me otorga el soporte que necesito para afrontar cualquier problema que afecte mi trabajo]],#REF!,#REF!)</f>
        <v>#REF!</v>
      </c>
      <c r="L1403" t="s">
        <v>23</v>
      </c>
      <c r="M1403" t="e">
        <f>+_xlfn.XLOOKUP(tbl_encuesta[[#This Row],[Mi supervisor o jefe directo fomenta que nos apoyemos entre todos en el equipo]],#REF!,#REF!)</f>
        <v>#REF!</v>
      </c>
      <c r="N1403" t="s">
        <v>23</v>
      </c>
      <c r="O1403" t="e">
        <f>+_xlfn.XLOOKUP(tbl_encuesta[[#This Row],[Siento que mi trabajo es reconocido por mi supervisor o jefe directo.]],#REF!,#REF!)</f>
        <v>#REF!</v>
      </c>
      <c r="P1403" t="s">
        <v>31</v>
      </c>
      <c r="Q1403" t="e">
        <f xml:space="preserve">
_xlfn.XLOOKUP(
tbl_encuesta[[#This Row],[Mi supervisor o jefe directo nos brinda charlas de 5 minutos y comunica las novedades relevantes a mi puesto de trabajo]],#REF!,#REF!
)</f>
        <v>#REF!</v>
      </c>
      <c r="S1403" t="s">
        <v>18</v>
      </c>
      <c r="W1403" t="s">
        <v>25</v>
      </c>
      <c r="X1403" t="s">
        <v>23</v>
      </c>
      <c r="Y1403" t="e">
        <f>+_xlfn.XLOOKUP(tbl_encuesta[[#This Row],[Considero a Limtek como un buen lugar para trabajar]],#REF!,#REF!)</f>
        <v>#REF!</v>
      </c>
      <c r="Z1403" t="s">
        <v>3453</v>
      </c>
      <c r="AA1403" t="s">
        <v>3454</v>
      </c>
      <c r="AB1403" t="s">
        <v>28</v>
      </c>
      <c r="AC1403" s="3" t="s">
        <v>3714</v>
      </c>
      <c r="AD1403" s="3" t="s">
        <v>3724</v>
      </c>
      <c r="AE1403" t="s">
        <v>29</v>
      </c>
    </row>
    <row r="1404" spans="1:31" x14ac:dyDescent="0.25">
      <c r="A1404">
        <v>119025596573</v>
      </c>
      <c r="B1404">
        <v>462598545</v>
      </c>
      <c r="C1404" s="1">
        <v>46014.292511574073</v>
      </c>
      <c r="D1404" s="1">
        <v>46014.294328703705</v>
      </c>
      <c r="E1404" t="s">
        <v>3455</v>
      </c>
      <c r="F1404" t="s">
        <v>23</v>
      </c>
      <c r="G1404" t="e">
        <f>+_xlfn.XLOOKUP(tbl_encuesta[[#This Row],[Me siento a gusto con el ambiente de trabajo que se genera en mi equipo.]],#REF!,#REF!)</f>
        <v>#REF!</v>
      </c>
      <c r="H1404" t="s">
        <v>23</v>
      </c>
      <c r="I1404" t="e">
        <f>+_xlfn.XLOOKUP(tbl_encuesta[[#This Row],[Me siento motivado a dar lo mejor de mí y hacer un buen trabajo]],#REF!,#REF!)</f>
        <v>#REF!</v>
      </c>
      <c r="J1404" t="s">
        <v>23</v>
      </c>
      <c r="K1404" t="e">
        <f>+_xlfn.XLOOKUP(tbl_encuesta[[#This Row],[Mi supervisor o jefe directo me otorga el soporte que necesito para afrontar cualquier problema que afecte mi trabajo]],#REF!,#REF!)</f>
        <v>#REF!</v>
      </c>
      <c r="L1404" t="s">
        <v>23</v>
      </c>
      <c r="M1404" t="e">
        <f>+_xlfn.XLOOKUP(tbl_encuesta[[#This Row],[Mi supervisor o jefe directo fomenta que nos apoyemos entre todos en el equipo]],#REF!,#REF!)</f>
        <v>#REF!</v>
      </c>
      <c r="N1404" t="s">
        <v>23</v>
      </c>
      <c r="O1404" t="e">
        <f>+_xlfn.XLOOKUP(tbl_encuesta[[#This Row],[Siento que mi trabajo es reconocido por mi supervisor o jefe directo.]],#REF!,#REF!)</f>
        <v>#REF!</v>
      </c>
      <c r="P1404" t="s">
        <v>31</v>
      </c>
      <c r="Q1404" t="e">
        <f xml:space="preserve">
_xlfn.XLOOKUP(
tbl_encuesta[[#This Row],[Mi supervisor o jefe directo nos brinda charlas de 5 minutos y comunica las novedades relevantes a mi puesto de trabajo]],#REF!,#REF!
)</f>
        <v>#REF!</v>
      </c>
      <c r="S1404" t="s">
        <v>18</v>
      </c>
      <c r="W1404" t="s">
        <v>25</v>
      </c>
      <c r="X1404" t="s">
        <v>23</v>
      </c>
      <c r="Y1404" t="e">
        <f>+_xlfn.XLOOKUP(tbl_encuesta[[#This Row],[Considero a Limtek como un buen lugar para trabajar]],#REF!,#REF!)</f>
        <v>#REF!</v>
      </c>
      <c r="Z1404" t="s">
        <v>304</v>
      </c>
      <c r="AA1404" t="s">
        <v>3454</v>
      </c>
      <c r="AB1404" t="s">
        <v>28</v>
      </c>
      <c r="AC1404" s="3" t="s">
        <v>3714</v>
      </c>
      <c r="AD1404" s="3" t="s">
        <v>3724</v>
      </c>
      <c r="AE1404" t="s">
        <v>29</v>
      </c>
    </row>
    <row r="1405" spans="1:31" x14ac:dyDescent="0.25">
      <c r="A1405">
        <v>119025594163</v>
      </c>
      <c r="B1405">
        <v>462598545</v>
      </c>
      <c r="C1405" s="1">
        <v>46014.278958333336</v>
      </c>
      <c r="D1405" s="1">
        <v>46014.289606481485</v>
      </c>
      <c r="E1405" t="s">
        <v>3456</v>
      </c>
      <c r="F1405" t="s">
        <v>23</v>
      </c>
      <c r="G1405" t="e">
        <f>+_xlfn.XLOOKUP(tbl_encuesta[[#This Row],[Me siento a gusto con el ambiente de trabajo que se genera en mi equipo.]],#REF!,#REF!)</f>
        <v>#REF!</v>
      </c>
      <c r="H1405" t="s">
        <v>23</v>
      </c>
      <c r="I1405" t="e">
        <f>+_xlfn.XLOOKUP(tbl_encuesta[[#This Row],[Me siento motivado a dar lo mejor de mí y hacer un buen trabajo]],#REF!,#REF!)</f>
        <v>#REF!</v>
      </c>
      <c r="J1405" t="s">
        <v>23</v>
      </c>
      <c r="K1405" t="e">
        <f>+_xlfn.XLOOKUP(tbl_encuesta[[#This Row],[Mi supervisor o jefe directo me otorga el soporte que necesito para afrontar cualquier problema que afecte mi trabajo]],#REF!,#REF!)</f>
        <v>#REF!</v>
      </c>
      <c r="L1405" t="s">
        <v>23</v>
      </c>
      <c r="M1405" t="e">
        <f>+_xlfn.XLOOKUP(tbl_encuesta[[#This Row],[Mi supervisor o jefe directo fomenta que nos apoyemos entre todos en el equipo]],#REF!,#REF!)</f>
        <v>#REF!</v>
      </c>
      <c r="N1405" t="s">
        <v>23</v>
      </c>
      <c r="O1405" t="e">
        <f>+_xlfn.XLOOKUP(tbl_encuesta[[#This Row],[Siento que mi trabajo es reconocido por mi supervisor o jefe directo.]],#REF!,#REF!)</f>
        <v>#REF!</v>
      </c>
      <c r="P1405" t="s">
        <v>31</v>
      </c>
      <c r="Q1405" t="e">
        <f xml:space="preserve">
_xlfn.XLOOKUP(
tbl_encuesta[[#This Row],[Mi supervisor o jefe directo nos brinda charlas de 5 minutos y comunica las novedades relevantes a mi puesto de trabajo]],#REF!,#REF!
)</f>
        <v>#REF!</v>
      </c>
      <c r="R1405" t="s">
        <v>17</v>
      </c>
      <c r="S1405" t="s">
        <v>18</v>
      </c>
      <c r="W1405" t="s">
        <v>25</v>
      </c>
      <c r="X1405" t="s">
        <v>23</v>
      </c>
      <c r="Y1405" t="e">
        <f>+_xlfn.XLOOKUP(tbl_encuesta[[#This Row],[Considero a Limtek como un buen lugar para trabajar]],#REF!,#REF!)</f>
        <v>#REF!</v>
      </c>
      <c r="Z1405" t="s">
        <v>2901</v>
      </c>
      <c r="AA1405" t="s">
        <v>3457</v>
      </c>
      <c r="AB1405" t="s">
        <v>28</v>
      </c>
      <c r="AC1405" s="3" t="s">
        <v>3729</v>
      </c>
      <c r="AD1405" s="3" t="s">
        <v>3732</v>
      </c>
      <c r="AE1405" t="s">
        <v>61</v>
      </c>
    </row>
    <row r="1406" spans="1:31" x14ac:dyDescent="0.25">
      <c r="A1406">
        <v>119025593591</v>
      </c>
      <c r="B1406">
        <v>462598545</v>
      </c>
      <c r="C1406" s="1">
        <v>46014.282569444447</v>
      </c>
      <c r="D1406" s="1">
        <v>46014.288518518515</v>
      </c>
      <c r="E1406" t="s">
        <v>3458</v>
      </c>
      <c r="F1406" t="s">
        <v>23</v>
      </c>
      <c r="G1406" t="e">
        <f>+_xlfn.XLOOKUP(tbl_encuesta[[#This Row],[Me siento a gusto con el ambiente de trabajo que se genera en mi equipo.]],#REF!,#REF!)</f>
        <v>#REF!</v>
      </c>
      <c r="H1406" t="s">
        <v>23</v>
      </c>
      <c r="I1406" t="e">
        <f>+_xlfn.XLOOKUP(tbl_encuesta[[#This Row],[Me siento motivado a dar lo mejor de mí y hacer un buen trabajo]],#REF!,#REF!)</f>
        <v>#REF!</v>
      </c>
      <c r="J1406" t="s">
        <v>23</v>
      </c>
      <c r="K1406" t="e">
        <f>+_xlfn.XLOOKUP(tbl_encuesta[[#This Row],[Mi supervisor o jefe directo me otorga el soporte que necesito para afrontar cualquier problema que afecte mi trabajo]],#REF!,#REF!)</f>
        <v>#REF!</v>
      </c>
      <c r="L1406" t="s">
        <v>23</v>
      </c>
      <c r="M1406" t="e">
        <f>+_xlfn.XLOOKUP(tbl_encuesta[[#This Row],[Mi supervisor o jefe directo fomenta que nos apoyemos entre todos en el equipo]],#REF!,#REF!)</f>
        <v>#REF!</v>
      </c>
      <c r="N1406" t="s">
        <v>22</v>
      </c>
      <c r="O1406" t="e">
        <f>+_xlfn.XLOOKUP(tbl_encuesta[[#This Row],[Siento que mi trabajo es reconocido por mi supervisor o jefe directo.]],#REF!,#REF!)</f>
        <v>#REF!</v>
      </c>
      <c r="P1406" t="s">
        <v>31</v>
      </c>
      <c r="Q1406" t="e">
        <f xml:space="preserve">
_xlfn.XLOOKUP(
tbl_encuesta[[#This Row],[Mi supervisor o jefe directo nos brinda charlas de 5 minutos y comunica las novedades relevantes a mi puesto de trabajo]],#REF!,#REF!
)</f>
        <v>#REF!</v>
      </c>
      <c r="V1406" t="s">
        <v>3459</v>
      </c>
      <c r="W1406" t="s">
        <v>25</v>
      </c>
      <c r="X1406" t="s">
        <v>22</v>
      </c>
      <c r="Y1406" t="e">
        <f>+_xlfn.XLOOKUP(tbl_encuesta[[#This Row],[Considero a Limtek como un buen lugar para trabajar]],#REF!,#REF!)</f>
        <v>#REF!</v>
      </c>
      <c r="Z1406" t="s">
        <v>3460</v>
      </c>
      <c r="AA1406" t="s">
        <v>3461</v>
      </c>
      <c r="AB1406" t="s">
        <v>28</v>
      </c>
      <c r="AC1406" s="3" t="s">
        <v>3729</v>
      </c>
      <c r="AD1406" s="3" t="s">
        <v>3729</v>
      </c>
      <c r="AE1406" t="s">
        <v>61</v>
      </c>
    </row>
    <row r="1407" spans="1:31" x14ac:dyDescent="0.25">
      <c r="A1407">
        <v>119025593517</v>
      </c>
      <c r="B1407">
        <v>462598545</v>
      </c>
      <c r="C1407" s="1">
        <v>46014.279606481483</v>
      </c>
      <c r="D1407" s="1">
        <v>46014.28837962963</v>
      </c>
      <c r="E1407" t="s">
        <v>3462</v>
      </c>
      <c r="F1407" t="s">
        <v>23</v>
      </c>
      <c r="G1407" t="e">
        <f>+_xlfn.XLOOKUP(tbl_encuesta[[#This Row],[Me siento a gusto con el ambiente de trabajo que se genera en mi equipo.]],#REF!,#REF!)</f>
        <v>#REF!</v>
      </c>
      <c r="H1407" t="s">
        <v>23</v>
      </c>
      <c r="I1407" t="e">
        <f>+_xlfn.XLOOKUP(tbl_encuesta[[#This Row],[Me siento motivado a dar lo mejor de mí y hacer un buen trabajo]],#REF!,#REF!)</f>
        <v>#REF!</v>
      </c>
      <c r="J1407" t="s">
        <v>23</v>
      </c>
      <c r="K1407" t="e">
        <f>+_xlfn.XLOOKUP(tbl_encuesta[[#This Row],[Mi supervisor o jefe directo me otorga el soporte que necesito para afrontar cualquier problema que afecte mi trabajo]],#REF!,#REF!)</f>
        <v>#REF!</v>
      </c>
      <c r="L1407" t="s">
        <v>23</v>
      </c>
      <c r="M1407" t="e">
        <f>+_xlfn.XLOOKUP(tbl_encuesta[[#This Row],[Mi supervisor o jefe directo fomenta que nos apoyemos entre todos en el equipo]],#REF!,#REF!)</f>
        <v>#REF!</v>
      </c>
      <c r="N1407" t="s">
        <v>23</v>
      </c>
      <c r="O1407" t="e">
        <f>+_xlfn.XLOOKUP(tbl_encuesta[[#This Row],[Siento que mi trabajo es reconocido por mi supervisor o jefe directo.]],#REF!,#REF!)</f>
        <v>#REF!</v>
      </c>
      <c r="P1407" t="s">
        <v>31</v>
      </c>
      <c r="Q1407" t="e">
        <f xml:space="preserve">
_xlfn.XLOOKUP(
tbl_encuesta[[#This Row],[Mi supervisor o jefe directo nos brinda charlas de 5 minutos y comunica las novedades relevantes a mi puesto de trabajo]],#REF!,#REF!
)</f>
        <v>#REF!</v>
      </c>
      <c r="T1407" t="s">
        <v>19</v>
      </c>
      <c r="U1407" t="s">
        <v>20</v>
      </c>
      <c r="W1407" t="s">
        <v>25</v>
      </c>
      <c r="X1407" t="s">
        <v>23</v>
      </c>
      <c r="Y1407" t="e">
        <f>+_xlfn.XLOOKUP(tbl_encuesta[[#This Row],[Considero a Limtek como un buen lugar para trabajar]],#REF!,#REF!)</f>
        <v>#REF!</v>
      </c>
      <c r="Z1407" t="s">
        <v>3463</v>
      </c>
      <c r="AA1407" t="s">
        <v>3464</v>
      </c>
      <c r="AB1407" t="s">
        <v>28</v>
      </c>
      <c r="AC1407" s="3" t="s">
        <v>3729</v>
      </c>
      <c r="AD1407" s="3" t="s">
        <v>3732</v>
      </c>
      <c r="AE1407" t="s">
        <v>34</v>
      </c>
    </row>
    <row r="1408" spans="1:31" x14ac:dyDescent="0.25">
      <c r="A1408">
        <v>119025591235</v>
      </c>
      <c r="B1408">
        <v>462598545</v>
      </c>
      <c r="C1408" s="1">
        <v>46014.280219907407</v>
      </c>
      <c r="D1408" s="1">
        <v>46014.284108796295</v>
      </c>
      <c r="E1408" t="s">
        <v>3465</v>
      </c>
      <c r="F1408" t="s">
        <v>22</v>
      </c>
      <c r="G1408" t="e">
        <f>+_xlfn.XLOOKUP(tbl_encuesta[[#This Row],[Me siento a gusto con el ambiente de trabajo que se genera en mi equipo.]],#REF!,#REF!)</f>
        <v>#REF!</v>
      </c>
      <c r="H1408" t="s">
        <v>23</v>
      </c>
      <c r="I1408" t="e">
        <f>+_xlfn.XLOOKUP(tbl_encuesta[[#This Row],[Me siento motivado a dar lo mejor de mí y hacer un buen trabajo]],#REF!,#REF!)</f>
        <v>#REF!</v>
      </c>
      <c r="J1408" t="s">
        <v>23</v>
      </c>
      <c r="K1408" t="e">
        <f>+_xlfn.XLOOKUP(tbl_encuesta[[#This Row],[Mi supervisor o jefe directo me otorga el soporte que necesito para afrontar cualquier problema que afecte mi trabajo]],#REF!,#REF!)</f>
        <v>#REF!</v>
      </c>
      <c r="L1408" t="s">
        <v>23</v>
      </c>
      <c r="M1408" t="e">
        <f>+_xlfn.XLOOKUP(tbl_encuesta[[#This Row],[Mi supervisor o jefe directo fomenta que nos apoyemos entre todos en el equipo]],#REF!,#REF!)</f>
        <v>#REF!</v>
      </c>
      <c r="N1408" t="s">
        <v>23</v>
      </c>
      <c r="O1408" t="e">
        <f>+_xlfn.XLOOKUP(tbl_encuesta[[#This Row],[Siento que mi trabajo es reconocido por mi supervisor o jefe directo.]],#REF!,#REF!)</f>
        <v>#REF!</v>
      </c>
      <c r="P1408" t="s">
        <v>67</v>
      </c>
      <c r="Q1408" t="e">
        <f xml:space="preserve">
_xlfn.XLOOKUP(
tbl_encuesta[[#This Row],[Mi supervisor o jefe directo nos brinda charlas de 5 minutos y comunica las novedades relevantes a mi puesto de trabajo]],#REF!,#REF!
)</f>
        <v>#REF!</v>
      </c>
      <c r="S1408" t="s">
        <v>18</v>
      </c>
      <c r="T1408" t="s">
        <v>19</v>
      </c>
      <c r="W1408" t="s">
        <v>25</v>
      </c>
      <c r="X1408" t="s">
        <v>22</v>
      </c>
      <c r="Y1408" t="e">
        <f>+_xlfn.XLOOKUP(tbl_encuesta[[#This Row],[Considero a Limtek como un buen lugar para trabajar]],#REF!,#REF!)</f>
        <v>#REF!</v>
      </c>
      <c r="Z1408" t="s">
        <v>3466</v>
      </c>
      <c r="AA1408" t="s">
        <v>3467</v>
      </c>
      <c r="AB1408" t="s">
        <v>28</v>
      </c>
      <c r="AC1408" s="3" t="s">
        <v>3714</v>
      </c>
      <c r="AD1408" s="3" t="s">
        <v>3714</v>
      </c>
      <c r="AE1408" t="s">
        <v>29</v>
      </c>
    </row>
    <row r="1409" spans="1:31" x14ac:dyDescent="0.25">
      <c r="A1409">
        <v>119025590732</v>
      </c>
      <c r="B1409">
        <v>462598545</v>
      </c>
      <c r="C1409" s="1">
        <v>46014.279583333337</v>
      </c>
      <c r="D1409" s="1">
        <v>46014.283182870371</v>
      </c>
      <c r="E1409" t="s">
        <v>3468</v>
      </c>
      <c r="F1409" t="s">
        <v>23</v>
      </c>
      <c r="G1409" t="e">
        <f>+_xlfn.XLOOKUP(tbl_encuesta[[#This Row],[Me siento a gusto con el ambiente de trabajo que se genera en mi equipo.]],#REF!,#REF!)</f>
        <v>#REF!</v>
      </c>
      <c r="H1409" t="s">
        <v>23</v>
      </c>
      <c r="I1409" t="e">
        <f>+_xlfn.XLOOKUP(tbl_encuesta[[#This Row],[Me siento motivado a dar lo mejor de mí y hacer un buen trabajo]],#REF!,#REF!)</f>
        <v>#REF!</v>
      </c>
      <c r="J1409" t="s">
        <v>23</v>
      </c>
      <c r="K1409" t="e">
        <f>+_xlfn.XLOOKUP(tbl_encuesta[[#This Row],[Mi supervisor o jefe directo me otorga el soporte que necesito para afrontar cualquier problema que afecte mi trabajo]],#REF!,#REF!)</f>
        <v>#REF!</v>
      </c>
      <c r="L1409" t="s">
        <v>23</v>
      </c>
      <c r="M1409" t="e">
        <f>+_xlfn.XLOOKUP(tbl_encuesta[[#This Row],[Mi supervisor o jefe directo fomenta que nos apoyemos entre todos en el equipo]],#REF!,#REF!)</f>
        <v>#REF!</v>
      </c>
      <c r="N1409" t="s">
        <v>23</v>
      </c>
      <c r="O1409" t="e">
        <f>+_xlfn.XLOOKUP(tbl_encuesta[[#This Row],[Siento que mi trabajo es reconocido por mi supervisor o jefe directo.]],#REF!,#REF!)</f>
        <v>#REF!</v>
      </c>
      <c r="P1409" t="s">
        <v>31</v>
      </c>
      <c r="Q1409" t="e">
        <f xml:space="preserve">
_xlfn.XLOOKUP(
tbl_encuesta[[#This Row],[Mi supervisor o jefe directo nos brinda charlas de 5 minutos y comunica las novedades relevantes a mi puesto de trabajo]],#REF!,#REF!
)</f>
        <v>#REF!</v>
      </c>
      <c r="R1409" t="s">
        <v>17</v>
      </c>
      <c r="T1409" t="s">
        <v>19</v>
      </c>
      <c r="W1409" t="s">
        <v>25</v>
      </c>
      <c r="X1409" t="s">
        <v>23</v>
      </c>
      <c r="Y1409" t="e">
        <f>+_xlfn.XLOOKUP(tbl_encuesta[[#This Row],[Considero a Limtek como un buen lugar para trabajar]],#REF!,#REF!)</f>
        <v>#REF!</v>
      </c>
      <c r="Z1409" t="s">
        <v>3469</v>
      </c>
      <c r="AA1409" t="s">
        <v>3470</v>
      </c>
      <c r="AB1409" t="s">
        <v>28</v>
      </c>
      <c r="AC1409" s="3" t="s">
        <v>3729</v>
      </c>
      <c r="AD1409" s="3" t="s">
        <v>3732</v>
      </c>
      <c r="AE1409" t="s">
        <v>29</v>
      </c>
    </row>
    <row r="1410" spans="1:31" x14ac:dyDescent="0.25">
      <c r="A1410">
        <v>119025590135</v>
      </c>
      <c r="B1410">
        <v>462598545</v>
      </c>
      <c r="C1410" s="1">
        <v>46014.279675925929</v>
      </c>
      <c r="D1410" s="1">
        <v>46014.282129629632</v>
      </c>
      <c r="E1410" t="s">
        <v>3471</v>
      </c>
      <c r="F1410" t="s">
        <v>23</v>
      </c>
      <c r="G1410" t="e">
        <f>+_xlfn.XLOOKUP(tbl_encuesta[[#This Row],[Me siento a gusto con el ambiente de trabajo que se genera en mi equipo.]],#REF!,#REF!)</f>
        <v>#REF!</v>
      </c>
      <c r="H1410" t="s">
        <v>23</v>
      </c>
      <c r="I1410" t="e">
        <f>+_xlfn.XLOOKUP(tbl_encuesta[[#This Row],[Me siento motivado a dar lo mejor de mí y hacer un buen trabajo]],#REF!,#REF!)</f>
        <v>#REF!</v>
      </c>
      <c r="J1410" t="s">
        <v>23</v>
      </c>
      <c r="K1410" t="e">
        <f>+_xlfn.XLOOKUP(tbl_encuesta[[#This Row],[Mi supervisor o jefe directo me otorga el soporte que necesito para afrontar cualquier problema que afecte mi trabajo]],#REF!,#REF!)</f>
        <v>#REF!</v>
      </c>
      <c r="L1410" t="s">
        <v>23</v>
      </c>
      <c r="M1410" t="e">
        <f>+_xlfn.XLOOKUP(tbl_encuesta[[#This Row],[Mi supervisor o jefe directo fomenta que nos apoyemos entre todos en el equipo]],#REF!,#REF!)</f>
        <v>#REF!</v>
      </c>
      <c r="N1410" t="s">
        <v>23</v>
      </c>
      <c r="O1410" t="e">
        <f>+_xlfn.XLOOKUP(tbl_encuesta[[#This Row],[Siento que mi trabajo es reconocido por mi supervisor o jefe directo.]],#REF!,#REF!)</f>
        <v>#REF!</v>
      </c>
      <c r="P1410" t="s">
        <v>31</v>
      </c>
      <c r="Q1410" t="e">
        <f xml:space="preserve">
_xlfn.XLOOKUP(
tbl_encuesta[[#This Row],[Mi supervisor o jefe directo nos brinda charlas de 5 minutos y comunica las novedades relevantes a mi puesto de trabajo]],#REF!,#REF!
)</f>
        <v>#REF!</v>
      </c>
      <c r="R1410" t="s">
        <v>17</v>
      </c>
      <c r="T1410" t="s">
        <v>19</v>
      </c>
      <c r="W1410" t="s">
        <v>25</v>
      </c>
      <c r="X1410" t="s">
        <v>23</v>
      </c>
      <c r="Y1410" t="e">
        <f>+_xlfn.XLOOKUP(tbl_encuesta[[#This Row],[Considero a Limtek como un buen lugar para trabajar]],#REF!,#REF!)</f>
        <v>#REF!</v>
      </c>
      <c r="Z1410" t="s">
        <v>638</v>
      </c>
      <c r="AA1410" t="s">
        <v>122</v>
      </c>
      <c r="AB1410" t="s">
        <v>28</v>
      </c>
      <c r="AC1410" s="3" t="s">
        <v>3729</v>
      </c>
      <c r="AD1410" s="3" t="s">
        <v>3732</v>
      </c>
      <c r="AE1410" t="s">
        <v>55</v>
      </c>
    </row>
    <row r="1411" spans="1:31" x14ac:dyDescent="0.25">
      <c r="A1411">
        <v>119025589561</v>
      </c>
      <c r="B1411">
        <v>462598545</v>
      </c>
      <c r="C1411" s="1">
        <v>46014.278981481482</v>
      </c>
      <c r="D1411" s="1">
        <v>46014.281215277777</v>
      </c>
      <c r="E1411" t="s">
        <v>3472</v>
      </c>
      <c r="F1411" t="s">
        <v>23</v>
      </c>
      <c r="G1411" t="e">
        <f>+_xlfn.XLOOKUP(tbl_encuesta[[#This Row],[Me siento a gusto con el ambiente de trabajo que se genera en mi equipo.]],#REF!,#REF!)</f>
        <v>#REF!</v>
      </c>
      <c r="H1411" t="s">
        <v>23</v>
      </c>
      <c r="I1411" t="e">
        <f>+_xlfn.XLOOKUP(tbl_encuesta[[#This Row],[Me siento motivado a dar lo mejor de mí y hacer un buen trabajo]],#REF!,#REF!)</f>
        <v>#REF!</v>
      </c>
      <c r="J1411" t="s">
        <v>23</v>
      </c>
      <c r="K1411" t="e">
        <f>+_xlfn.XLOOKUP(tbl_encuesta[[#This Row],[Mi supervisor o jefe directo me otorga el soporte que necesito para afrontar cualquier problema que afecte mi trabajo]],#REF!,#REF!)</f>
        <v>#REF!</v>
      </c>
      <c r="L1411" t="s">
        <v>23</v>
      </c>
      <c r="M1411" t="e">
        <f>+_xlfn.XLOOKUP(tbl_encuesta[[#This Row],[Mi supervisor o jefe directo fomenta que nos apoyemos entre todos en el equipo]],#REF!,#REF!)</f>
        <v>#REF!</v>
      </c>
      <c r="N1411" t="s">
        <v>23</v>
      </c>
      <c r="O1411" t="e">
        <f>+_xlfn.XLOOKUP(tbl_encuesta[[#This Row],[Siento que mi trabajo es reconocido por mi supervisor o jefe directo.]],#REF!,#REF!)</f>
        <v>#REF!</v>
      </c>
      <c r="P1411" t="s">
        <v>31</v>
      </c>
      <c r="Q1411" t="e">
        <f xml:space="preserve">
_xlfn.XLOOKUP(
tbl_encuesta[[#This Row],[Mi supervisor o jefe directo nos brinda charlas de 5 minutos y comunica las novedades relevantes a mi puesto de trabajo]],#REF!,#REF!
)</f>
        <v>#REF!</v>
      </c>
      <c r="R1411" t="s">
        <v>17</v>
      </c>
      <c r="U1411" t="s">
        <v>20</v>
      </c>
      <c r="W1411" t="s">
        <v>25</v>
      </c>
      <c r="X1411" t="s">
        <v>22</v>
      </c>
      <c r="Y1411" t="e">
        <f>+_xlfn.XLOOKUP(tbl_encuesta[[#This Row],[Considero a Limtek como un buen lugar para trabajar]],#REF!,#REF!)</f>
        <v>#REF!</v>
      </c>
      <c r="Z1411" t="s">
        <v>3473</v>
      </c>
      <c r="AA1411" t="s">
        <v>3474</v>
      </c>
      <c r="AB1411" t="s">
        <v>28</v>
      </c>
      <c r="AC1411" s="3" t="s">
        <v>3729</v>
      </c>
      <c r="AD1411" s="3" t="s">
        <v>3732</v>
      </c>
      <c r="AE1411" t="s">
        <v>29</v>
      </c>
    </row>
    <row r="1412" spans="1:31" x14ac:dyDescent="0.25">
      <c r="A1412">
        <v>119025589487</v>
      </c>
      <c r="B1412">
        <v>462598545</v>
      </c>
      <c r="C1412" s="1">
        <v>46014.278784722221</v>
      </c>
      <c r="D1412" s="1">
        <v>46014.281076388892</v>
      </c>
      <c r="E1412" t="s">
        <v>3475</v>
      </c>
      <c r="F1412" t="s">
        <v>23</v>
      </c>
      <c r="G1412" t="e">
        <f>+_xlfn.XLOOKUP(tbl_encuesta[[#This Row],[Me siento a gusto con el ambiente de trabajo que se genera en mi equipo.]],#REF!,#REF!)</f>
        <v>#REF!</v>
      </c>
      <c r="H1412" t="s">
        <v>23</v>
      </c>
      <c r="I1412" t="e">
        <f>+_xlfn.XLOOKUP(tbl_encuesta[[#This Row],[Me siento motivado a dar lo mejor de mí y hacer un buen trabajo]],#REF!,#REF!)</f>
        <v>#REF!</v>
      </c>
      <c r="J1412" t="s">
        <v>23</v>
      </c>
      <c r="K1412" t="e">
        <f>+_xlfn.XLOOKUP(tbl_encuesta[[#This Row],[Mi supervisor o jefe directo me otorga el soporte que necesito para afrontar cualquier problema que afecte mi trabajo]],#REF!,#REF!)</f>
        <v>#REF!</v>
      </c>
      <c r="L1412" t="s">
        <v>23</v>
      </c>
      <c r="M1412" t="e">
        <f>+_xlfn.XLOOKUP(tbl_encuesta[[#This Row],[Mi supervisor o jefe directo fomenta que nos apoyemos entre todos en el equipo]],#REF!,#REF!)</f>
        <v>#REF!</v>
      </c>
      <c r="N1412" t="s">
        <v>23</v>
      </c>
      <c r="O1412" t="e">
        <f>+_xlfn.XLOOKUP(tbl_encuesta[[#This Row],[Siento que mi trabajo es reconocido por mi supervisor o jefe directo.]],#REF!,#REF!)</f>
        <v>#REF!</v>
      </c>
      <c r="P1412" t="s">
        <v>31</v>
      </c>
      <c r="Q1412" t="e">
        <f xml:space="preserve">
_xlfn.XLOOKUP(
tbl_encuesta[[#This Row],[Mi supervisor o jefe directo nos brinda charlas de 5 minutos y comunica las novedades relevantes a mi puesto de trabajo]],#REF!,#REF!
)</f>
        <v>#REF!</v>
      </c>
      <c r="R1412" t="s">
        <v>17</v>
      </c>
      <c r="U1412" t="s">
        <v>20</v>
      </c>
      <c r="W1412" t="s">
        <v>25</v>
      </c>
      <c r="X1412" t="s">
        <v>23</v>
      </c>
      <c r="Y1412" t="e">
        <f>+_xlfn.XLOOKUP(tbl_encuesta[[#This Row],[Considero a Limtek como un buen lugar para trabajar]],#REF!,#REF!)</f>
        <v>#REF!</v>
      </c>
      <c r="Z1412" t="s">
        <v>193</v>
      </c>
      <c r="AA1412" t="s">
        <v>3476</v>
      </c>
      <c r="AB1412" t="s">
        <v>28</v>
      </c>
      <c r="AC1412" s="3" t="s">
        <v>3729</v>
      </c>
      <c r="AD1412" s="3" t="s">
        <v>3730</v>
      </c>
      <c r="AE1412" t="s">
        <v>55</v>
      </c>
    </row>
    <row r="1413" spans="1:31" x14ac:dyDescent="0.25">
      <c r="A1413">
        <v>119025585400</v>
      </c>
      <c r="B1413">
        <v>462598545</v>
      </c>
      <c r="C1413" s="1">
        <v>46014.266655092593</v>
      </c>
      <c r="D1413" s="1">
        <v>46014.272858796299</v>
      </c>
      <c r="E1413" t="s">
        <v>3477</v>
      </c>
      <c r="F1413" t="s">
        <v>23</v>
      </c>
      <c r="G1413" t="e">
        <f>+_xlfn.XLOOKUP(tbl_encuesta[[#This Row],[Me siento a gusto con el ambiente de trabajo que se genera en mi equipo.]],#REF!,#REF!)</f>
        <v>#REF!</v>
      </c>
      <c r="H1413" t="s">
        <v>22</v>
      </c>
      <c r="I1413" t="e">
        <f>+_xlfn.XLOOKUP(tbl_encuesta[[#This Row],[Me siento motivado a dar lo mejor de mí y hacer un buen trabajo]],#REF!,#REF!)</f>
        <v>#REF!</v>
      </c>
      <c r="J1413" t="s">
        <v>23</v>
      </c>
      <c r="K1413" t="e">
        <f>+_xlfn.XLOOKUP(tbl_encuesta[[#This Row],[Mi supervisor o jefe directo me otorga el soporte que necesito para afrontar cualquier problema que afecte mi trabajo]],#REF!,#REF!)</f>
        <v>#REF!</v>
      </c>
      <c r="L1413" t="s">
        <v>22</v>
      </c>
      <c r="M1413" t="e">
        <f>+_xlfn.XLOOKUP(tbl_encuesta[[#This Row],[Mi supervisor o jefe directo fomenta que nos apoyemos entre todos en el equipo]],#REF!,#REF!)</f>
        <v>#REF!</v>
      </c>
      <c r="N1413" t="s">
        <v>23</v>
      </c>
      <c r="O1413" t="e">
        <f>+_xlfn.XLOOKUP(tbl_encuesta[[#This Row],[Siento que mi trabajo es reconocido por mi supervisor o jefe directo.]],#REF!,#REF!)</f>
        <v>#REF!</v>
      </c>
      <c r="P1413" t="s">
        <v>67</v>
      </c>
      <c r="Q1413" t="e">
        <f xml:space="preserve">
_xlfn.XLOOKUP(
tbl_encuesta[[#This Row],[Mi supervisor o jefe directo nos brinda charlas de 5 minutos y comunica las novedades relevantes a mi puesto de trabajo]],#REF!,#REF!
)</f>
        <v>#REF!</v>
      </c>
      <c r="R1413" t="s">
        <v>17</v>
      </c>
      <c r="S1413" t="s">
        <v>18</v>
      </c>
      <c r="W1413" t="s">
        <v>25</v>
      </c>
      <c r="X1413" t="s">
        <v>23</v>
      </c>
      <c r="Y1413" t="e">
        <f>+_xlfn.XLOOKUP(tbl_encuesta[[#This Row],[Considero a Limtek como un buen lugar para trabajar]],#REF!,#REF!)</f>
        <v>#REF!</v>
      </c>
      <c r="Z1413" t="s">
        <v>3478</v>
      </c>
      <c r="AA1413" t="s">
        <v>3479</v>
      </c>
      <c r="AB1413" t="s">
        <v>28</v>
      </c>
      <c r="AC1413" s="3" t="s">
        <v>3815</v>
      </c>
      <c r="AD1413" s="3" t="s">
        <v>3816</v>
      </c>
      <c r="AE1413" t="s">
        <v>61</v>
      </c>
    </row>
    <row r="1414" spans="1:31" x14ac:dyDescent="0.25">
      <c r="A1414">
        <v>119025575108</v>
      </c>
      <c r="B1414">
        <v>462598545</v>
      </c>
      <c r="C1414" s="1">
        <v>46014.248229166667</v>
      </c>
      <c r="D1414" s="1">
        <v>46014.251932870371</v>
      </c>
      <c r="E1414" t="s">
        <v>3480</v>
      </c>
      <c r="F1414" t="s">
        <v>23</v>
      </c>
      <c r="G1414" t="e">
        <f>+_xlfn.XLOOKUP(tbl_encuesta[[#This Row],[Me siento a gusto con el ambiente de trabajo que se genera en mi equipo.]],#REF!,#REF!)</f>
        <v>#REF!</v>
      </c>
      <c r="H1414" t="s">
        <v>23</v>
      </c>
      <c r="I1414" t="e">
        <f>+_xlfn.XLOOKUP(tbl_encuesta[[#This Row],[Me siento motivado a dar lo mejor de mí y hacer un buen trabajo]],#REF!,#REF!)</f>
        <v>#REF!</v>
      </c>
      <c r="J1414" t="s">
        <v>22</v>
      </c>
      <c r="K1414" t="e">
        <f>+_xlfn.XLOOKUP(tbl_encuesta[[#This Row],[Mi supervisor o jefe directo me otorga el soporte que necesito para afrontar cualquier problema que afecte mi trabajo]],#REF!,#REF!)</f>
        <v>#REF!</v>
      </c>
      <c r="L1414" t="s">
        <v>97</v>
      </c>
      <c r="M1414" t="e">
        <f>+_xlfn.XLOOKUP(tbl_encuesta[[#This Row],[Mi supervisor o jefe directo fomenta que nos apoyemos entre todos en el equipo]],#REF!,#REF!)</f>
        <v>#REF!</v>
      </c>
      <c r="N1414" t="s">
        <v>22</v>
      </c>
      <c r="O1414" t="e">
        <f>+_xlfn.XLOOKUP(tbl_encuesta[[#This Row],[Siento que mi trabajo es reconocido por mi supervisor o jefe directo.]],#REF!,#REF!)</f>
        <v>#REF!</v>
      </c>
      <c r="P1414" t="s">
        <v>24</v>
      </c>
      <c r="Q1414" t="e">
        <f xml:space="preserve">
_xlfn.XLOOKUP(
tbl_encuesta[[#This Row],[Mi supervisor o jefe directo nos brinda charlas de 5 minutos y comunica las novedades relevantes a mi puesto de trabajo]],#REF!,#REF!
)</f>
        <v>#REF!</v>
      </c>
      <c r="R1414" t="s">
        <v>17</v>
      </c>
      <c r="S1414" t="s">
        <v>18</v>
      </c>
      <c r="W1414" t="s">
        <v>25</v>
      </c>
      <c r="X1414" t="s">
        <v>23</v>
      </c>
      <c r="Y1414" t="e">
        <f>+_xlfn.XLOOKUP(tbl_encuesta[[#This Row],[Considero a Limtek como un buen lugar para trabajar]],#REF!,#REF!)</f>
        <v>#REF!</v>
      </c>
      <c r="Z1414" t="s">
        <v>3481</v>
      </c>
      <c r="AA1414" t="s">
        <v>3482</v>
      </c>
      <c r="AB1414" t="s">
        <v>28</v>
      </c>
      <c r="AC1414" s="3" t="s">
        <v>3768</v>
      </c>
      <c r="AD1414" s="3" t="s">
        <v>3768</v>
      </c>
      <c r="AE1414" t="s">
        <v>29</v>
      </c>
    </row>
    <row r="1415" spans="1:31" x14ac:dyDescent="0.25">
      <c r="A1415">
        <v>119025574235</v>
      </c>
      <c r="B1415">
        <v>462598545</v>
      </c>
      <c r="C1415" s="1">
        <v>46014.248287037037</v>
      </c>
      <c r="D1415" s="1">
        <v>46014.250196759262</v>
      </c>
      <c r="E1415" t="s">
        <v>1620</v>
      </c>
      <c r="F1415" t="s">
        <v>23</v>
      </c>
      <c r="G1415" t="e">
        <f>+_xlfn.XLOOKUP(tbl_encuesta[[#This Row],[Me siento a gusto con el ambiente de trabajo que se genera en mi equipo.]],#REF!,#REF!)</f>
        <v>#REF!</v>
      </c>
      <c r="H1415" t="s">
        <v>23</v>
      </c>
      <c r="I1415" t="e">
        <f>+_xlfn.XLOOKUP(tbl_encuesta[[#This Row],[Me siento motivado a dar lo mejor de mí y hacer un buen trabajo]],#REF!,#REF!)</f>
        <v>#REF!</v>
      </c>
      <c r="J1415" t="s">
        <v>23</v>
      </c>
      <c r="K1415" t="e">
        <f>+_xlfn.XLOOKUP(tbl_encuesta[[#This Row],[Mi supervisor o jefe directo me otorga el soporte que necesito para afrontar cualquier problema que afecte mi trabajo]],#REF!,#REF!)</f>
        <v>#REF!</v>
      </c>
      <c r="L1415" t="s">
        <v>23</v>
      </c>
      <c r="M1415" t="e">
        <f>+_xlfn.XLOOKUP(tbl_encuesta[[#This Row],[Mi supervisor o jefe directo fomenta que nos apoyemos entre todos en el equipo]],#REF!,#REF!)</f>
        <v>#REF!</v>
      </c>
      <c r="N1415" t="s">
        <v>23</v>
      </c>
      <c r="O1415" t="e">
        <f>+_xlfn.XLOOKUP(tbl_encuesta[[#This Row],[Siento que mi trabajo es reconocido por mi supervisor o jefe directo.]],#REF!,#REF!)</f>
        <v>#REF!</v>
      </c>
      <c r="P1415" t="s">
        <v>31</v>
      </c>
      <c r="Q1415" t="e">
        <f xml:space="preserve">
_xlfn.XLOOKUP(
tbl_encuesta[[#This Row],[Mi supervisor o jefe directo nos brinda charlas de 5 minutos y comunica las novedades relevantes a mi puesto de trabajo]],#REF!,#REF!
)</f>
        <v>#REF!</v>
      </c>
      <c r="S1415" t="s">
        <v>18</v>
      </c>
      <c r="W1415" t="s">
        <v>25</v>
      </c>
      <c r="X1415" t="s">
        <v>23</v>
      </c>
      <c r="Y1415" t="e">
        <f>+_xlfn.XLOOKUP(tbl_encuesta[[#This Row],[Considero a Limtek como un buen lugar para trabajar]],#REF!,#REF!)</f>
        <v>#REF!</v>
      </c>
      <c r="Z1415" t="s">
        <v>1459</v>
      </c>
      <c r="AA1415" t="s">
        <v>3483</v>
      </c>
      <c r="AB1415" t="s">
        <v>28</v>
      </c>
      <c r="AC1415" s="3" t="s">
        <v>3716</v>
      </c>
      <c r="AD1415" s="3" t="s">
        <v>3720</v>
      </c>
      <c r="AE1415" t="s">
        <v>69</v>
      </c>
    </row>
    <row r="1416" spans="1:31" x14ac:dyDescent="0.25">
      <c r="A1416">
        <v>119025552448</v>
      </c>
      <c r="B1416">
        <v>462598545</v>
      </c>
      <c r="C1416" s="1">
        <v>46014.20008101852</v>
      </c>
      <c r="D1416" s="1">
        <v>46014.204768518517</v>
      </c>
      <c r="E1416" t="s">
        <v>3484</v>
      </c>
      <c r="F1416" t="s">
        <v>23</v>
      </c>
      <c r="G1416" t="e">
        <f>+_xlfn.XLOOKUP(tbl_encuesta[[#This Row],[Me siento a gusto con el ambiente de trabajo que se genera en mi equipo.]],#REF!,#REF!)</f>
        <v>#REF!</v>
      </c>
      <c r="H1416" t="s">
        <v>23</v>
      </c>
      <c r="I1416" t="e">
        <f>+_xlfn.XLOOKUP(tbl_encuesta[[#This Row],[Me siento motivado a dar lo mejor de mí y hacer un buen trabajo]],#REF!,#REF!)</f>
        <v>#REF!</v>
      </c>
      <c r="J1416" t="s">
        <v>23</v>
      </c>
      <c r="K1416" t="e">
        <f>+_xlfn.XLOOKUP(tbl_encuesta[[#This Row],[Mi supervisor o jefe directo me otorga el soporte que necesito para afrontar cualquier problema que afecte mi trabajo]],#REF!,#REF!)</f>
        <v>#REF!</v>
      </c>
      <c r="L1416" t="s">
        <v>23</v>
      </c>
      <c r="M1416" t="e">
        <f>+_xlfn.XLOOKUP(tbl_encuesta[[#This Row],[Mi supervisor o jefe directo fomenta que nos apoyemos entre todos en el equipo]],#REF!,#REF!)</f>
        <v>#REF!</v>
      </c>
      <c r="N1416" t="s">
        <v>23</v>
      </c>
      <c r="O1416" t="e">
        <f>+_xlfn.XLOOKUP(tbl_encuesta[[#This Row],[Siento que mi trabajo es reconocido por mi supervisor o jefe directo.]],#REF!,#REF!)</f>
        <v>#REF!</v>
      </c>
      <c r="P1416" t="s">
        <v>31</v>
      </c>
      <c r="Q1416" t="e">
        <f xml:space="preserve">
_xlfn.XLOOKUP(
tbl_encuesta[[#This Row],[Mi supervisor o jefe directo nos brinda charlas de 5 minutos y comunica las novedades relevantes a mi puesto de trabajo]],#REF!,#REF!
)</f>
        <v>#REF!</v>
      </c>
      <c r="R1416" t="s">
        <v>17</v>
      </c>
      <c r="T1416" t="s">
        <v>19</v>
      </c>
      <c r="W1416" t="s">
        <v>25</v>
      </c>
      <c r="X1416" t="s">
        <v>23</v>
      </c>
      <c r="Y1416" t="e">
        <f>+_xlfn.XLOOKUP(tbl_encuesta[[#This Row],[Considero a Limtek como un buen lugar para trabajar]],#REF!,#REF!)</f>
        <v>#REF!</v>
      </c>
      <c r="Z1416" t="s">
        <v>3485</v>
      </c>
      <c r="AA1416" t="s">
        <v>3486</v>
      </c>
      <c r="AB1416" t="s">
        <v>28</v>
      </c>
      <c r="AC1416" s="3" t="s">
        <v>3716</v>
      </c>
      <c r="AD1416" s="3" t="s">
        <v>3724</v>
      </c>
      <c r="AE1416" t="s">
        <v>29</v>
      </c>
    </row>
    <row r="1417" spans="1:31" x14ac:dyDescent="0.25">
      <c r="A1417">
        <v>119025494846</v>
      </c>
      <c r="B1417">
        <v>462598545</v>
      </c>
      <c r="C1417" s="1">
        <v>46014.046932870369</v>
      </c>
      <c r="D1417" s="1">
        <v>46014.065520833334</v>
      </c>
      <c r="E1417" t="s">
        <v>3487</v>
      </c>
      <c r="F1417" t="s">
        <v>22</v>
      </c>
      <c r="G1417" t="e">
        <f>+_xlfn.XLOOKUP(tbl_encuesta[[#This Row],[Me siento a gusto con el ambiente de trabajo que se genera en mi equipo.]],#REF!,#REF!)</f>
        <v>#REF!</v>
      </c>
      <c r="H1417" t="s">
        <v>23</v>
      </c>
      <c r="I1417" t="e">
        <f>+_xlfn.XLOOKUP(tbl_encuesta[[#This Row],[Me siento motivado a dar lo mejor de mí y hacer un buen trabajo]],#REF!,#REF!)</f>
        <v>#REF!</v>
      </c>
      <c r="J1417" t="s">
        <v>23</v>
      </c>
      <c r="K1417" t="e">
        <f>+_xlfn.XLOOKUP(tbl_encuesta[[#This Row],[Mi supervisor o jefe directo me otorga el soporte que necesito para afrontar cualquier problema que afecte mi trabajo]],#REF!,#REF!)</f>
        <v>#REF!</v>
      </c>
      <c r="L1417" t="s">
        <v>23</v>
      </c>
      <c r="M1417" t="e">
        <f>+_xlfn.XLOOKUP(tbl_encuesta[[#This Row],[Mi supervisor o jefe directo fomenta que nos apoyemos entre todos en el equipo]],#REF!,#REF!)</f>
        <v>#REF!</v>
      </c>
      <c r="N1417" t="s">
        <v>22</v>
      </c>
      <c r="O1417" t="e">
        <f>+_xlfn.XLOOKUP(tbl_encuesta[[#This Row],[Siento que mi trabajo es reconocido por mi supervisor o jefe directo.]],#REF!,#REF!)</f>
        <v>#REF!</v>
      </c>
      <c r="P1417" t="s">
        <v>67</v>
      </c>
      <c r="Q1417" t="e">
        <f xml:space="preserve">
_xlfn.XLOOKUP(
tbl_encuesta[[#This Row],[Mi supervisor o jefe directo nos brinda charlas de 5 minutos y comunica las novedades relevantes a mi puesto de trabajo]],#REF!,#REF!
)</f>
        <v>#REF!</v>
      </c>
      <c r="R1417" t="s">
        <v>17</v>
      </c>
      <c r="T1417" t="s">
        <v>19</v>
      </c>
      <c r="W1417" t="s">
        <v>25</v>
      </c>
      <c r="X1417" t="s">
        <v>22</v>
      </c>
      <c r="Y1417" t="e">
        <f>+_xlfn.XLOOKUP(tbl_encuesta[[#This Row],[Considero a Limtek como un buen lugar para trabajar]],#REF!,#REF!)</f>
        <v>#REF!</v>
      </c>
      <c r="Z1417" t="s">
        <v>3488</v>
      </c>
      <c r="AA1417" t="s">
        <v>3489</v>
      </c>
      <c r="AB1417" t="s">
        <v>28</v>
      </c>
      <c r="AC1417" s="3" t="s">
        <v>3716</v>
      </c>
      <c r="AD1417" s="3" t="s">
        <v>3723</v>
      </c>
      <c r="AE1417" t="s">
        <v>29</v>
      </c>
    </row>
    <row r="1418" spans="1:31" x14ac:dyDescent="0.25">
      <c r="A1418">
        <v>119025467553</v>
      </c>
      <c r="B1418">
        <v>462598545</v>
      </c>
      <c r="C1418" s="1">
        <v>46013.974814814814</v>
      </c>
      <c r="D1418" s="1">
        <v>46013.976701388892</v>
      </c>
      <c r="E1418" t="s">
        <v>3490</v>
      </c>
      <c r="F1418" t="s">
        <v>22</v>
      </c>
      <c r="G1418" t="e">
        <f>+_xlfn.XLOOKUP(tbl_encuesta[[#This Row],[Me siento a gusto con el ambiente de trabajo que se genera en mi equipo.]],#REF!,#REF!)</f>
        <v>#REF!</v>
      </c>
      <c r="H1418" t="s">
        <v>23</v>
      </c>
      <c r="I1418" t="e">
        <f>+_xlfn.XLOOKUP(tbl_encuesta[[#This Row],[Me siento motivado a dar lo mejor de mí y hacer un buen trabajo]],#REF!,#REF!)</f>
        <v>#REF!</v>
      </c>
      <c r="J1418" t="s">
        <v>23</v>
      </c>
      <c r="K1418" t="e">
        <f>+_xlfn.XLOOKUP(tbl_encuesta[[#This Row],[Mi supervisor o jefe directo me otorga el soporte que necesito para afrontar cualquier problema que afecte mi trabajo]],#REF!,#REF!)</f>
        <v>#REF!</v>
      </c>
      <c r="L1418" t="s">
        <v>23</v>
      </c>
      <c r="M1418" t="e">
        <f>+_xlfn.XLOOKUP(tbl_encuesta[[#This Row],[Mi supervisor o jefe directo fomenta que nos apoyemos entre todos en el equipo]],#REF!,#REF!)</f>
        <v>#REF!</v>
      </c>
      <c r="N1418" t="s">
        <v>23</v>
      </c>
      <c r="O1418" t="e">
        <f>+_xlfn.XLOOKUP(tbl_encuesta[[#This Row],[Siento que mi trabajo es reconocido por mi supervisor o jefe directo.]],#REF!,#REF!)</f>
        <v>#REF!</v>
      </c>
      <c r="P1418" t="s">
        <v>31</v>
      </c>
      <c r="Q1418" t="e">
        <f xml:space="preserve">
_xlfn.XLOOKUP(
tbl_encuesta[[#This Row],[Mi supervisor o jefe directo nos brinda charlas de 5 minutos y comunica las novedades relevantes a mi puesto de trabajo]],#REF!,#REF!
)</f>
        <v>#REF!</v>
      </c>
      <c r="U1418" t="s">
        <v>20</v>
      </c>
      <c r="W1418" t="s">
        <v>25</v>
      </c>
      <c r="X1418" t="s">
        <v>23</v>
      </c>
      <c r="Y1418" t="e">
        <f>+_xlfn.XLOOKUP(tbl_encuesta[[#This Row],[Considero a Limtek como un buen lugar para trabajar]],#REF!,#REF!)</f>
        <v>#REF!</v>
      </c>
      <c r="Z1418" t="s">
        <v>3491</v>
      </c>
      <c r="AA1418" t="s">
        <v>3492</v>
      </c>
      <c r="AB1418" t="s">
        <v>28</v>
      </c>
      <c r="AC1418" s="3" t="s">
        <v>3729</v>
      </c>
      <c r="AD1418" s="3" t="s">
        <v>3731</v>
      </c>
      <c r="AE1418" t="s">
        <v>61</v>
      </c>
    </row>
    <row r="1419" spans="1:31" x14ac:dyDescent="0.25">
      <c r="A1419">
        <v>119025467086</v>
      </c>
      <c r="B1419">
        <v>462598545</v>
      </c>
      <c r="C1419" s="1">
        <v>46013.974224537036</v>
      </c>
      <c r="D1419" s="1">
        <v>46013.975428240738</v>
      </c>
      <c r="E1419" t="s">
        <v>3493</v>
      </c>
      <c r="F1419" t="s">
        <v>23</v>
      </c>
      <c r="G1419" t="e">
        <f>+_xlfn.XLOOKUP(tbl_encuesta[[#This Row],[Me siento a gusto con el ambiente de trabajo que se genera en mi equipo.]],#REF!,#REF!)</f>
        <v>#REF!</v>
      </c>
      <c r="H1419" t="s">
        <v>23</v>
      </c>
      <c r="I1419" t="e">
        <f>+_xlfn.XLOOKUP(tbl_encuesta[[#This Row],[Me siento motivado a dar lo mejor de mí y hacer un buen trabajo]],#REF!,#REF!)</f>
        <v>#REF!</v>
      </c>
      <c r="J1419" t="s">
        <v>23</v>
      </c>
      <c r="K1419" t="e">
        <f>+_xlfn.XLOOKUP(tbl_encuesta[[#This Row],[Mi supervisor o jefe directo me otorga el soporte que necesito para afrontar cualquier problema que afecte mi trabajo]],#REF!,#REF!)</f>
        <v>#REF!</v>
      </c>
      <c r="L1419" t="s">
        <v>23</v>
      </c>
      <c r="M1419" t="e">
        <f>+_xlfn.XLOOKUP(tbl_encuesta[[#This Row],[Mi supervisor o jefe directo fomenta que nos apoyemos entre todos en el equipo]],#REF!,#REF!)</f>
        <v>#REF!</v>
      </c>
      <c r="N1419" t="s">
        <v>23</v>
      </c>
      <c r="O1419" t="e">
        <f>+_xlfn.XLOOKUP(tbl_encuesta[[#This Row],[Siento que mi trabajo es reconocido por mi supervisor o jefe directo.]],#REF!,#REF!)</f>
        <v>#REF!</v>
      </c>
      <c r="P1419" t="s">
        <v>31</v>
      </c>
      <c r="Q1419" t="e">
        <f xml:space="preserve">
_xlfn.XLOOKUP(
tbl_encuesta[[#This Row],[Mi supervisor o jefe directo nos brinda charlas de 5 minutos y comunica las novedades relevantes a mi puesto de trabajo]],#REF!,#REF!
)</f>
        <v>#REF!</v>
      </c>
      <c r="R1419" t="s">
        <v>17</v>
      </c>
      <c r="W1419" t="s">
        <v>25</v>
      </c>
      <c r="X1419" t="s">
        <v>23</v>
      </c>
      <c r="Y1419" t="e">
        <f>+_xlfn.XLOOKUP(tbl_encuesta[[#This Row],[Considero a Limtek como un buen lugar para trabajar]],#REF!,#REF!)</f>
        <v>#REF!</v>
      </c>
      <c r="Z1419" t="s">
        <v>3494</v>
      </c>
      <c r="AA1419" t="s">
        <v>1293</v>
      </c>
      <c r="AB1419" t="s">
        <v>28</v>
      </c>
      <c r="AC1419" t="s">
        <v>3744</v>
      </c>
      <c r="AD1419" t="s">
        <v>3744</v>
      </c>
      <c r="AE1419" t="s">
        <v>29</v>
      </c>
    </row>
    <row r="1420" spans="1:31" x14ac:dyDescent="0.25">
      <c r="A1420">
        <v>119025452766</v>
      </c>
      <c r="B1420">
        <v>462598545</v>
      </c>
      <c r="C1420" s="1">
        <v>46013.919618055559</v>
      </c>
      <c r="D1420" s="1">
        <v>46013.932870370372</v>
      </c>
      <c r="E1420" t="s">
        <v>3495</v>
      </c>
      <c r="F1420" t="s">
        <v>23</v>
      </c>
      <c r="G1420" t="e">
        <f>+_xlfn.XLOOKUP(tbl_encuesta[[#This Row],[Me siento a gusto con el ambiente de trabajo que se genera en mi equipo.]],#REF!,#REF!)</f>
        <v>#REF!</v>
      </c>
      <c r="H1420" t="s">
        <v>23</v>
      </c>
      <c r="I1420" t="e">
        <f>+_xlfn.XLOOKUP(tbl_encuesta[[#This Row],[Me siento motivado a dar lo mejor de mí y hacer un buen trabajo]],#REF!,#REF!)</f>
        <v>#REF!</v>
      </c>
      <c r="J1420" t="s">
        <v>23</v>
      </c>
      <c r="K1420" t="e">
        <f>+_xlfn.XLOOKUP(tbl_encuesta[[#This Row],[Mi supervisor o jefe directo me otorga el soporte que necesito para afrontar cualquier problema que afecte mi trabajo]],#REF!,#REF!)</f>
        <v>#REF!</v>
      </c>
      <c r="L1420" t="s">
        <v>23</v>
      </c>
      <c r="M1420" t="e">
        <f>+_xlfn.XLOOKUP(tbl_encuesta[[#This Row],[Mi supervisor o jefe directo fomenta que nos apoyemos entre todos en el equipo]],#REF!,#REF!)</f>
        <v>#REF!</v>
      </c>
      <c r="N1420" t="s">
        <v>23</v>
      </c>
      <c r="O1420" t="e">
        <f>+_xlfn.XLOOKUP(tbl_encuesta[[#This Row],[Siento que mi trabajo es reconocido por mi supervisor o jefe directo.]],#REF!,#REF!)</f>
        <v>#REF!</v>
      </c>
      <c r="P1420" t="s">
        <v>67</v>
      </c>
      <c r="Q1420" t="e">
        <f xml:space="preserve">
_xlfn.XLOOKUP(
tbl_encuesta[[#This Row],[Mi supervisor o jefe directo nos brinda charlas de 5 minutos y comunica las novedades relevantes a mi puesto de trabajo]],#REF!,#REF!
)</f>
        <v>#REF!</v>
      </c>
      <c r="R1420" t="s">
        <v>17</v>
      </c>
      <c r="T1420" t="s">
        <v>19</v>
      </c>
      <c r="W1420" t="s">
        <v>25</v>
      </c>
      <c r="X1420" t="s">
        <v>23</v>
      </c>
      <c r="Y1420" t="e">
        <f>+_xlfn.XLOOKUP(tbl_encuesta[[#This Row],[Considero a Limtek como un buen lugar para trabajar]],#REF!,#REF!)</f>
        <v>#REF!</v>
      </c>
      <c r="Z1420" t="s">
        <v>3496</v>
      </c>
      <c r="AA1420" t="s">
        <v>3497</v>
      </c>
      <c r="AB1420" t="s">
        <v>28</v>
      </c>
      <c r="AC1420" t="s">
        <v>3744</v>
      </c>
      <c r="AD1420" t="s">
        <v>3744</v>
      </c>
      <c r="AE1420" t="s">
        <v>29</v>
      </c>
    </row>
    <row r="1421" spans="1:31" x14ac:dyDescent="0.25">
      <c r="A1421">
        <v>119025451270</v>
      </c>
      <c r="B1421">
        <v>462598545</v>
      </c>
      <c r="C1421" s="1">
        <v>46013.927210648151</v>
      </c>
      <c r="D1421" s="1">
        <v>46013.928657407407</v>
      </c>
      <c r="E1421" t="s">
        <v>3498</v>
      </c>
      <c r="F1421" t="s">
        <v>97</v>
      </c>
      <c r="G1421" t="e">
        <f>+_xlfn.XLOOKUP(tbl_encuesta[[#This Row],[Me siento a gusto con el ambiente de trabajo que se genera en mi equipo.]],#REF!,#REF!)</f>
        <v>#REF!</v>
      </c>
      <c r="H1421" t="s">
        <v>22</v>
      </c>
      <c r="I1421" t="e">
        <f>+_xlfn.XLOOKUP(tbl_encuesta[[#This Row],[Me siento motivado a dar lo mejor de mí y hacer un buen trabajo]],#REF!,#REF!)</f>
        <v>#REF!</v>
      </c>
      <c r="J1421" t="s">
        <v>23</v>
      </c>
      <c r="K1421" t="e">
        <f>+_xlfn.XLOOKUP(tbl_encuesta[[#This Row],[Mi supervisor o jefe directo me otorga el soporte que necesito para afrontar cualquier problema que afecte mi trabajo]],#REF!,#REF!)</f>
        <v>#REF!</v>
      </c>
      <c r="L1421" t="s">
        <v>23</v>
      </c>
      <c r="M1421" t="e">
        <f>+_xlfn.XLOOKUP(tbl_encuesta[[#This Row],[Mi supervisor o jefe directo fomenta que nos apoyemos entre todos en el equipo]],#REF!,#REF!)</f>
        <v>#REF!</v>
      </c>
      <c r="N1421" t="s">
        <v>22</v>
      </c>
      <c r="O1421" t="e">
        <f>+_xlfn.XLOOKUP(tbl_encuesta[[#This Row],[Siento que mi trabajo es reconocido por mi supervisor o jefe directo.]],#REF!,#REF!)</f>
        <v>#REF!</v>
      </c>
      <c r="P1421" t="s">
        <v>67</v>
      </c>
      <c r="Q1421" t="e">
        <f xml:space="preserve">
_xlfn.XLOOKUP(
tbl_encuesta[[#This Row],[Mi supervisor o jefe directo nos brinda charlas de 5 minutos y comunica las novedades relevantes a mi puesto de trabajo]],#REF!,#REF!
)</f>
        <v>#REF!</v>
      </c>
      <c r="R1421" t="s">
        <v>17</v>
      </c>
      <c r="S1421" t="s">
        <v>18</v>
      </c>
      <c r="W1421" t="s">
        <v>25</v>
      </c>
      <c r="X1421" t="s">
        <v>22</v>
      </c>
      <c r="Y1421" t="e">
        <f>+_xlfn.XLOOKUP(tbl_encuesta[[#This Row],[Considero a Limtek como un buen lugar para trabajar]],#REF!,#REF!)</f>
        <v>#REF!</v>
      </c>
      <c r="Z1421" t="s">
        <v>3499</v>
      </c>
      <c r="AA1421" t="s">
        <v>3399</v>
      </c>
      <c r="AB1421" t="s">
        <v>28</v>
      </c>
      <c r="AC1421" t="s">
        <v>3744</v>
      </c>
      <c r="AD1421" t="s">
        <v>3744</v>
      </c>
      <c r="AE1421" t="s">
        <v>69</v>
      </c>
    </row>
    <row r="1422" spans="1:31" x14ac:dyDescent="0.25">
      <c r="A1422">
        <v>119025451146</v>
      </c>
      <c r="B1422">
        <v>462598545</v>
      </c>
      <c r="C1422" s="1">
        <v>46013.908634259256</v>
      </c>
      <c r="D1422" s="1">
        <v>46013.928344907406</v>
      </c>
      <c r="E1422" t="s">
        <v>1874</v>
      </c>
      <c r="F1422" t="s">
        <v>43</v>
      </c>
      <c r="G1422" t="e">
        <f>+_xlfn.XLOOKUP(tbl_encuesta[[#This Row],[Me siento a gusto con el ambiente de trabajo que se genera en mi equipo.]],#REF!,#REF!)</f>
        <v>#REF!</v>
      </c>
      <c r="H1422" t="s">
        <v>23</v>
      </c>
      <c r="I1422" t="e">
        <f>+_xlfn.XLOOKUP(tbl_encuesta[[#This Row],[Me siento motivado a dar lo mejor de mí y hacer un buen trabajo]],#REF!,#REF!)</f>
        <v>#REF!</v>
      </c>
      <c r="J1422" t="s">
        <v>97</v>
      </c>
      <c r="K1422" t="e">
        <f>+_xlfn.XLOOKUP(tbl_encuesta[[#This Row],[Mi supervisor o jefe directo me otorga el soporte que necesito para afrontar cualquier problema que afecte mi trabajo]],#REF!,#REF!)</f>
        <v>#REF!</v>
      </c>
      <c r="L1422" t="s">
        <v>43</v>
      </c>
      <c r="M1422" t="e">
        <f>+_xlfn.XLOOKUP(tbl_encuesta[[#This Row],[Mi supervisor o jefe directo fomenta que nos apoyemos entre todos en el equipo]],#REF!,#REF!)</f>
        <v>#REF!</v>
      </c>
      <c r="N1422" t="s">
        <v>23</v>
      </c>
      <c r="O1422" t="e">
        <f>+_xlfn.XLOOKUP(tbl_encuesta[[#This Row],[Siento que mi trabajo es reconocido por mi supervisor o jefe directo.]],#REF!,#REF!)</f>
        <v>#REF!</v>
      </c>
      <c r="P1422" t="s">
        <v>175</v>
      </c>
      <c r="Q1422" t="e">
        <f xml:space="preserve">
_xlfn.XLOOKUP(
tbl_encuesta[[#This Row],[Mi supervisor o jefe directo nos brinda charlas de 5 minutos y comunica las novedades relevantes a mi puesto de trabajo]],#REF!,#REF!
)</f>
        <v>#REF!</v>
      </c>
      <c r="R1422" t="s">
        <v>17</v>
      </c>
      <c r="S1422" t="s">
        <v>18</v>
      </c>
      <c r="W1422" t="s">
        <v>25</v>
      </c>
      <c r="X1422" t="s">
        <v>23</v>
      </c>
      <c r="Y1422" t="e">
        <f>+_xlfn.XLOOKUP(tbl_encuesta[[#This Row],[Considero a Limtek como un buen lugar para trabajar]],#REF!,#REF!)</f>
        <v>#REF!</v>
      </c>
      <c r="Z1422" t="s">
        <v>576</v>
      </c>
      <c r="AA1422" t="s">
        <v>622</v>
      </c>
      <c r="AB1422" t="s">
        <v>28</v>
      </c>
      <c r="AC1422" t="s">
        <v>3744</v>
      </c>
      <c r="AD1422" t="s">
        <v>3744</v>
      </c>
      <c r="AE1422" t="s">
        <v>29</v>
      </c>
    </row>
    <row r="1423" spans="1:31" x14ac:dyDescent="0.25">
      <c r="A1423">
        <v>119025448156</v>
      </c>
      <c r="B1423">
        <v>462598545</v>
      </c>
      <c r="C1423" s="1">
        <v>46013.908877314818</v>
      </c>
      <c r="D1423" s="1">
        <v>46013.919953703706</v>
      </c>
      <c r="E1423" t="s">
        <v>3500</v>
      </c>
      <c r="F1423" t="s">
        <v>23</v>
      </c>
      <c r="G1423" t="e">
        <f>+_xlfn.XLOOKUP(tbl_encuesta[[#This Row],[Me siento a gusto con el ambiente de trabajo que se genera en mi equipo.]],#REF!,#REF!)</f>
        <v>#REF!</v>
      </c>
      <c r="H1423" t="s">
        <v>23</v>
      </c>
      <c r="I1423" t="e">
        <f>+_xlfn.XLOOKUP(tbl_encuesta[[#This Row],[Me siento motivado a dar lo mejor de mí y hacer un buen trabajo]],#REF!,#REF!)</f>
        <v>#REF!</v>
      </c>
      <c r="J1423" t="s">
        <v>23</v>
      </c>
      <c r="K1423" t="e">
        <f>+_xlfn.XLOOKUP(tbl_encuesta[[#This Row],[Mi supervisor o jefe directo me otorga el soporte que necesito para afrontar cualquier problema que afecte mi trabajo]],#REF!,#REF!)</f>
        <v>#REF!</v>
      </c>
      <c r="L1423" t="s">
        <v>23</v>
      </c>
      <c r="M1423" t="e">
        <f>+_xlfn.XLOOKUP(tbl_encuesta[[#This Row],[Mi supervisor o jefe directo fomenta que nos apoyemos entre todos en el equipo]],#REF!,#REF!)</f>
        <v>#REF!</v>
      </c>
      <c r="N1423" t="s">
        <v>23</v>
      </c>
      <c r="O1423" t="e">
        <f>+_xlfn.XLOOKUP(tbl_encuesta[[#This Row],[Siento que mi trabajo es reconocido por mi supervisor o jefe directo.]],#REF!,#REF!)</f>
        <v>#REF!</v>
      </c>
      <c r="P1423" t="s">
        <v>31</v>
      </c>
      <c r="Q1423" t="e">
        <f xml:space="preserve">
_xlfn.XLOOKUP(
tbl_encuesta[[#This Row],[Mi supervisor o jefe directo nos brinda charlas de 5 minutos y comunica las novedades relevantes a mi puesto de trabajo]],#REF!,#REF!
)</f>
        <v>#REF!</v>
      </c>
      <c r="R1423" t="s">
        <v>17</v>
      </c>
      <c r="S1423" t="s">
        <v>18</v>
      </c>
      <c r="W1423" t="s">
        <v>25</v>
      </c>
      <c r="X1423" t="s">
        <v>23</v>
      </c>
      <c r="Y1423" t="e">
        <f>+_xlfn.XLOOKUP(tbl_encuesta[[#This Row],[Considero a Limtek como un buen lugar para trabajar]],#REF!,#REF!)</f>
        <v>#REF!</v>
      </c>
      <c r="Z1423" t="s">
        <v>3501</v>
      </c>
      <c r="AA1423" t="s">
        <v>3502</v>
      </c>
      <c r="AB1423" t="s">
        <v>28</v>
      </c>
      <c r="AC1423" s="3" t="s">
        <v>3729</v>
      </c>
      <c r="AD1423" s="3" t="s">
        <v>3732</v>
      </c>
      <c r="AE1423" t="s">
        <v>61</v>
      </c>
    </row>
    <row r="1424" spans="1:31" x14ac:dyDescent="0.25">
      <c r="A1424">
        <v>119025447891</v>
      </c>
      <c r="B1424">
        <v>462598545</v>
      </c>
      <c r="C1424" s="1">
        <v>46013.915405092594</v>
      </c>
      <c r="D1424" s="1">
        <v>46013.919293981482</v>
      </c>
      <c r="E1424" t="s">
        <v>543</v>
      </c>
      <c r="F1424" t="s">
        <v>97</v>
      </c>
      <c r="G1424" t="e">
        <f>+_xlfn.XLOOKUP(tbl_encuesta[[#This Row],[Me siento a gusto con el ambiente de trabajo que se genera en mi equipo.]],#REF!,#REF!)</f>
        <v>#REF!</v>
      </c>
      <c r="H1424" t="s">
        <v>22</v>
      </c>
      <c r="I1424" t="e">
        <f>+_xlfn.XLOOKUP(tbl_encuesta[[#This Row],[Me siento motivado a dar lo mejor de mí y hacer un buen trabajo]],#REF!,#REF!)</f>
        <v>#REF!</v>
      </c>
      <c r="J1424" t="s">
        <v>97</v>
      </c>
      <c r="K1424" t="e">
        <f>+_xlfn.XLOOKUP(tbl_encuesta[[#This Row],[Mi supervisor o jefe directo me otorga el soporte que necesito para afrontar cualquier problema que afecte mi trabajo]],#REF!,#REF!)</f>
        <v>#REF!</v>
      </c>
      <c r="L1424" t="s">
        <v>97</v>
      </c>
      <c r="M1424" t="e">
        <f>+_xlfn.XLOOKUP(tbl_encuesta[[#This Row],[Mi supervisor o jefe directo fomenta que nos apoyemos entre todos en el equipo]],#REF!,#REF!)</f>
        <v>#REF!</v>
      </c>
      <c r="N1424" t="s">
        <v>22</v>
      </c>
      <c r="O1424" t="e">
        <f>+_xlfn.XLOOKUP(tbl_encuesta[[#This Row],[Siento que mi trabajo es reconocido por mi supervisor o jefe directo.]],#REF!,#REF!)</f>
        <v>#REF!</v>
      </c>
      <c r="P1424" t="s">
        <v>24</v>
      </c>
      <c r="Q1424" t="e">
        <f xml:space="preserve">
_xlfn.XLOOKUP(
tbl_encuesta[[#This Row],[Mi supervisor o jefe directo nos brinda charlas de 5 minutos y comunica las novedades relevantes a mi puesto de trabajo]],#REF!,#REF!
)</f>
        <v>#REF!</v>
      </c>
      <c r="U1424" t="s">
        <v>20</v>
      </c>
      <c r="W1424" t="s">
        <v>25</v>
      </c>
      <c r="X1424" t="s">
        <v>22</v>
      </c>
      <c r="Y1424" t="e">
        <f>+_xlfn.XLOOKUP(tbl_encuesta[[#This Row],[Considero a Limtek como un buen lugar para trabajar]],#REF!,#REF!)</f>
        <v>#REF!</v>
      </c>
      <c r="Z1424" t="s">
        <v>3503</v>
      </c>
      <c r="AA1424" t="s">
        <v>122</v>
      </c>
      <c r="AB1424" t="s">
        <v>28</v>
      </c>
      <c r="AC1424" s="3" t="s">
        <v>3716</v>
      </c>
      <c r="AD1424" s="3" t="s">
        <v>3716</v>
      </c>
      <c r="AE1424" t="s">
        <v>69</v>
      </c>
    </row>
    <row r="1425" spans="1:31" x14ac:dyDescent="0.25">
      <c r="A1425">
        <v>119025447602</v>
      </c>
      <c r="B1425">
        <v>462598545</v>
      </c>
      <c r="C1425" s="1">
        <v>46013.915486111109</v>
      </c>
      <c r="D1425" s="1">
        <v>46013.918553240743</v>
      </c>
      <c r="E1425" t="s">
        <v>3504</v>
      </c>
      <c r="F1425" t="s">
        <v>23</v>
      </c>
      <c r="G1425" t="e">
        <f>+_xlfn.XLOOKUP(tbl_encuesta[[#This Row],[Me siento a gusto con el ambiente de trabajo que se genera en mi equipo.]],#REF!,#REF!)</f>
        <v>#REF!</v>
      </c>
      <c r="H1425" t="s">
        <v>23</v>
      </c>
      <c r="I1425" t="e">
        <f>+_xlfn.XLOOKUP(tbl_encuesta[[#This Row],[Me siento motivado a dar lo mejor de mí y hacer un buen trabajo]],#REF!,#REF!)</f>
        <v>#REF!</v>
      </c>
      <c r="J1425" t="s">
        <v>23</v>
      </c>
      <c r="K1425" t="e">
        <f>+_xlfn.XLOOKUP(tbl_encuesta[[#This Row],[Mi supervisor o jefe directo me otorga el soporte que necesito para afrontar cualquier problema que afecte mi trabajo]],#REF!,#REF!)</f>
        <v>#REF!</v>
      </c>
      <c r="L1425" t="s">
        <v>23</v>
      </c>
      <c r="M1425" t="e">
        <f>+_xlfn.XLOOKUP(tbl_encuesta[[#This Row],[Mi supervisor o jefe directo fomenta que nos apoyemos entre todos en el equipo]],#REF!,#REF!)</f>
        <v>#REF!</v>
      </c>
      <c r="N1425" t="s">
        <v>23</v>
      </c>
      <c r="O1425" t="e">
        <f>+_xlfn.XLOOKUP(tbl_encuesta[[#This Row],[Siento que mi trabajo es reconocido por mi supervisor o jefe directo.]],#REF!,#REF!)</f>
        <v>#REF!</v>
      </c>
      <c r="P1425" t="s">
        <v>67</v>
      </c>
      <c r="Q1425" t="e">
        <f xml:space="preserve">
_xlfn.XLOOKUP(
tbl_encuesta[[#This Row],[Mi supervisor o jefe directo nos brinda charlas de 5 minutos y comunica las novedades relevantes a mi puesto de trabajo]],#REF!,#REF!
)</f>
        <v>#REF!</v>
      </c>
      <c r="S1425" t="s">
        <v>18</v>
      </c>
      <c r="T1425" t="s">
        <v>19</v>
      </c>
      <c r="W1425" t="s">
        <v>25</v>
      </c>
      <c r="X1425" t="s">
        <v>22</v>
      </c>
      <c r="Y1425" t="e">
        <f>+_xlfn.XLOOKUP(tbl_encuesta[[#This Row],[Considero a Limtek como un buen lugar para trabajar]],#REF!,#REF!)</f>
        <v>#REF!</v>
      </c>
      <c r="Z1425" t="s">
        <v>1574</v>
      </c>
      <c r="AA1425" t="s">
        <v>3505</v>
      </c>
      <c r="AB1425" t="s">
        <v>28</v>
      </c>
      <c r="AC1425" s="3" t="s">
        <v>3736</v>
      </c>
      <c r="AD1425" s="3" t="s">
        <v>3737</v>
      </c>
      <c r="AE1425" t="s">
        <v>61</v>
      </c>
    </row>
    <row r="1426" spans="1:31" x14ac:dyDescent="0.25">
      <c r="A1426">
        <v>119025442870</v>
      </c>
      <c r="B1426">
        <v>462598545</v>
      </c>
      <c r="C1426" s="1">
        <v>46013.898981481485</v>
      </c>
      <c r="D1426" s="1">
        <v>46013.905763888892</v>
      </c>
      <c r="E1426" t="s">
        <v>1620</v>
      </c>
      <c r="F1426" t="s">
        <v>43</v>
      </c>
      <c r="G1426" t="e">
        <f>+_xlfn.XLOOKUP(tbl_encuesta[[#This Row],[Me siento a gusto con el ambiente de trabajo que se genera en mi equipo.]],#REF!,#REF!)</f>
        <v>#REF!</v>
      </c>
      <c r="H1426" t="s">
        <v>23</v>
      </c>
      <c r="I1426" t="e">
        <f>+_xlfn.XLOOKUP(tbl_encuesta[[#This Row],[Me siento motivado a dar lo mejor de mí y hacer un buen trabajo]],#REF!,#REF!)</f>
        <v>#REF!</v>
      </c>
      <c r="J1426" t="s">
        <v>97</v>
      </c>
      <c r="K1426" t="e">
        <f>+_xlfn.XLOOKUP(tbl_encuesta[[#This Row],[Mi supervisor o jefe directo me otorga el soporte que necesito para afrontar cualquier problema que afecte mi trabajo]],#REF!,#REF!)</f>
        <v>#REF!</v>
      </c>
      <c r="L1426" t="s">
        <v>22</v>
      </c>
      <c r="M1426" t="e">
        <f>+_xlfn.XLOOKUP(tbl_encuesta[[#This Row],[Mi supervisor o jefe directo fomenta que nos apoyemos entre todos en el equipo]],#REF!,#REF!)</f>
        <v>#REF!</v>
      </c>
      <c r="N1426" t="s">
        <v>97</v>
      </c>
      <c r="O1426" t="e">
        <f>+_xlfn.XLOOKUP(tbl_encuesta[[#This Row],[Siento que mi trabajo es reconocido por mi supervisor o jefe directo.]],#REF!,#REF!)</f>
        <v>#REF!</v>
      </c>
      <c r="P1426" t="s">
        <v>24</v>
      </c>
      <c r="Q1426" t="e">
        <f xml:space="preserve">
_xlfn.XLOOKUP(
tbl_encuesta[[#This Row],[Mi supervisor o jefe directo nos brinda charlas de 5 minutos y comunica las novedades relevantes a mi puesto de trabajo]],#REF!,#REF!
)</f>
        <v>#REF!</v>
      </c>
      <c r="R1426" t="s">
        <v>17</v>
      </c>
      <c r="S1426" t="s">
        <v>18</v>
      </c>
      <c r="W1426" t="s">
        <v>25</v>
      </c>
      <c r="X1426" t="s">
        <v>22</v>
      </c>
      <c r="Y1426" t="e">
        <f>+_xlfn.XLOOKUP(tbl_encuesta[[#This Row],[Considero a Limtek como un buen lugar para trabajar]],#REF!,#REF!)</f>
        <v>#REF!</v>
      </c>
      <c r="Z1426" t="s">
        <v>3506</v>
      </c>
      <c r="AA1426" t="s">
        <v>3507</v>
      </c>
      <c r="AB1426" t="s">
        <v>28</v>
      </c>
      <c r="AC1426" s="3" t="s">
        <v>3716</v>
      </c>
      <c r="AD1426" s="3" t="s">
        <v>3724</v>
      </c>
      <c r="AE1426" t="s">
        <v>29</v>
      </c>
    </row>
    <row r="1427" spans="1:31" x14ac:dyDescent="0.25">
      <c r="A1427">
        <v>119025442439</v>
      </c>
      <c r="B1427">
        <v>462598545</v>
      </c>
      <c r="C1427" s="1">
        <v>46013.898726851854</v>
      </c>
      <c r="D1427" s="1">
        <v>46013.904618055552</v>
      </c>
      <c r="E1427" t="s">
        <v>3508</v>
      </c>
      <c r="F1427" t="s">
        <v>23</v>
      </c>
      <c r="G1427" t="e">
        <f>+_xlfn.XLOOKUP(tbl_encuesta[[#This Row],[Me siento a gusto con el ambiente de trabajo que se genera en mi equipo.]],#REF!,#REF!)</f>
        <v>#REF!</v>
      </c>
      <c r="H1427" t="s">
        <v>23</v>
      </c>
      <c r="I1427" t="e">
        <f>+_xlfn.XLOOKUP(tbl_encuesta[[#This Row],[Me siento motivado a dar lo mejor de mí y hacer un buen trabajo]],#REF!,#REF!)</f>
        <v>#REF!</v>
      </c>
      <c r="J1427" t="s">
        <v>23</v>
      </c>
      <c r="K1427" t="e">
        <f>+_xlfn.XLOOKUP(tbl_encuesta[[#This Row],[Mi supervisor o jefe directo me otorga el soporte que necesito para afrontar cualquier problema que afecte mi trabajo]],#REF!,#REF!)</f>
        <v>#REF!</v>
      </c>
      <c r="L1427" t="s">
        <v>23</v>
      </c>
      <c r="M1427" t="e">
        <f>+_xlfn.XLOOKUP(tbl_encuesta[[#This Row],[Mi supervisor o jefe directo fomenta que nos apoyemos entre todos en el equipo]],#REF!,#REF!)</f>
        <v>#REF!</v>
      </c>
      <c r="N1427" t="s">
        <v>23</v>
      </c>
      <c r="O1427" t="e">
        <f>+_xlfn.XLOOKUP(tbl_encuesta[[#This Row],[Siento que mi trabajo es reconocido por mi supervisor o jefe directo.]],#REF!,#REF!)</f>
        <v>#REF!</v>
      </c>
      <c r="P1427" t="s">
        <v>31</v>
      </c>
      <c r="Q1427" t="e">
        <f xml:space="preserve">
_xlfn.XLOOKUP(
tbl_encuesta[[#This Row],[Mi supervisor o jefe directo nos brinda charlas de 5 minutos y comunica las novedades relevantes a mi puesto de trabajo]],#REF!,#REF!
)</f>
        <v>#REF!</v>
      </c>
      <c r="S1427" t="s">
        <v>18</v>
      </c>
      <c r="W1427" t="s">
        <v>46</v>
      </c>
      <c r="X1427" t="s">
        <v>23</v>
      </c>
      <c r="Y1427" t="e">
        <f>+_xlfn.XLOOKUP(tbl_encuesta[[#This Row],[Considero a Limtek como un buen lugar para trabajar]],#REF!,#REF!)</f>
        <v>#REF!</v>
      </c>
      <c r="Z1427" t="s">
        <v>727</v>
      </c>
      <c r="AA1427" t="s">
        <v>122</v>
      </c>
      <c r="AB1427" t="s">
        <v>28</v>
      </c>
      <c r="AC1427" s="3" t="s">
        <v>3716</v>
      </c>
      <c r="AD1427" s="3" t="s">
        <v>3724</v>
      </c>
      <c r="AE1427" t="s">
        <v>69</v>
      </c>
    </row>
    <row r="1428" spans="1:31" x14ac:dyDescent="0.25">
      <c r="A1428">
        <v>119025438184</v>
      </c>
      <c r="B1428">
        <v>462598545</v>
      </c>
      <c r="C1428" s="1">
        <v>46013.891053240739</v>
      </c>
      <c r="D1428" s="1">
        <v>46013.893368055556</v>
      </c>
      <c r="E1428" t="s">
        <v>3509</v>
      </c>
      <c r="F1428" t="s">
        <v>23</v>
      </c>
      <c r="G1428" t="e">
        <f>+_xlfn.XLOOKUP(tbl_encuesta[[#This Row],[Me siento a gusto con el ambiente de trabajo que se genera en mi equipo.]],#REF!,#REF!)</f>
        <v>#REF!</v>
      </c>
      <c r="H1428" t="s">
        <v>23</v>
      </c>
      <c r="I1428" t="e">
        <f>+_xlfn.XLOOKUP(tbl_encuesta[[#This Row],[Me siento motivado a dar lo mejor de mí y hacer un buen trabajo]],#REF!,#REF!)</f>
        <v>#REF!</v>
      </c>
      <c r="J1428" t="s">
        <v>23</v>
      </c>
      <c r="K1428" t="e">
        <f>+_xlfn.XLOOKUP(tbl_encuesta[[#This Row],[Mi supervisor o jefe directo me otorga el soporte que necesito para afrontar cualquier problema que afecte mi trabajo]],#REF!,#REF!)</f>
        <v>#REF!</v>
      </c>
      <c r="L1428" t="s">
        <v>23</v>
      </c>
      <c r="M1428" t="e">
        <f>+_xlfn.XLOOKUP(tbl_encuesta[[#This Row],[Mi supervisor o jefe directo fomenta que nos apoyemos entre todos en el equipo]],#REF!,#REF!)</f>
        <v>#REF!</v>
      </c>
      <c r="N1428" t="s">
        <v>23</v>
      </c>
      <c r="O1428" t="e">
        <f>+_xlfn.XLOOKUP(tbl_encuesta[[#This Row],[Siento que mi trabajo es reconocido por mi supervisor o jefe directo.]],#REF!,#REF!)</f>
        <v>#REF!</v>
      </c>
      <c r="P1428" t="s">
        <v>31</v>
      </c>
      <c r="Q1428" t="e">
        <f xml:space="preserve">
_xlfn.XLOOKUP(
tbl_encuesta[[#This Row],[Mi supervisor o jefe directo nos brinda charlas de 5 minutos y comunica las novedades relevantes a mi puesto de trabajo]],#REF!,#REF!
)</f>
        <v>#REF!</v>
      </c>
      <c r="S1428" t="s">
        <v>18</v>
      </c>
      <c r="W1428" t="s">
        <v>46</v>
      </c>
      <c r="X1428" t="s">
        <v>23</v>
      </c>
      <c r="Y1428" t="e">
        <f>+_xlfn.XLOOKUP(tbl_encuesta[[#This Row],[Considero a Limtek como un buen lugar para trabajar]],#REF!,#REF!)</f>
        <v>#REF!</v>
      </c>
      <c r="Z1428" t="s">
        <v>3510</v>
      </c>
      <c r="AA1428" t="s">
        <v>54</v>
      </c>
      <c r="AB1428" t="s">
        <v>28</v>
      </c>
      <c r="AC1428" s="3" t="s">
        <v>3716</v>
      </c>
      <c r="AD1428" s="3" t="s">
        <v>3724</v>
      </c>
      <c r="AE1428" t="s">
        <v>69</v>
      </c>
    </row>
    <row r="1429" spans="1:31" x14ac:dyDescent="0.25">
      <c r="A1429">
        <v>119025437757</v>
      </c>
      <c r="B1429">
        <v>462598545</v>
      </c>
      <c r="C1429" s="1">
        <v>46013.890011574076</v>
      </c>
      <c r="D1429" s="1">
        <v>46013.892395833333</v>
      </c>
      <c r="E1429" t="s">
        <v>1842</v>
      </c>
      <c r="F1429" t="s">
        <v>23</v>
      </c>
      <c r="G1429" t="e">
        <f>+_xlfn.XLOOKUP(tbl_encuesta[[#This Row],[Me siento a gusto con el ambiente de trabajo que se genera en mi equipo.]],#REF!,#REF!)</f>
        <v>#REF!</v>
      </c>
      <c r="H1429" t="s">
        <v>23</v>
      </c>
      <c r="I1429" t="e">
        <f>+_xlfn.XLOOKUP(tbl_encuesta[[#This Row],[Me siento motivado a dar lo mejor de mí y hacer un buen trabajo]],#REF!,#REF!)</f>
        <v>#REF!</v>
      </c>
      <c r="J1429" t="s">
        <v>23</v>
      </c>
      <c r="K1429" t="e">
        <f>+_xlfn.XLOOKUP(tbl_encuesta[[#This Row],[Mi supervisor o jefe directo me otorga el soporte que necesito para afrontar cualquier problema que afecte mi trabajo]],#REF!,#REF!)</f>
        <v>#REF!</v>
      </c>
      <c r="L1429" t="s">
        <v>23</v>
      </c>
      <c r="M1429" t="e">
        <f>+_xlfn.XLOOKUP(tbl_encuesta[[#This Row],[Mi supervisor o jefe directo fomenta que nos apoyemos entre todos en el equipo]],#REF!,#REF!)</f>
        <v>#REF!</v>
      </c>
      <c r="N1429" t="s">
        <v>22</v>
      </c>
      <c r="O1429" t="e">
        <f>+_xlfn.XLOOKUP(tbl_encuesta[[#This Row],[Siento que mi trabajo es reconocido por mi supervisor o jefe directo.]],#REF!,#REF!)</f>
        <v>#REF!</v>
      </c>
      <c r="P1429" t="s">
        <v>31</v>
      </c>
      <c r="Q1429" t="e">
        <f xml:space="preserve">
_xlfn.XLOOKUP(
tbl_encuesta[[#This Row],[Mi supervisor o jefe directo nos brinda charlas de 5 minutos y comunica las novedades relevantes a mi puesto de trabajo]],#REF!,#REF!
)</f>
        <v>#REF!</v>
      </c>
      <c r="R1429" t="s">
        <v>17</v>
      </c>
      <c r="S1429" t="s">
        <v>18</v>
      </c>
      <c r="W1429" t="s">
        <v>25</v>
      </c>
      <c r="X1429" t="s">
        <v>23</v>
      </c>
      <c r="Y1429" t="e">
        <f>+_xlfn.XLOOKUP(tbl_encuesta[[#This Row],[Considero a Limtek como un buen lugar para trabajar]],#REF!,#REF!)</f>
        <v>#REF!</v>
      </c>
      <c r="Z1429" t="s">
        <v>641</v>
      </c>
      <c r="AA1429" t="s">
        <v>3511</v>
      </c>
      <c r="AB1429" t="s">
        <v>28</v>
      </c>
      <c r="AC1429" s="3" t="s">
        <v>3716</v>
      </c>
      <c r="AD1429" s="3" t="s">
        <v>3723</v>
      </c>
      <c r="AE1429" t="s">
        <v>69</v>
      </c>
    </row>
    <row r="1430" spans="1:31" x14ac:dyDescent="0.25">
      <c r="A1430">
        <v>119025436559</v>
      </c>
      <c r="B1430">
        <v>462598545</v>
      </c>
      <c r="C1430" s="1">
        <v>46013.885277777779</v>
      </c>
      <c r="D1430" s="1">
        <v>46013.889293981483</v>
      </c>
      <c r="E1430" t="s">
        <v>1620</v>
      </c>
      <c r="F1430" t="s">
        <v>23</v>
      </c>
      <c r="G1430" t="e">
        <f>+_xlfn.XLOOKUP(tbl_encuesta[[#This Row],[Me siento a gusto con el ambiente de trabajo que se genera en mi equipo.]],#REF!,#REF!)</f>
        <v>#REF!</v>
      </c>
      <c r="H1430" t="s">
        <v>23</v>
      </c>
      <c r="I1430" t="e">
        <f>+_xlfn.XLOOKUP(tbl_encuesta[[#This Row],[Me siento motivado a dar lo mejor de mí y hacer un buen trabajo]],#REF!,#REF!)</f>
        <v>#REF!</v>
      </c>
      <c r="J1430" t="s">
        <v>23</v>
      </c>
      <c r="K1430" t="e">
        <f>+_xlfn.XLOOKUP(tbl_encuesta[[#This Row],[Mi supervisor o jefe directo me otorga el soporte que necesito para afrontar cualquier problema que afecte mi trabajo]],#REF!,#REF!)</f>
        <v>#REF!</v>
      </c>
      <c r="L1430" t="s">
        <v>23</v>
      </c>
      <c r="M1430" t="e">
        <f>+_xlfn.XLOOKUP(tbl_encuesta[[#This Row],[Mi supervisor o jefe directo fomenta que nos apoyemos entre todos en el equipo]],#REF!,#REF!)</f>
        <v>#REF!</v>
      </c>
      <c r="N1430" t="s">
        <v>23</v>
      </c>
      <c r="O1430" t="e">
        <f>+_xlfn.XLOOKUP(tbl_encuesta[[#This Row],[Siento que mi trabajo es reconocido por mi supervisor o jefe directo.]],#REF!,#REF!)</f>
        <v>#REF!</v>
      </c>
      <c r="P1430" t="s">
        <v>31</v>
      </c>
      <c r="Q1430" t="e">
        <f xml:space="preserve">
_xlfn.XLOOKUP(
tbl_encuesta[[#This Row],[Mi supervisor o jefe directo nos brinda charlas de 5 minutos y comunica las novedades relevantes a mi puesto de trabajo]],#REF!,#REF!
)</f>
        <v>#REF!</v>
      </c>
      <c r="R1430" t="s">
        <v>17</v>
      </c>
      <c r="T1430" t="s">
        <v>19</v>
      </c>
      <c r="W1430" t="s">
        <v>25</v>
      </c>
      <c r="X1430" t="s">
        <v>23</v>
      </c>
      <c r="Y1430" t="e">
        <f>+_xlfn.XLOOKUP(tbl_encuesta[[#This Row],[Considero a Limtek como un buen lugar para trabajar]],#REF!,#REF!)</f>
        <v>#REF!</v>
      </c>
      <c r="Z1430" t="s">
        <v>215</v>
      </c>
      <c r="AA1430" t="s">
        <v>3512</v>
      </c>
      <c r="AB1430" t="s">
        <v>28</v>
      </c>
      <c r="AC1430" s="3" t="s">
        <v>3716</v>
      </c>
      <c r="AD1430" s="3" t="s">
        <v>3723</v>
      </c>
      <c r="AE1430" t="s">
        <v>69</v>
      </c>
    </row>
    <row r="1431" spans="1:31" x14ac:dyDescent="0.25">
      <c r="A1431">
        <v>119025434504</v>
      </c>
      <c r="B1431">
        <v>462598545</v>
      </c>
      <c r="C1431" s="1">
        <v>46013.880578703705</v>
      </c>
      <c r="D1431" s="1">
        <v>46013.884259259263</v>
      </c>
      <c r="E1431" t="s">
        <v>1620</v>
      </c>
      <c r="F1431" t="s">
        <v>22</v>
      </c>
      <c r="G1431" t="e">
        <f>+_xlfn.XLOOKUP(tbl_encuesta[[#This Row],[Me siento a gusto con el ambiente de trabajo que se genera en mi equipo.]],#REF!,#REF!)</f>
        <v>#REF!</v>
      </c>
      <c r="H1431" t="s">
        <v>23</v>
      </c>
      <c r="I1431" t="e">
        <f>+_xlfn.XLOOKUP(tbl_encuesta[[#This Row],[Me siento motivado a dar lo mejor de mí y hacer un buen trabajo]],#REF!,#REF!)</f>
        <v>#REF!</v>
      </c>
      <c r="J1431" t="s">
        <v>97</v>
      </c>
      <c r="K1431" t="e">
        <f>+_xlfn.XLOOKUP(tbl_encuesta[[#This Row],[Mi supervisor o jefe directo me otorga el soporte que necesito para afrontar cualquier problema que afecte mi trabajo]],#REF!,#REF!)</f>
        <v>#REF!</v>
      </c>
      <c r="L1431" t="s">
        <v>22</v>
      </c>
      <c r="M1431" t="e">
        <f>+_xlfn.XLOOKUP(tbl_encuesta[[#This Row],[Mi supervisor o jefe directo fomenta que nos apoyemos entre todos en el equipo]],#REF!,#REF!)</f>
        <v>#REF!</v>
      </c>
      <c r="N1431" t="s">
        <v>97</v>
      </c>
      <c r="O1431" t="e">
        <f>+_xlfn.XLOOKUP(tbl_encuesta[[#This Row],[Siento que mi trabajo es reconocido por mi supervisor o jefe directo.]],#REF!,#REF!)</f>
        <v>#REF!</v>
      </c>
      <c r="P1431" t="s">
        <v>67</v>
      </c>
      <c r="Q1431" t="e">
        <f xml:space="preserve">
_xlfn.XLOOKUP(
tbl_encuesta[[#This Row],[Mi supervisor o jefe directo nos brinda charlas de 5 minutos y comunica las novedades relevantes a mi puesto de trabajo]],#REF!,#REF!
)</f>
        <v>#REF!</v>
      </c>
      <c r="R1431" t="s">
        <v>17</v>
      </c>
      <c r="V1431" t="s">
        <v>129</v>
      </c>
      <c r="W1431" t="s">
        <v>25</v>
      </c>
      <c r="X1431" t="s">
        <v>22</v>
      </c>
      <c r="Y1431" t="e">
        <f>+_xlfn.XLOOKUP(tbl_encuesta[[#This Row],[Considero a Limtek como un buen lugar para trabajar]],#REF!,#REF!)</f>
        <v>#REF!</v>
      </c>
      <c r="Z1431" t="s">
        <v>3513</v>
      </c>
      <c r="AA1431" t="s">
        <v>3514</v>
      </c>
      <c r="AB1431" t="s">
        <v>28</v>
      </c>
      <c r="AC1431" s="3" t="s">
        <v>3716</v>
      </c>
      <c r="AD1431" s="3" t="s">
        <v>3724</v>
      </c>
      <c r="AE1431" t="s">
        <v>69</v>
      </c>
    </row>
    <row r="1432" spans="1:31" x14ac:dyDescent="0.25">
      <c r="A1432">
        <v>119025434287</v>
      </c>
      <c r="B1432">
        <v>462598545</v>
      </c>
      <c r="C1432" s="1">
        <v>46013.880844907406</v>
      </c>
      <c r="D1432" s="1">
        <v>46013.883703703701</v>
      </c>
      <c r="E1432" t="s">
        <v>3515</v>
      </c>
      <c r="F1432" t="s">
        <v>23</v>
      </c>
      <c r="G1432" t="e">
        <f>+_xlfn.XLOOKUP(tbl_encuesta[[#This Row],[Me siento a gusto con el ambiente de trabajo que se genera en mi equipo.]],#REF!,#REF!)</f>
        <v>#REF!</v>
      </c>
      <c r="H1432" t="s">
        <v>23</v>
      </c>
      <c r="I1432" t="e">
        <f>+_xlfn.XLOOKUP(tbl_encuesta[[#This Row],[Me siento motivado a dar lo mejor de mí y hacer un buen trabajo]],#REF!,#REF!)</f>
        <v>#REF!</v>
      </c>
      <c r="J1432" t="s">
        <v>23</v>
      </c>
      <c r="K1432" t="e">
        <f>+_xlfn.XLOOKUP(tbl_encuesta[[#This Row],[Mi supervisor o jefe directo me otorga el soporte que necesito para afrontar cualquier problema que afecte mi trabajo]],#REF!,#REF!)</f>
        <v>#REF!</v>
      </c>
      <c r="L1432" t="s">
        <v>23</v>
      </c>
      <c r="M1432" t="e">
        <f>+_xlfn.XLOOKUP(tbl_encuesta[[#This Row],[Mi supervisor o jefe directo fomenta que nos apoyemos entre todos en el equipo]],#REF!,#REF!)</f>
        <v>#REF!</v>
      </c>
      <c r="N1432" t="s">
        <v>23</v>
      </c>
      <c r="O1432" t="e">
        <f>+_xlfn.XLOOKUP(tbl_encuesta[[#This Row],[Siento que mi trabajo es reconocido por mi supervisor o jefe directo.]],#REF!,#REF!)</f>
        <v>#REF!</v>
      </c>
      <c r="P1432" t="s">
        <v>31</v>
      </c>
      <c r="Q1432" t="e">
        <f xml:space="preserve">
_xlfn.XLOOKUP(
tbl_encuesta[[#This Row],[Mi supervisor o jefe directo nos brinda charlas de 5 minutos y comunica las novedades relevantes a mi puesto de trabajo]],#REF!,#REF!
)</f>
        <v>#REF!</v>
      </c>
      <c r="R1432" t="s">
        <v>17</v>
      </c>
      <c r="S1432" t="s">
        <v>18</v>
      </c>
      <c r="W1432" t="s">
        <v>46</v>
      </c>
      <c r="X1432" t="s">
        <v>23</v>
      </c>
      <c r="Y1432" t="e">
        <f>+_xlfn.XLOOKUP(tbl_encuesta[[#This Row],[Considero a Limtek como un buen lugar para trabajar]],#REF!,#REF!)</f>
        <v>#REF!</v>
      </c>
      <c r="Z1432" t="s">
        <v>576</v>
      </c>
      <c r="AA1432" t="s">
        <v>3516</v>
      </c>
      <c r="AB1432" t="s">
        <v>28</v>
      </c>
      <c r="AC1432" s="3" t="s">
        <v>3716</v>
      </c>
      <c r="AD1432" s="3" t="s">
        <v>3724</v>
      </c>
      <c r="AE1432" t="s">
        <v>69</v>
      </c>
    </row>
    <row r="1433" spans="1:31" x14ac:dyDescent="0.25">
      <c r="A1433">
        <v>119025430997</v>
      </c>
      <c r="B1433">
        <v>462598545</v>
      </c>
      <c r="C1433" s="1">
        <v>46013.871805555558</v>
      </c>
      <c r="D1433" s="1">
        <v>46013.87636574074</v>
      </c>
      <c r="E1433" t="s">
        <v>3517</v>
      </c>
      <c r="F1433" t="s">
        <v>23</v>
      </c>
      <c r="G1433" t="e">
        <f>+_xlfn.XLOOKUP(tbl_encuesta[[#This Row],[Me siento a gusto con el ambiente de trabajo que se genera en mi equipo.]],#REF!,#REF!)</f>
        <v>#REF!</v>
      </c>
      <c r="H1433" t="s">
        <v>22</v>
      </c>
      <c r="I1433" t="e">
        <f>+_xlfn.XLOOKUP(tbl_encuesta[[#This Row],[Me siento motivado a dar lo mejor de mí y hacer un buen trabajo]],#REF!,#REF!)</f>
        <v>#REF!</v>
      </c>
      <c r="J1433" t="s">
        <v>23</v>
      </c>
      <c r="K1433" t="e">
        <f>+_xlfn.XLOOKUP(tbl_encuesta[[#This Row],[Mi supervisor o jefe directo me otorga el soporte que necesito para afrontar cualquier problema que afecte mi trabajo]],#REF!,#REF!)</f>
        <v>#REF!</v>
      </c>
      <c r="L1433" t="s">
        <v>23</v>
      </c>
      <c r="M1433" t="e">
        <f>+_xlfn.XLOOKUP(tbl_encuesta[[#This Row],[Mi supervisor o jefe directo fomenta que nos apoyemos entre todos en el equipo]],#REF!,#REF!)</f>
        <v>#REF!</v>
      </c>
      <c r="N1433" t="s">
        <v>22</v>
      </c>
      <c r="O1433" t="e">
        <f>+_xlfn.XLOOKUP(tbl_encuesta[[#This Row],[Siento que mi trabajo es reconocido por mi supervisor o jefe directo.]],#REF!,#REF!)</f>
        <v>#REF!</v>
      </c>
      <c r="P1433" t="s">
        <v>31</v>
      </c>
      <c r="Q1433" t="e">
        <f xml:space="preserve">
_xlfn.XLOOKUP(
tbl_encuesta[[#This Row],[Mi supervisor o jefe directo nos brinda charlas de 5 minutos y comunica las novedades relevantes a mi puesto de trabajo]],#REF!,#REF!
)</f>
        <v>#REF!</v>
      </c>
      <c r="R1433" t="s">
        <v>17</v>
      </c>
      <c r="T1433" t="s">
        <v>19</v>
      </c>
      <c r="W1433" t="s">
        <v>25</v>
      </c>
      <c r="X1433" t="s">
        <v>22</v>
      </c>
      <c r="Y1433" t="e">
        <f>+_xlfn.XLOOKUP(tbl_encuesta[[#This Row],[Considero a Limtek como un buen lugar para trabajar]],#REF!,#REF!)</f>
        <v>#REF!</v>
      </c>
      <c r="Z1433" t="s">
        <v>3518</v>
      </c>
      <c r="AA1433" t="s">
        <v>3519</v>
      </c>
      <c r="AB1433" t="s">
        <v>28</v>
      </c>
      <c r="AC1433" s="3" t="s">
        <v>3736</v>
      </c>
      <c r="AD1433" s="3" t="s">
        <v>3736</v>
      </c>
      <c r="AE1433" t="s">
        <v>34</v>
      </c>
    </row>
    <row r="1434" spans="1:31" x14ac:dyDescent="0.25">
      <c r="A1434">
        <v>119025430462</v>
      </c>
      <c r="B1434">
        <v>462598545</v>
      </c>
      <c r="C1434" s="1">
        <v>46013.868217592593</v>
      </c>
      <c r="D1434" s="1">
        <v>46013.874930555554</v>
      </c>
      <c r="E1434" t="s">
        <v>3520</v>
      </c>
      <c r="F1434" t="s">
        <v>23</v>
      </c>
      <c r="G1434" t="e">
        <f>+_xlfn.XLOOKUP(tbl_encuesta[[#This Row],[Me siento a gusto con el ambiente de trabajo que se genera en mi equipo.]],#REF!,#REF!)</f>
        <v>#REF!</v>
      </c>
      <c r="H1434" t="s">
        <v>23</v>
      </c>
      <c r="I1434" t="e">
        <f>+_xlfn.XLOOKUP(tbl_encuesta[[#This Row],[Me siento motivado a dar lo mejor de mí y hacer un buen trabajo]],#REF!,#REF!)</f>
        <v>#REF!</v>
      </c>
      <c r="J1434" t="s">
        <v>23</v>
      </c>
      <c r="K1434" t="e">
        <f>+_xlfn.XLOOKUP(tbl_encuesta[[#This Row],[Mi supervisor o jefe directo me otorga el soporte que necesito para afrontar cualquier problema que afecte mi trabajo]],#REF!,#REF!)</f>
        <v>#REF!</v>
      </c>
      <c r="L1434" t="s">
        <v>23</v>
      </c>
      <c r="M1434" t="e">
        <f>+_xlfn.XLOOKUP(tbl_encuesta[[#This Row],[Mi supervisor o jefe directo fomenta que nos apoyemos entre todos en el equipo]],#REF!,#REF!)</f>
        <v>#REF!</v>
      </c>
      <c r="N1434" t="s">
        <v>23</v>
      </c>
      <c r="O1434" t="e">
        <f>+_xlfn.XLOOKUP(tbl_encuesta[[#This Row],[Siento que mi trabajo es reconocido por mi supervisor o jefe directo.]],#REF!,#REF!)</f>
        <v>#REF!</v>
      </c>
      <c r="P1434" t="s">
        <v>31</v>
      </c>
      <c r="Q1434" t="e">
        <f xml:space="preserve">
_xlfn.XLOOKUP(
tbl_encuesta[[#This Row],[Mi supervisor o jefe directo nos brinda charlas de 5 minutos y comunica las novedades relevantes a mi puesto de trabajo]],#REF!,#REF!
)</f>
        <v>#REF!</v>
      </c>
      <c r="S1434" t="s">
        <v>18</v>
      </c>
      <c r="W1434" t="s">
        <v>25</v>
      </c>
      <c r="X1434" t="s">
        <v>23</v>
      </c>
      <c r="Y1434" t="e">
        <f>+_xlfn.XLOOKUP(tbl_encuesta[[#This Row],[Considero a Limtek como un buen lugar para trabajar]],#REF!,#REF!)</f>
        <v>#REF!</v>
      </c>
      <c r="Z1434" t="s">
        <v>3521</v>
      </c>
      <c r="AA1434" t="s">
        <v>3522</v>
      </c>
      <c r="AB1434" t="s">
        <v>28</v>
      </c>
      <c r="AC1434" s="3" t="s">
        <v>3716</v>
      </c>
      <c r="AD1434" s="3" t="s">
        <v>3720</v>
      </c>
      <c r="AE1434" t="s">
        <v>29</v>
      </c>
    </row>
    <row r="1435" spans="1:31" x14ac:dyDescent="0.25">
      <c r="A1435">
        <v>119025428884</v>
      </c>
      <c r="B1435">
        <v>462598545</v>
      </c>
      <c r="C1435" s="1">
        <v>46013.865335648145</v>
      </c>
      <c r="D1435" s="1">
        <v>46013.87090277778</v>
      </c>
      <c r="E1435" t="s">
        <v>3517</v>
      </c>
      <c r="F1435" t="s">
        <v>23</v>
      </c>
      <c r="G1435" t="e">
        <f>+_xlfn.XLOOKUP(tbl_encuesta[[#This Row],[Me siento a gusto con el ambiente de trabajo que se genera en mi equipo.]],#REF!,#REF!)</f>
        <v>#REF!</v>
      </c>
      <c r="H1435" t="s">
        <v>23</v>
      </c>
      <c r="I1435" t="e">
        <f>+_xlfn.XLOOKUP(tbl_encuesta[[#This Row],[Me siento motivado a dar lo mejor de mí y hacer un buen trabajo]],#REF!,#REF!)</f>
        <v>#REF!</v>
      </c>
      <c r="J1435" t="s">
        <v>23</v>
      </c>
      <c r="K1435" t="e">
        <f>+_xlfn.XLOOKUP(tbl_encuesta[[#This Row],[Mi supervisor o jefe directo me otorga el soporte que necesito para afrontar cualquier problema que afecte mi trabajo]],#REF!,#REF!)</f>
        <v>#REF!</v>
      </c>
      <c r="L1435" t="s">
        <v>23</v>
      </c>
      <c r="M1435" t="e">
        <f>+_xlfn.XLOOKUP(tbl_encuesta[[#This Row],[Mi supervisor o jefe directo fomenta que nos apoyemos entre todos en el equipo]],#REF!,#REF!)</f>
        <v>#REF!</v>
      </c>
      <c r="N1435" t="s">
        <v>22</v>
      </c>
      <c r="O1435" t="e">
        <f>+_xlfn.XLOOKUP(tbl_encuesta[[#This Row],[Siento que mi trabajo es reconocido por mi supervisor o jefe directo.]],#REF!,#REF!)</f>
        <v>#REF!</v>
      </c>
      <c r="P1435" t="s">
        <v>67</v>
      </c>
      <c r="Q1435" t="e">
        <f xml:space="preserve">
_xlfn.XLOOKUP(
tbl_encuesta[[#This Row],[Mi supervisor o jefe directo nos brinda charlas de 5 minutos y comunica las novedades relevantes a mi puesto de trabajo]],#REF!,#REF!
)</f>
        <v>#REF!</v>
      </c>
      <c r="R1435" t="s">
        <v>17</v>
      </c>
      <c r="T1435" t="s">
        <v>19</v>
      </c>
      <c r="W1435" t="s">
        <v>25</v>
      </c>
      <c r="X1435" t="s">
        <v>23</v>
      </c>
      <c r="Y1435" t="e">
        <f>+_xlfn.XLOOKUP(tbl_encuesta[[#This Row],[Considero a Limtek como un buen lugar para trabajar]],#REF!,#REF!)</f>
        <v>#REF!</v>
      </c>
      <c r="Z1435" t="s">
        <v>3523</v>
      </c>
      <c r="AA1435" t="s">
        <v>3524</v>
      </c>
      <c r="AB1435" t="s">
        <v>28</v>
      </c>
      <c r="AC1435" s="3" t="s">
        <v>3736</v>
      </c>
      <c r="AD1435" s="3" t="s">
        <v>3736</v>
      </c>
      <c r="AE1435" t="s">
        <v>34</v>
      </c>
    </row>
    <row r="1436" spans="1:31" x14ac:dyDescent="0.25">
      <c r="A1436">
        <v>119025428218</v>
      </c>
      <c r="B1436">
        <v>462598545</v>
      </c>
      <c r="C1436" s="1">
        <v>46013.865011574075</v>
      </c>
      <c r="D1436" s="1">
        <v>46013.869247685187</v>
      </c>
      <c r="E1436" t="s">
        <v>3525</v>
      </c>
      <c r="F1436" t="s">
        <v>43</v>
      </c>
      <c r="G1436" t="e">
        <f>+_xlfn.XLOOKUP(tbl_encuesta[[#This Row],[Me siento a gusto con el ambiente de trabajo que se genera en mi equipo.]],#REF!,#REF!)</f>
        <v>#REF!</v>
      </c>
      <c r="H1436" t="s">
        <v>22</v>
      </c>
      <c r="I1436" t="e">
        <f>+_xlfn.XLOOKUP(tbl_encuesta[[#This Row],[Me siento motivado a dar lo mejor de mí y hacer un buen trabajo]],#REF!,#REF!)</f>
        <v>#REF!</v>
      </c>
      <c r="J1436" t="s">
        <v>22</v>
      </c>
      <c r="K1436" t="e">
        <f>+_xlfn.XLOOKUP(tbl_encuesta[[#This Row],[Mi supervisor o jefe directo me otorga el soporte que necesito para afrontar cualquier problema que afecte mi trabajo]],#REF!,#REF!)</f>
        <v>#REF!</v>
      </c>
      <c r="L1436" t="s">
        <v>23</v>
      </c>
      <c r="M1436" t="e">
        <f>+_xlfn.XLOOKUP(tbl_encuesta[[#This Row],[Mi supervisor o jefe directo fomenta que nos apoyemos entre todos en el equipo]],#REF!,#REF!)</f>
        <v>#REF!</v>
      </c>
      <c r="N1436" t="s">
        <v>22</v>
      </c>
      <c r="O1436" t="e">
        <f>+_xlfn.XLOOKUP(tbl_encuesta[[#This Row],[Siento que mi trabajo es reconocido por mi supervisor o jefe directo.]],#REF!,#REF!)</f>
        <v>#REF!</v>
      </c>
      <c r="P1436" t="s">
        <v>31</v>
      </c>
      <c r="Q1436" t="e">
        <f xml:space="preserve">
_xlfn.XLOOKUP(
tbl_encuesta[[#This Row],[Mi supervisor o jefe directo nos brinda charlas de 5 minutos y comunica las novedades relevantes a mi puesto de trabajo]],#REF!,#REF!
)</f>
        <v>#REF!</v>
      </c>
      <c r="R1436" t="s">
        <v>17</v>
      </c>
      <c r="W1436" t="s">
        <v>25</v>
      </c>
      <c r="X1436" t="s">
        <v>23</v>
      </c>
      <c r="Y1436" t="e">
        <f>+_xlfn.XLOOKUP(tbl_encuesta[[#This Row],[Considero a Limtek como un buen lugar para trabajar]],#REF!,#REF!)</f>
        <v>#REF!</v>
      </c>
      <c r="Z1436" t="s">
        <v>3526</v>
      </c>
      <c r="AA1436" t="s">
        <v>3527</v>
      </c>
      <c r="AB1436" t="s">
        <v>28</v>
      </c>
      <c r="AC1436" s="3" t="s">
        <v>3716</v>
      </c>
      <c r="AD1436" s="3" t="s">
        <v>3720</v>
      </c>
      <c r="AE1436" t="s">
        <v>69</v>
      </c>
    </row>
    <row r="1437" spans="1:31" x14ac:dyDescent="0.25">
      <c r="A1437">
        <v>119025424675</v>
      </c>
      <c r="B1437">
        <v>462598545</v>
      </c>
      <c r="C1437" s="1">
        <v>46013.847974537035</v>
      </c>
      <c r="D1437" s="1">
        <v>46013.860335648147</v>
      </c>
      <c r="E1437" t="s">
        <v>3528</v>
      </c>
      <c r="F1437" t="s">
        <v>23</v>
      </c>
      <c r="G1437" t="e">
        <f>+_xlfn.XLOOKUP(tbl_encuesta[[#This Row],[Me siento a gusto con el ambiente de trabajo que se genera en mi equipo.]],#REF!,#REF!)</f>
        <v>#REF!</v>
      </c>
      <c r="H1437" t="s">
        <v>23</v>
      </c>
      <c r="I1437" t="e">
        <f>+_xlfn.XLOOKUP(tbl_encuesta[[#This Row],[Me siento motivado a dar lo mejor de mí y hacer un buen trabajo]],#REF!,#REF!)</f>
        <v>#REF!</v>
      </c>
      <c r="J1437" t="s">
        <v>23</v>
      </c>
      <c r="K1437" t="e">
        <f>+_xlfn.XLOOKUP(tbl_encuesta[[#This Row],[Mi supervisor o jefe directo me otorga el soporte que necesito para afrontar cualquier problema que afecte mi trabajo]],#REF!,#REF!)</f>
        <v>#REF!</v>
      </c>
      <c r="L1437" t="s">
        <v>23</v>
      </c>
      <c r="M1437" t="e">
        <f>+_xlfn.XLOOKUP(tbl_encuesta[[#This Row],[Mi supervisor o jefe directo fomenta que nos apoyemos entre todos en el equipo]],#REF!,#REF!)</f>
        <v>#REF!</v>
      </c>
      <c r="N1437" t="s">
        <v>23</v>
      </c>
      <c r="O1437" t="e">
        <f>+_xlfn.XLOOKUP(tbl_encuesta[[#This Row],[Siento que mi trabajo es reconocido por mi supervisor o jefe directo.]],#REF!,#REF!)</f>
        <v>#REF!</v>
      </c>
      <c r="P1437" t="s">
        <v>31</v>
      </c>
      <c r="Q1437" t="e">
        <f xml:space="preserve">
_xlfn.XLOOKUP(
tbl_encuesta[[#This Row],[Mi supervisor o jefe directo nos brinda charlas de 5 minutos y comunica las novedades relevantes a mi puesto de trabajo]],#REF!,#REF!
)</f>
        <v>#REF!</v>
      </c>
      <c r="R1437" t="s">
        <v>17</v>
      </c>
      <c r="S1437" t="s">
        <v>18</v>
      </c>
      <c r="W1437" t="s">
        <v>25</v>
      </c>
      <c r="X1437" t="s">
        <v>23</v>
      </c>
      <c r="Y1437" t="e">
        <f>+_xlfn.XLOOKUP(tbl_encuesta[[#This Row],[Considero a Limtek como un buen lugar para trabajar]],#REF!,#REF!)</f>
        <v>#REF!</v>
      </c>
      <c r="Z1437" t="s">
        <v>3529</v>
      </c>
      <c r="AA1437" t="s">
        <v>3530</v>
      </c>
      <c r="AB1437" t="s">
        <v>28</v>
      </c>
      <c r="AC1437" s="3" t="s">
        <v>3736</v>
      </c>
      <c r="AD1437" s="3" t="s">
        <v>3736</v>
      </c>
      <c r="AE1437" t="s">
        <v>34</v>
      </c>
    </row>
    <row r="1438" spans="1:31" x14ac:dyDescent="0.25">
      <c r="A1438">
        <v>119025422543</v>
      </c>
      <c r="B1438">
        <v>462598545</v>
      </c>
      <c r="C1438" s="1">
        <v>46013.850821759261</v>
      </c>
      <c r="D1438" s="1">
        <v>46013.854953703703</v>
      </c>
      <c r="E1438" t="s">
        <v>3531</v>
      </c>
      <c r="F1438" t="s">
        <v>23</v>
      </c>
      <c r="G1438" t="e">
        <f>+_xlfn.XLOOKUP(tbl_encuesta[[#This Row],[Me siento a gusto con el ambiente de trabajo que se genera en mi equipo.]],#REF!,#REF!)</f>
        <v>#REF!</v>
      </c>
      <c r="H1438" t="s">
        <v>23</v>
      </c>
      <c r="I1438" t="e">
        <f>+_xlfn.XLOOKUP(tbl_encuesta[[#This Row],[Me siento motivado a dar lo mejor de mí y hacer un buen trabajo]],#REF!,#REF!)</f>
        <v>#REF!</v>
      </c>
      <c r="J1438" t="s">
        <v>23</v>
      </c>
      <c r="K1438" t="e">
        <f>+_xlfn.XLOOKUP(tbl_encuesta[[#This Row],[Mi supervisor o jefe directo me otorga el soporte que necesito para afrontar cualquier problema que afecte mi trabajo]],#REF!,#REF!)</f>
        <v>#REF!</v>
      </c>
      <c r="L1438" t="s">
        <v>23</v>
      </c>
      <c r="M1438" t="e">
        <f>+_xlfn.XLOOKUP(tbl_encuesta[[#This Row],[Mi supervisor o jefe directo fomenta que nos apoyemos entre todos en el equipo]],#REF!,#REF!)</f>
        <v>#REF!</v>
      </c>
      <c r="N1438" t="s">
        <v>23</v>
      </c>
      <c r="O1438" t="e">
        <f>+_xlfn.XLOOKUP(tbl_encuesta[[#This Row],[Siento que mi trabajo es reconocido por mi supervisor o jefe directo.]],#REF!,#REF!)</f>
        <v>#REF!</v>
      </c>
      <c r="P1438" t="s">
        <v>31</v>
      </c>
      <c r="Q1438" t="e">
        <f xml:space="preserve">
_xlfn.XLOOKUP(
tbl_encuesta[[#This Row],[Mi supervisor o jefe directo nos brinda charlas de 5 minutos y comunica las novedades relevantes a mi puesto de trabajo]],#REF!,#REF!
)</f>
        <v>#REF!</v>
      </c>
      <c r="R1438" t="s">
        <v>17</v>
      </c>
      <c r="W1438" t="s">
        <v>25</v>
      </c>
      <c r="X1438" t="s">
        <v>23</v>
      </c>
      <c r="Y1438" t="e">
        <f>+_xlfn.XLOOKUP(tbl_encuesta[[#This Row],[Considero a Limtek como un buen lugar para trabajar]],#REF!,#REF!)</f>
        <v>#REF!</v>
      </c>
      <c r="Z1438" t="s">
        <v>3532</v>
      </c>
      <c r="AA1438" t="s">
        <v>3533</v>
      </c>
      <c r="AB1438" t="s">
        <v>28</v>
      </c>
      <c r="AC1438" s="3" t="s">
        <v>3716</v>
      </c>
      <c r="AD1438" s="3" t="s">
        <v>3720</v>
      </c>
      <c r="AE1438" t="s">
        <v>29</v>
      </c>
    </row>
    <row r="1439" spans="1:31" x14ac:dyDescent="0.25">
      <c r="A1439">
        <v>119025417504</v>
      </c>
      <c r="B1439">
        <v>462598545</v>
      </c>
      <c r="C1439" s="1">
        <v>46013.84002314815</v>
      </c>
      <c r="D1439" s="1">
        <v>46013.843171296299</v>
      </c>
      <c r="E1439" t="s">
        <v>3534</v>
      </c>
      <c r="F1439" t="s">
        <v>23</v>
      </c>
      <c r="G1439" t="e">
        <f>+_xlfn.XLOOKUP(tbl_encuesta[[#This Row],[Me siento a gusto con el ambiente de trabajo que se genera en mi equipo.]],#REF!,#REF!)</f>
        <v>#REF!</v>
      </c>
      <c r="H1439" t="s">
        <v>23</v>
      </c>
      <c r="I1439" t="e">
        <f>+_xlfn.XLOOKUP(tbl_encuesta[[#This Row],[Me siento motivado a dar lo mejor de mí y hacer un buen trabajo]],#REF!,#REF!)</f>
        <v>#REF!</v>
      </c>
      <c r="J1439" t="s">
        <v>23</v>
      </c>
      <c r="K1439" t="e">
        <f>+_xlfn.XLOOKUP(tbl_encuesta[[#This Row],[Mi supervisor o jefe directo me otorga el soporte que necesito para afrontar cualquier problema que afecte mi trabajo]],#REF!,#REF!)</f>
        <v>#REF!</v>
      </c>
      <c r="L1439" t="s">
        <v>23</v>
      </c>
      <c r="M1439" t="e">
        <f>+_xlfn.XLOOKUP(tbl_encuesta[[#This Row],[Mi supervisor o jefe directo fomenta que nos apoyemos entre todos en el equipo]],#REF!,#REF!)</f>
        <v>#REF!</v>
      </c>
      <c r="N1439" t="s">
        <v>23</v>
      </c>
      <c r="O1439" t="e">
        <f>+_xlfn.XLOOKUP(tbl_encuesta[[#This Row],[Siento que mi trabajo es reconocido por mi supervisor o jefe directo.]],#REF!,#REF!)</f>
        <v>#REF!</v>
      </c>
      <c r="P1439" t="s">
        <v>31</v>
      </c>
      <c r="Q1439" t="e">
        <f xml:space="preserve">
_xlfn.XLOOKUP(
tbl_encuesta[[#This Row],[Mi supervisor o jefe directo nos brinda charlas de 5 minutos y comunica las novedades relevantes a mi puesto de trabajo]],#REF!,#REF!
)</f>
        <v>#REF!</v>
      </c>
      <c r="R1439" t="s">
        <v>17</v>
      </c>
      <c r="S1439" t="s">
        <v>18</v>
      </c>
      <c r="W1439" t="s">
        <v>25</v>
      </c>
      <c r="X1439" t="s">
        <v>23</v>
      </c>
      <c r="Y1439" t="e">
        <f>+_xlfn.XLOOKUP(tbl_encuesta[[#This Row],[Considero a Limtek como un buen lugar para trabajar]],#REF!,#REF!)</f>
        <v>#REF!</v>
      </c>
      <c r="Z1439" t="s">
        <v>132</v>
      </c>
      <c r="AA1439" t="s">
        <v>122</v>
      </c>
      <c r="AB1439" t="s">
        <v>28</v>
      </c>
      <c r="AC1439" s="3" t="s">
        <v>3716</v>
      </c>
      <c r="AD1439" s="3" t="s">
        <v>3720</v>
      </c>
      <c r="AE1439" t="s">
        <v>69</v>
      </c>
    </row>
    <row r="1440" spans="1:31" x14ac:dyDescent="0.25">
      <c r="A1440">
        <v>119025416719</v>
      </c>
      <c r="B1440">
        <v>462598545</v>
      </c>
      <c r="C1440" s="1">
        <v>46013.835972222223</v>
      </c>
      <c r="D1440" s="1">
        <v>46013.841446759259</v>
      </c>
      <c r="E1440" t="s">
        <v>3535</v>
      </c>
      <c r="F1440" t="s">
        <v>23</v>
      </c>
      <c r="G1440" t="e">
        <f>+_xlfn.XLOOKUP(tbl_encuesta[[#This Row],[Me siento a gusto con el ambiente de trabajo que se genera en mi equipo.]],#REF!,#REF!)</f>
        <v>#REF!</v>
      </c>
      <c r="H1440" t="s">
        <v>23</v>
      </c>
      <c r="I1440" t="e">
        <f>+_xlfn.XLOOKUP(tbl_encuesta[[#This Row],[Me siento motivado a dar lo mejor de mí y hacer un buen trabajo]],#REF!,#REF!)</f>
        <v>#REF!</v>
      </c>
      <c r="J1440" t="s">
        <v>23</v>
      </c>
      <c r="K1440" t="e">
        <f>+_xlfn.XLOOKUP(tbl_encuesta[[#This Row],[Mi supervisor o jefe directo me otorga el soporte que necesito para afrontar cualquier problema que afecte mi trabajo]],#REF!,#REF!)</f>
        <v>#REF!</v>
      </c>
      <c r="L1440" t="s">
        <v>23</v>
      </c>
      <c r="M1440" t="e">
        <f>+_xlfn.XLOOKUP(tbl_encuesta[[#This Row],[Mi supervisor o jefe directo fomenta que nos apoyemos entre todos en el equipo]],#REF!,#REF!)</f>
        <v>#REF!</v>
      </c>
      <c r="N1440" t="s">
        <v>23</v>
      </c>
      <c r="O1440" t="e">
        <f>+_xlfn.XLOOKUP(tbl_encuesta[[#This Row],[Siento que mi trabajo es reconocido por mi supervisor o jefe directo.]],#REF!,#REF!)</f>
        <v>#REF!</v>
      </c>
      <c r="P1440" t="s">
        <v>31</v>
      </c>
      <c r="Q1440" t="e">
        <f xml:space="preserve">
_xlfn.XLOOKUP(
tbl_encuesta[[#This Row],[Mi supervisor o jefe directo nos brinda charlas de 5 minutos y comunica las novedades relevantes a mi puesto de trabajo]],#REF!,#REF!
)</f>
        <v>#REF!</v>
      </c>
      <c r="R1440" t="s">
        <v>17</v>
      </c>
      <c r="S1440" t="s">
        <v>18</v>
      </c>
      <c r="W1440" t="s">
        <v>46</v>
      </c>
      <c r="X1440" t="s">
        <v>23</v>
      </c>
      <c r="Y1440" t="e">
        <f>+_xlfn.XLOOKUP(tbl_encuesta[[#This Row],[Considero a Limtek como un buen lugar para trabajar]],#REF!,#REF!)</f>
        <v>#REF!</v>
      </c>
      <c r="Z1440" t="s">
        <v>638</v>
      </c>
      <c r="AA1440" t="s">
        <v>3536</v>
      </c>
      <c r="AB1440" t="s">
        <v>28</v>
      </c>
      <c r="AC1440" s="3" t="s">
        <v>3736</v>
      </c>
      <c r="AD1440" s="3" t="s">
        <v>3737</v>
      </c>
      <c r="AE1440" t="s">
        <v>69</v>
      </c>
    </row>
    <row r="1441" spans="1:31" x14ac:dyDescent="0.25">
      <c r="A1441">
        <v>119025413867</v>
      </c>
      <c r="B1441">
        <v>462598545</v>
      </c>
      <c r="C1441" s="1">
        <v>46013.832013888888</v>
      </c>
      <c r="D1441" s="1">
        <v>46013.835196759261</v>
      </c>
      <c r="E1441" t="s">
        <v>3537</v>
      </c>
      <c r="F1441" t="s">
        <v>43</v>
      </c>
      <c r="G1441" t="e">
        <f>+_xlfn.XLOOKUP(tbl_encuesta[[#This Row],[Me siento a gusto con el ambiente de trabajo que se genera en mi equipo.]],#REF!,#REF!)</f>
        <v>#REF!</v>
      </c>
      <c r="H1441" t="s">
        <v>22</v>
      </c>
      <c r="I1441" t="e">
        <f>+_xlfn.XLOOKUP(tbl_encuesta[[#This Row],[Me siento motivado a dar lo mejor de mí y hacer un buen trabajo]],#REF!,#REF!)</f>
        <v>#REF!</v>
      </c>
      <c r="J1441" t="s">
        <v>43</v>
      </c>
      <c r="K1441" t="e">
        <f>+_xlfn.XLOOKUP(tbl_encuesta[[#This Row],[Mi supervisor o jefe directo me otorga el soporte que necesito para afrontar cualquier problema que afecte mi trabajo]],#REF!,#REF!)</f>
        <v>#REF!</v>
      </c>
      <c r="L1441" t="s">
        <v>22</v>
      </c>
      <c r="M1441" t="e">
        <f>+_xlfn.XLOOKUP(tbl_encuesta[[#This Row],[Mi supervisor o jefe directo fomenta que nos apoyemos entre todos en el equipo]],#REF!,#REF!)</f>
        <v>#REF!</v>
      </c>
      <c r="N1441" t="s">
        <v>22</v>
      </c>
      <c r="O1441" t="e">
        <f>+_xlfn.XLOOKUP(tbl_encuesta[[#This Row],[Siento que mi trabajo es reconocido por mi supervisor o jefe directo.]],#REF!,#REF!)</f>
        <v>#REF!</v>
      </c>
      <c r="P1441" t="s">
        <v>67</v>
      </c>
      <c r="Q1441" t="e">
        <f xml:space="preserve">
_xlfn.XLOOKUP(
tbl_encuesta[[#This Row],[Mi supervisor o jefe directo nos brinda charlas de 5 minutos y comunica las novedades relevantes a mi puesto de trabajo]],#REF!,#REF!
)</f>
        <v>#REF!</v>
      </c>
      <c r="R1441" t="s">
        <v>17</v>
      </c>
      <c r="S1441" t="s">
        <v>18</v>
      </c>
      <c r="W1441" t="s">
        <v>25</v>
      </c>
      <c r="X1441" t="s">
        <v>22</v>
      </c>
      <c r="Y1441" t="e">
        <f>+_xlfn.XLOOKUP(tbl_encuesta[[#This Row],[Considero a Limtek como un buen lugar para trabajar]],#REF!,#REF!)</f>
        <v>#REF!</v>
      </c>
      <c r="Z1441" t="s">
        <v>3538</v>
      </c>
      <c r="AA1441" t="s">
        <v>3539</v>
      </c>
      <c r="AB1441" t="s">
        <v>28</v>
      </c>
      <c r="AC1441" s="3" t="s">
        <v>3716</v>
      </c>
      <c r="AD1441" s="3" t="s">
        <v>3720</v>
      </c>
      <c r="AE1441" t="s">
        <v>34</v>
      </c>
    </row>
    <row r="1442" spans="1:31" x14ac:dyDescent="0.25">
      <c r="A1442">
        <v>119025412910</v>
      </c>
      <c r="B1442">
        <v>462598545</v>
      </c>
      <c r="C1442" s="1">
        <v>46013.819675925923</v>
      </c>
      <c r="D1442" s="1">
        <v>46013.833136574074</v>
      </c>
      <c r="E1442" t="s">
        <v>3540</v>
      </c>
      <c r="F1442" t="s">
        <v>22</v>
      </c>
      <c r="G1442" t="e">
        <f>+_xlfn.XLOOKUP(tbl_encuesta[[#This Row],[Me siento a gusto con el ambiente de trabajo que se genera en mi equipo.]],#REF!,#REF!)</f>
        <v>#REF!</v>
      </c>
      <c r="H1442" t="s">
        <v>23</v>
      </c>
      <c r="I1442" t="e">
        <f>+_xlfn.XLOOKUP(tbl_encuesta[[#This Row],[Me siento motivado a dar lo mejor de mí y hacer un buen trabajo]],#REF!,#REF!)</f>
        <v>#REF!</v>
      </c>
      <c r="J1442" t="s">
        <v>23</v>
      </c>
      <c r="K1442" t="e">
        <f>+_xlfn.XLOOKUP(tbl_encuesta[[#This Row],[Mi supervisor o jefe directo me otorga el soporte que necesito para afrontar cualquier problema que afecte mi trabajo]],#REF!,#REF!)</f>
        <v>#REF!</v>
      </c>
      <c r="L1442" t="s">
        <v>23</v>
      </c>
      <c r="M1442" t="e">
        <f>+_xlfn.XLOOKUP(tbl_encuesta[[#This Row],[Mi supervisor o jefe directo fomenta que nos apoyemos entre todos en el equipo]],#REF!,#REF!)</f>
        <v>#REF!</v>
      </c>
      <c r="N1442" t="s">
        <v>23</v>
      </c>
      <c r="O1442" t="e">
        <f>+_xlfn.XLOOKUP(tbl_encuesta[[#This Row],[Siento que mi trabajo es reconocido por mi supervisor o jefe directo.]],#REF!,#REF!)</f>
        <v>#REF!</v>
      </c>
      <c r="P1442" t="s">
        <v>31</v>
      </c>
      <c r="Q1442" t="e">
        <f xml:space="preserve">
_xlfn.XLOOKUP(
tbl_encuesta[[#This Row],[Mi supervisor o jefe directo nos brinda charlas de 5 minutos y comunica las novedades relevantes a mi puesto de trabajo]],#REF!,#REF!
)</f>
        <v>#REF!</v>
      </c>
      <c r="R1442" t="s">
        <v>17</v>
      </c>
      <c r="U1442" t="s">
        <v>20</v>
      </c>
      <c r="W1442" t="s">
        <v>46</v>
      </c>
      <c r="X1442" t="s">
        <v>22</v>
      </c>
      <c r="Y1442" t="e">
        <f>+_xlfn.XLOOKUP(tbl_encuesta[[#This Row],[Considero a Limtek como un buen lugar para trabajar]],#REF!,#REF!)</f>
        <v>#REF!</v>
      </c>
      <c r="Z1442" t="s">
        <v>3541</v>
      </c>
      <c r="AA1442" t="s">
        <v>3542</v>
      </c>
      <c r="AB1442" t="s">
        <v>28</v>
      </c>
      <c r="AC1442" s="3" t="s">
        <v>3729</v>
      </c>
      <c r="AD1442" s="3" t="s">
        <v>3731</v>
      </c>
      <c r="AE1442" t="s">
        <v>34</v>
      </c>
    </row>
    <row r="1443" spans="1:31" x14ac:dyDescent="0.25">
      <c r="A1443">
        <v>119025412664</v>
      </c>
      <c r="B1443">
        <v>462598545</v>
      </c>
      <c r="C1443" s="1">
        <v>46013.827013888891</v>
      </c>
      <c r="D1443" s="1">
        <v>46013.83253472222</v>
      </c>
      <c r="E1443" t="s">
        <v>3543</v>
      </c>
      <c r="F1443" t="s">
        <v>22</v>
      </c>
      <c r="G1443" t="e">
        <f>+_xlfn.XLOOKUP(tbl_encuesta[[#This Row],[Me siento a gusto con el ambiente de trabajo que se genera en mi equipo.]],#REF!,#REF!)</f>
        <v>#REF!</v>
      </c>
      <c r="H1443" t="s">
        <v>23</v>
      </c>
      <c r="I1443" t="e">
        <f>+_xlfn.XLOOKUP(tbl_encuesta[[#This Row],[Me siento motivado a dar lo mejor de mí y hacer un buen trabajo]],#REF!,#REF!)</f>
        <v>#REF!</v>
      </c>
      <c r="J1443" t="s">
        <v>22</v>
      </c>
      <c r="K1443" t="e">
        <f>+_xlfn.XLOOKUP(tbl_encuesta[[#This Row],[Mi supervisor o jefe directo me otorga el soporte que necesito para afrontar cualquier problema que afecte mi trabajo]],#REF!,#REF!)</f>
        <v>#REF!</v>
      </c>
      <c r="L1443" t="s">
        <v>23</v>
      </c>
      <c r="M1443" t="e">
        <f>+_xlfn.XLOOKUP(tbl_encuesta[[#This Row],[Mi supervisor o jefe directo fomenta que nos apoyemos entre todos en el equipo]],#REF!,#REF!)</f>
        <v>#REF!</v>
      </c>
      <c r="N1443" t="s">
        <v>22</v>
      </c>
      <c r="O1443" t="e">
        <f>+_xlfn.XLOOKUP(tbl_encuesta[[#This Row],[Siento que mi trabajo es reconocido por mi supervisor o jefe directo.]],#REF!,#REF!)</f>
        <v>#REF!</v>
      </c>
      <c r="P1443" t="s">
        <v>31</v>
      </c>
      <c r="Q1443" t="e">
        <f xml:space="preserve">
_xlfn.XLOOKUP(
tbl_encuesta[[#This Row],[Mi supervisor o jefe directo nos brinda charlas de 5 minutos y comunica las novedades relevantes a mi puesto de trabajo]],#REF!,#REF!
)</f>
        <v>#REF!</v>
      </c>
      <c r="R1443" t="s">
        <v>17</v>
      </c>
      <c r="S1443" t="s">
        <v>18</v>
      </c>
      <c r="W1443" t="s">
        <v>25</v>
      </c>
      <c r="X1443" t="s">
        <v>23</v>
      </c>
      <c r="Y1443" t="e">
        <f>+_xlfn.XLOOKUP(tbl_encuesta[[#This Row],[Considero a Limtek como un buen lugar para trabajar]],#REF!,#REF!)</f>
        <v>#REF!</v>
      </c>
      <c r="Z1443" t="s">
        <v>3544</v>
      </c>
      <c r="AA1443" t="s">
        <v>3545</v>
      </c>
      <c r="AB1443" t="s">
        <v>28</v>
      </c>
      <c r="AC1443" s="3" t="s">
        <v>3716</v>
      </c>
      <c r="AD1443" s="3" t="s">
        <v>3720</v>
      </c>
      <c r="AE1443" t="s">
        <v>29</v>
      </c>
    </row>
    <row r="1444" spans="1:31" x14ac:dyDescent="0.25">
      <c r="A1444">
        <v>119025410844</v>
      </c>
      <c r="B1444">
        <v>462598545</v>
      </c>
      <c r="C1444" s="1">
        <v>46013.826770833337</v>
      </c>
      <c r="D1444" s="1">
        <v>46013.828564814816</v>
      </c>
      <c r="E1444" t="s">
        <v>3546</v>
      </c>
      <c r="F1444" t="s">
        <v>22</v>
      </c>
      <c r="G1444" t="e">
        <f>+_xlfn.XLOOKUP(tbl_encuesta[[#This Row],[Me siento a gusto con el ambiente de trabajo que se genera en mi equipo.]],#REF!,#REF!)</f>
        <v>#REF!</v>
      </c>
      <c r="H1444" t="s">
        <v>22</v>
      </c>
      <c r="I1444" t="e">
        <f>+_xlfn.XLOOKUP(tbl_encuesta[[#This Row],[Me siento motivado a dar lo mejor de mí y hacer un buen trabajo]],#REF!,#REF!)</f>
        <v>#REF!</v>
      </c>
      <c r="J1444" t="s">
        <v>22</v>
      </c>
      <c r="K1444" t="e">
        <f>+_xlfn.XLOOKUP(tbl_encuesta[[#This Row],[Mi supervisor o jefe directo me otorga el soporte que necesito para afrontar cualquier problema que afecte mi trabajo]],#REF!,#REF!)</f>
        <v>#REF!</v>
      </c>
      <c r="L1444" t="s">
        <v>23</v>
      </c>
      <c r="M1444" t="e">
        <f>+_xlfn.XLOOKUP(tbl_encuesta[[#This Row],[Mi supervisor o jefe directo fomenta que nos apoyemos entre todos en el equipo]],#REF!,#REF!)</f>
        <v>#REF!</v>
      </c>
      <c r="N1444" t="s">
        <v>23</v>
      </c>
      <c r="O1444" t="e">
        <f>+_xlfn.XLOOKUP(tbl_encuesta[[#This Row],[Siento que mi trabajo es reconocido por mi supervisor o jefe directo.]],#REF!,#REF!)</f>
        <v>#REF!</v>
      </c>
      <c r="P1444" t="s">
        <v>31</v>
      </c>
      <c r="Q1444" t="e">
        <f xml:space="preserve">
_xlfn.XLOOKUP(
tbl_encuesta[[#This Row],[Mi supervisor o jefe directo nos brinda charlas de 5 minutos y comunica las novedades relevantes a mi puesto de trabajo]],#REF!,#REF!
)</f>
        <v>#REF!</v>
      </c>
      <c r="R1444" t="s">
        <v>17</v>
      </c>
      <c r="S1444" t="s">
        <v>18</v>
      </c>
      <c r="W1444" t="s">
        <v>25</v>
      </c>
      <c r="X1444" t="s">
        <v>22</v>
      </c>
      <c r="Y1444" t="e">
        <f>+_xlfn.XLOOKUP(tbl_encuesta[[#This Row],[Considero a Limtek como un buen lugar para trabajar]],#REF!,#REF!)</f>
        <v>#REF!</v>
      </c>
      <c r="Z1444" t="s">
        <v>388</v>
      </c>
      <c r="AA1444" t="s">
        <v>3547</v>
      </c>
      <c r="AB1444" t="s">
        <v>28</v>
      </c>
      <c r="AC1444" s="3" t="s">
        <v>3716</v>
      </c>
      <c r="AD1444" s="3" t="s">
        <v>3720</v>
      </c>
      <c r="AE1444" t="s">
        <v>29</v>
      </c>
    </row>
    <row r="1445" spans="1:31" x14ac:dyDescent="0.25">
      <c r="A1445">
        <v>119025409644</v>
      </c>
      <c r="B1445">
        <v>462598545</v>
      </c>
      <c r="C1445" s="1">
        <v>46013.819212962961</v>
      </c>
      <c r="D1445" s="1">
        <v>46013.825972222221</v>
      </c>
      <c r="E1445" t="s">
        <v>3548</v>
      </c>
      <c r="F1445" t="s">
        <v>23</v>
      </c>
      <c r="G1445" t="e">
        <f>+_xlfn.XLOOKUP(tbl_encuesta[[#This Row],[Me siento a gusto con el ambiente de trabajo que se genera en mi equipo.]],#REF!,#REF!)</f>
        <v>#REF!</v>
      </c>
      <c r="H1445" t="s">
        <v>23</v>
      </c>
      <c r="I1445" t="e">
        <f>+_xlfn.XLOOKUP(tbl_encuesta[[#This Row],[Me siento motivado a dar lo mejor de mí y hacer un buen trabajo]],#REF!,#REF!)</f>
        <v>#REF!</v>
      </c>
      <c r="J1445" t="s">
        <v>23</v>
      </c>
      <c r="K1445" t="e">
        <f>+_xlfn.XLOOKUP(tbl_encuesta[[#This Row],[Mi supervisor o jefe directo me otorga el soporte que necesito para afrontar cualquier problema que afecte mi trabajo]],#REF!,#REF!)</f>
        <v>#REF!</v>
      </c>
      <c r="L1445" t="s">
        <v>23</v>
      </c>
      <c r="M1445" t="e">
        <f>+_xlfn.XLOOKUP(tbl_encuesta[[#This Row],[Mi supervisor o jefe directo fomenta que nos apoyemos entre todos en el equipo]],#REF!,#REF!)</f>
        <v>#REF!</v>
      </c>
      <c r="N1445" t="s">
        <v>22</v>
      </c>
      <c r="O1445" t="e">
        <f>+_xlfn.XLOOKUP(tbl_encuesta[[#This Row],[Siento que mi trabajo es reconocido por mi supervisor o jefe directo.]],#REF!,#REF!)</f>
        <v>#REF!</v>
      </c>
      <c r="P1445" t="s">
        <v>31</v>
      </c>
      <c r="Q1445" t="e">
        <f xml:space="preserve">
_xlfn.XLOOKUP(
tbl_encuesta[[#This Row],[Mi supervisor o jefe directo nos brinda charlas de 5 minutos y comunica las novedades relevantes a mi puesto de trabajo]],#REF!,#REF!
)</f>
        <v>#REF!</v>
      </c>
      <c r="S1445" t="s">
        <v>18</v>
      </c>
      <c r="W1445" t="s">
        <v>25</v>
      </c>
      <c r="X1445" t="s">
        <v>23</v>
      </c>
      <c r="Y1445" t="e">
        <f>+_xlfn.XLOOKUP(tbl_encuesta[[#This Row],[Considero a Limtek como un buen lugar para trabajar]],#REF!,#REF!)</f>
        <v>#REF!</v>
      </c>
      <c r="Z1445" t="s">
        <v>3549</v>
      </c>
      <c r="AA1445" t="s">
        <v>3550</v>
      </c>
      <c r="AB1445" t="s">
        <v>28</v>
      </c>
      <c r="AC1445" s="3" t="s">
        <v>3716</v>
      </c>
      <c r="AD1445" s="3" t="s">
        <v>3720</v>
      </c>
      <c r="AE1445" t="s">
        <v>69</v>
      </c>
    </row>
    <row r="1446" spans="1:31" x14ac:dyDescent="0.25">
      <c r="A1446">
        <v>119025402532</v>
      </c>
      <c r="B1446">
        <v>462598545</v>
      </c>
      <c r="C1446" s="1">
        <v>46013.80741898148</v>
      </c>
      <c r="D1446" s="1">
        <v>46013.811331018522</v>
      </c>
      <c r="E1446" t="s">
        <v>3551</v>
      </c>
      <c r="F1446" t="s">
        <v>22</v>
      </c>
      <c r="G1446" t="e">
        <f>+_xlfn.XLOOKUP(tbl_encuesta[[#This Row],[Me siento a gusto con el ambiente de trabajo que se genera en mi equipo.]],#REF!,#REF!)</f>
        <v>#REF!</v>
      </c>
      <c r="H1446" t="s">
        <v>22</v>
      </c>
      <c r="I1446" t="e">
        <f>+_xlfn.XLOOKUP(tbl_encuesta[[#This Row],[Me siento motivado a dar lo mejor de mí y hacer un buen trabajo]],#REF!,#REF!)</f>
        <v>#REF!</v>
      </c>
      <c r="J1446" t="s">
        <v>22</v>
      </c>
      <c r="K1446" t="e">
        <f>+_xlfn.XLOOKUP(tbl_encuesta[[#This Row],[Mi supervisor o jefe directo me otorga el soporte que necesito para afrontar cualquier problema que afecte mi trabajo]],#REF!,#REF!)</f>
        <v>#REF!</v>
      </c>
      <c r="L1446" t="s">
        <v>22</v>
      </c>
      <c r="M1446" t="e">
        <f>+_xlfn.XLOOKUP(tbl_encuesta[[#This Row],[Mi supervisor o jefe directo fomenta que nos apoyemos entre todos en el equipo]],#REF!,#REF!)</f>
        <v>#REF!</v>
      </c>
      <c r="N1446" t="s">
        <v>22</v>
      </c>
      <c r="O1446" t="e">
        <f>+_xlfn.XLOOKUP(tbl_encuesta[[#This Row],[Siento que mi trabajo es reconocido por mi supervisor o jefe directo.]],#REF!,#REF!)</f>
        <v>#REF!</v>
      </c>
      <c r="P1446" t="s">
        <v>31</v>
      </c>
      <c r="Q1446" t="e">
        <f xml:space="preserve">
_xlfn.XLOOKUP(
tbl_encuesta[[#This Row],[Mi supervisor o jefe directo nos brinda charlas de 5 minutos y comunica las novedades relevantes a mi puesto de trabajo]],#REF!,#REF!
)</f>
        <v>#REF!</v>
      </c>
      <c r="R1446" t="s">
        <v>17</v>
      </c>
      <c r="T1446" t="s">
        <v>19</v>
      </c>
      <c r="W1446" t="s">
        <v>25</v>
      </c>
      <c r="X1446" t="s">
        <v>22</v>
      </c>
      <c r="Y1446" t="e">
        <f>+_xlfn.XLOOKUP(tbl_encuesta[[#This Row],[Considero a Limtek como un buen lugar para trabajar]],#REF!,#REF!)</f>
        <v>#REF!</v>
      </c>
      <c r="Z1446" t="s">
        <v>3552</v>
      </c>
      <c r="AA1446" t="s">
        <v>3553</v>
      </c>
      <c r="AB1446" t="s">
        <v>28</v>
      </c>
      <c r="AC1446" s="3" t="s">
        <v>3716</v>
      </c>
      <c r="AD1446" s="3" t="s">
        <v>3720</v>
      </c>
      <c r="AE1446" t="s">
        <v>29</v>
      </c>
    </row>
    <row r="1447" spans="1:31" x14ac:dyDescent="0.25">
      <c r="A1447">
        <v>119025399152</v>
      </c>
      <c r="B1447">
        <v>462598545</v>
      </c>
      <c r="C1447" s="1">
        <v>46013.799745370372</v>
      </c>
      <c r="D1447" s="1">
        <v>46013.805115740739</v>
      </c>
      <c r="E1447" t="s">
        <v>3554</v>
      </c>
      <c r="F1447" t="s">
        <v>22</v>
      </c>
      <c r="G1447" t="e">
        <f>+_xlfn.XLOOKUP(tbl_encuesta[[#This Row],[Me siento a gusto con el ambiente de trabajo que se genera en mi equipo.]],#REF!,#REF!)</f>
        <v>#REF!</v>
      </c>
      <c r="H1447" t="s">
        <v>23</v>
      </c>
      <c r="I1447" t="e">
        <f>+_xlfn.XLOOKUP(tbl_encuesta[[#This Row],[Me siento motivado a dar lo mejor de mí y hacer un buen trabajo]],#REF!,#REF!)</f>
        <v>#REF!</v>
      </c>
      <c r="J1447" t="s">
        <v>23</v>
      </c>
      <c r="K1447" t="e">
        <f>+_xlfn.XLOOKUP(tbl_encuesta[[#This Row],[Mi supervisor o jefe directo me otorga el soporte que necesito para afrontar cualquier problema que afecte mi trabajo]],#REF!,#REF!)</f>
        <v>#REF!</v>
      </c>
      <c r="L1447" t="s">
        <v>23</v>
      </c>
      <c r="M1447" t="e">
        <f>+_xlfn.XLOOKUP(tbl_encuesta[[#This Row],[Mi supervisor o jefe directo fomenta que nos apoyemos entre todos en el equipo]],#REF!,#REF!)</f>
        <v>#REF!</v>
      </c>
      <c r="N1447" t="s">
        <v>22</v>
      </c>
      <c r="O1447" t="e">
        <f>+_xlfn.XLOOKUP(tbl_encuesta[[#This Row],[Siento que mi trabajo es reconocido por mi supervisor o jefe directo.]],#REF!,#REF!)</f>
        <v>#REF!</v>
      </c>
      <c r="P1447" t="s">
        <v>31</v>
      </c>
      <c r="Q1447" t="e">
        <f xml:space="preserve">
_xlfn.XLOOKUP(
tbl_encuesta[[#This Row],[Mi supervisor o jefe directo nos brinda charlas de 5 minutos y comunica las novedades relevantes a mi puesto de trabajo]],#REF!,#REF!
)</f>
        <v>#REF!</v>
      </c>
      <c r="R1447" t="s">
        <v>17</v>
      </c>
      <c r="W1447" t="s">
        <v>25</v>
      </c>
      <c r="X1447" t="s">
        <v>22</v>
      </c>
      <c r="Y1447" t="e">
        <f>+_xlfn.XLOOKUP(tbl_encuesta[[#This Row],[Considero a Limtek como un buen lugar para trabajar]],#REF!,#REF!)</f>
        <v>#REF!</v>
      </c>
      <c r="Z1447" t="s">
        <v>3555</v>
      </c>
      <c r="AA1447" t="s">
        <v>3556</v>
      </c>
      <c r="AB1447" t="s">
        <v>28</v>
      </c>
      <c r="AC1447" s="3" t="s">
        <v>3729</v>
      </c>
      <c r="AD1447" s="3" t="s">
        <v>3729</v>
      </c>
      <c r="AE1447" t="s">
        <v>29</v>
      </c>
    </row>
    <row r="1448" spans="1:31" x14ac:dyDescent="0.25">
      <c r="A1448">
        <v>119025386258</v>
      </c>
      <c r="B1448">
        <v>462598545</v>
      </c>
      <c r="C1448" s="1">
        <v>46013.779722222222</v>
      </c>
      <c r="D1448" s="1">
        <v>46013.783148148148</v>
      </c>
      <c r="E1448" t="s">
        <v>3557</v>
      </c>
      <c r="F1448" t="s">
        <v>23</v>
      </c>
      <c r="G1448" t="e">
        <f>+_xlfn.XLOOKUP(tbl_encuesta[[#This Row],[Me siento a gusto con el ambiente de trabajo que se genera en mi equipo.]],#REF!,#REF!)</f>
        <v>#REF!</v>
      </c>
      <c r="H1448" t="s">
        <v>22</v>
      </c>
      <c r="I1448" t="e">
        <f>+_xlfn.XLOOKUP(tbl_encuesta[[#This Row],[Me siento motivado a dar lo mejor de mí y hacer un buen trabajo]],#REF!,#REF!)</f>
        <v>#REF!</v>
      </c>
      <c r="J1448" t="s">
        <v>23</v>
      </c>
      <c r="K1448" t="e">
        <f>+_xlfn.XLOOKUP(tbl_encuesta[[#This Row],[Mi supervisor o jefe directo me otorga el soporte que necesito para afrontar cualquier problema que afecte mi trabajo]],#REF!,#REF!)</f>
        <v>#REF!</v>
      </c>
      <c r="L1448" t="s">
        <v>23</v>
      </c>
      <c r="M1448" t="e">
        <f>+_xlfn.XLOOKUP(tbl_encuesta[[#This Row],[Mi supervisor o jefe directo fomenta que nos apoyemos entre todos en el equipo]],#REF!,#REF!)</f>
        <v>#REF!</v>
      </c>
      <c r="N1448" t="s">
        <v>22</v>
      </c>
      <c r="O1448" t="e">
        <f>+_xlfn.XLOOKUP(tbl_encuesta[[#This Row],[Siento que mi trabajo es reconocido por mi supervisor o jefe directo.]],#REF!,#REF!)</f>
        <v>#REF!</v>
      </c>
      <c r="P1448" t="s">
        <v>31</v>
      </c>
      <c r="Q1448" t="e">
        <f xml:space="preserve">
_xlfn.XLOOKUP(
tbl_encuesta[[#This Row],[Mi supervisor o jefe directo nos brinda charlas de 5 minutos y comunica las novedades relevantes a mi puesto de trabajo]],#REF!,#REF!
)</f>
        <v>#REF!</v>
      </c>
      <c r="R1448" t="s">
        <v>17</v>
      </c>
      <c r="T1448" t="s">
        <v>19</v>
      </c>
      <c r="W1448" t="s">
        <v>25</v>
      </c>
      <c r="X1448" t="s">
        <v>23</v>
      </c>
      <c r="Y1448" t="e">
        <f>+_xlfn.XLOOKUP(tbl_encuesta[[#This Row],[Considero a Limtek como un buen lugar para trabajar]],#REF!,#REF!)</f>
        <v>#REF!</v>
      </c>
      <c r="Z1448" t="s">
        <v>638</v>
      </c>
      <c r="AA1448" t="s">
        <v>122</v>
      </c>
      <c r="AB1448" t="s">
        <v>28</v>
      </c>
      <c r="AC1448" s="3" t="s">
        <v>3729</v>
      </c>
      <c r="AD1448" s="3" t="s">
        <v>3731</v>
      </c>
      <c r="AE1448" t="s">
        <v>69</v>
      </c>
    </row>
    <row r="1449" spans="1:31" x14ac:dyDescent="0.25">
      <c r="A1449">
        <v>119025382967</v>
      </c>
      <c r="B1449">
        <v>462598545</v>
      </c>
      <c r="C1449" s="1">
        <v>46013.775763888887</v>
      </c>
      <c r="D1449" s="1">
        <v>46013.776562500003</v>
      </c>
      <c r="E1449" t="s">
        <v>3558</v>
      </c>
      <c r="F1449" t="s">
        <v>23</v>
      </c>
      <c r="G1449" t="e">
        <f>+_xlfn.XLOOKUP(tbl_encuesta[[#This Row],[Me siento a gusto con el ambiente de trabajo que se genera en mi equipo.]],#REF!,#REF!)</f>
        <v>#REF!</v>
      </c>
      <c r="H1449" t="s">
        <v>23</v>
      </c>
      <c r="I1449" t="e">
        <f>+_xlfn.XLOOKUP(tbl_encuesta[[#This Row],[Me siento motivado a dar lo mejor de mí y hacer un buen trabajo]],#REF!,#REF!)</f>
        <v>#REF!</v>
      </c>
      <c r="J1449" t="s">
        <v>23</v>
      </c>
      <c r="K1449" t="e">
        <f>+_xlfn.XLOOKUP(tbl_encuesta[[#This Row],[Mi supervisor o jefe directo me otorga el soporte que necesito para afrontar cualquier problema que afecte mi trabajo]],#REF!,#REF!)</f>
        <v>#REF!</v>
      </c>
      <c r="L1449" t="s">
        <v>23</v>
      </c>
      <c r="M1449" t="e">
        <f>+_xlfn.XLOOKUP(tbl_encuesta[[#This Row],[Mi supervisor o jefe directo fomenta que nos apoyemos entre todos en el equipo]],#REF!,#REF!)</f>
        <v>#REF!</v>
      </c>
      <c r="N1449" t="s">
        <v>23</v>
      </c>
      <c r="O1449" t="e">
        <f>+_xlfn.XLOOKUP(tbl_encuesta[[#This Row],[Siento que mi trabajo es reconocido por mi supervisor o jefe directo.]],#REF!,#REF!)</f>
        <v>#REF!</v>
      </c>
      <c r="P1449" t="s">
        <v>31</v>
      </c>
      <c r="Q1449" t="e">
        <f xml:space="preserve">
_xlfn.XLOOKUP(
tbl_encuesta[[#This Row],[Mi supervisor o jefe directo nos brinda charlas de 5 minutos y comunica las novedades relevantes a mi puesto de trabajo]],#REF!,#REF!
)</f>
        <v>#REF!</v>
      </c>
      <c r="T1449" t="s">
        <v>19</v>
      </c>
      <c r="W1449" t="s">
        <v>25</v>
      </c>
      <c r="X1449" t="s">
        <v>23</v>
      </c>
      <c r="Y1449" t="e">
        <f>+_xlfn.XLOOKUP(tbl_encuesta[[#This Row],[Considero a Limtek como un buen lugar para trabajar]],#REF!,#REF!)</f>
        <v>#REF!</v>
      </c>
      <c r="Z1449" t="s">
        <v>3559</v>
      </c>
      <c r="AA1449" t="s">
        <v>3399</v>
      </c>
      <c r="AB1449" t="s">
        <v>28</v>
      </c>
      <c r="AC1449" t="s">
        <v>3744</v>
      </c>
      <c r="AD1449" t="s">
        <v>3744</v>
      </c>
      <c r="AE1449" t="s">
        <v>61</v>
      </c>
    </row>
    <row r="1450" spans="1:31" x14ac:dyDescent="0.25">
      <c r="A1450">
        <v>119025382008</v>
      </c>
      <c r="B1450">
        <v>462598545</v>
      </c>
      <c r="C1450" s="1">
        <v>46013.772083333337</v>
      </c>
      <c r="D1450" s="1">
        <v>46013.774722222224</v>
      </c>
      <c r="E1450" t="s">
        <v>3558</v>
      </c>
      <c r="F1450" t="s">
        <v>23</v>
      </c>
      <c r="G1450" t="e">
        <f>+_xlfn.XLOOKUP(tbl_encuesta[[#This Row],[Me siento a gusto con el ambiente de trabajo que se genera en mi equipo.]],#REF!,#REF!)</f>
        <v>#REF!</v>
      </c>
      <c r="H1450" t="s">
        <v>23</v>
      </c>
      <c r="I1450" t="e">
        <f>+_xlfn.XLOOKUP(tbl_encuesta[[#This Row],[Me siento motivado a dar lo mejor de mí y hacer un buen trabajo]],#REF!,#REF!)</f>
        <v>#REF!</v>
      </c>
      <c r="J1450" t="s">
        <v>23</v>
      </c>
      <c r="K1450" t="e">
        <f>+_xlfn.XLOOKUP(tbl_encuesta[[#This Row],[Mi supervisor o jefe directo me otorga el soporte que necesito para afrontar cualquier problema que afecte mi trabajo]],#REF!,#REF!)</f>
        <v>#REF!</v>
      </c>
      <c r="L1450" t="s">
        <v>23</v>
      </c>
      <c r="M1450" t="e">
        <f>+_xlfn.XLOOKUP(tbl_encuesta[[#This Row],[Mi supervisor o jefe directo fomenta que nos apoyemos entre todos en el equipo]],#REF!,#REF!)</f>
        <v>#REF!</v>
      </c>
      <c r="N1450" t="s">
        <v>23</v>
      </c>
      <c r="O1450" t="e">
        <f>+_xlfn.XLOOKUP(tbl_encuesta[[#This Row],[Siento que mi trabajo es reconocido por mi supervisor o jefe directo.]],#REF!,#REF!)</f>
        <v>#REF!</v>
      </c>
      <c r="P1450" t="s">
        <v>31</v>
      </c>
      <c r="Q1450" t="e">
        <f xml:space="preserve">
_xlfn.XLOOKUP(
tbl_encuesta[[#This Row],[Mi supervisor o jefe directo nos brinda charlas de 5 minutos y comunica las novedades relevantes a mi puesto de trabajo]],#REF!,#REF!
)</f>
        <v>#REF!</v>
      </c>
      <c r="T1450" t="s">
        <v>19</v>
      </c>
      <c r="W1450" t="s">
        <v>25</v>
      </c>
      <c r="X1450" t="s">
        <v>23</v>
      </c>
      <c r="Y1450" t="e">
        <f>+_xlfn.XLOOKUP(tbl_encuesta[[#This Row],[Considero a Limtek como un buen lugar para trabajar]],#REF!,#REF!)</f>
        <v>#REF!</v>
      </c>
      <c r="Z1450" t="s">
        <v>3560</v>
      </c>
      <c r="AA1450" t="s">
        <v>3399</v>
      </c>
      <c r="AB1450" t="s">
        <v>28</v>
      </c>
      <c r="AC1450" t="s">
        <v>3744</v>
      </c>
      <c r="AD1450" t="s">
        <v>3744</v>
      </c>
      <c r="AE1450" t="s">
        <v>61</v>
      </c>
    </row>
    <row r="1451" spans="1:31" x14ac:dyDescent="0.25">
      <c r="A1451">
        <v>119025375472</v>
      </c>
      <c r="B1451">
        <v>462598545</v>
      </c>
      <c r="C1451" s="1">
        <v>46013.754652777781</v>
      </c>
      <c r="D1451" s="1">
        <v>46013.761701388888</v>
      </c>
      <c r="E1451" t="s">
        <v>3561</v>
      </c>
      <c r="F1451" t="s">
        <v>23</v>
      </c>
      <c r="G1451" t="e">
        <f>+_xlfn.XLOOKUP(tbl_encuesta[[#This Row],[Me siento a gusto con el ambiente de trabajo que se genera en mi equipo.]],#REF!,#REF!)</f>
        <v>#REF!</v>
      </c>
      <c r="H1451" t="s">
        <v>23</v>
      </c>
      <c r="I1451" t="e">
        <f>+_xlfn.XLOOKUP(tbl_encuesta[[#This Row],[Me siento motivado a dar lo mejor de mí y hacer un buen trabajo]],#REF!,#REF!)</f>
        <v>#REF!</v>
      </c>
      <c r="J1451" t="s">
        <v>23</v>
      </c>
      <c r="K1451" t="e">
        <f>+_xlfn.XLOOKUP(tbl_encuesta[[#This Row],[Mi supervisor o jefe directo me otorga el soporte que necesito para afrontar cualquier problema que afecte mi trabajo]],#REF!,#REF!)</f>
        <v>#REF!</v>
      </c>
      <c r="L1451" t="s">
        <v>23</v>
      </c>
      <c r="M1451" t="e">
        <f>+_xlfn.XLOOKUP(tbl_encuesta[[#This Row],[Mi supervisor o jefe directo fomenta que nos apoyemos entre todos en el equipo]],#REF!,#REF!)</f>
        <v>#REF!</v>
      </c>
      <c r="N1451" t="s">
        <v>23</v>
      </c>
      <c r="O1451" t="e">
        <f>+_xlfn.XLOOKUP(tbl_encuesta[[#This Row],[Siento que mi trabajo es reconocido por mi supervisor o jefe directo.]],#REF!,#REF!)</f>
        <v>#REF!</v>
      </c>
      <c r="P1451" t="s">
        <v>31</v>
      </c>
      <c r="Q1451" t="e">
        <f xml:space="preserve">
_xlfn.XLOOKUP(
tbl_encuesta[[#This Row],[Mi supervisor o jefe directo nos brinda charlas de 5 minutos y comunica las novedades relevantes a mi puesto de trabajo]],#REF!,#REF!
)</f>
        <v>#REF!</v>
      </c>
      <c r="R1451" t="s">
        <v>17</v>
      </c>
      <c r="W1451" t="s">
        <v>25</v>
      </c>
      <c r="X1451" t="s">
        <v>23</v>
      </c>
      <c r="Y1451" t="e">
        <f>+_xlfn.XLOOKUP(tbl_encuesta[[#This Row],[Considero a Limtek como un buen lugar para trabajar]],#REF!,#REF!)</f>
        <v>#REF!</v>
      </c>
      <c r="Z1451" t="s">
        <v>3562</v>
      </c>
      <c r="AA1451" t="s">
        <v>54</v>
      </c>
      <c r="AB1451" t="s">
        <v>28</v>
      </c>
      <c r="AC1451" s="3" t="s">
        <v>3729</v>
      </c>
      <c r="AD1451" s="3" t="s">
        <v>3731</v>
      </c>
      <c r="AE1451" t="s">
        <v>69</v>
      </c>
    </row>
    <row r="1452" spans="1:31" x14ac:dyDescent="0.25">
      <c r="A1452">
        <v>119025372885</v>
      </c>
      <c r="B1452">
        <v>462598545</v>
      </c>
      <c r="C1452" s="1">
        <v>46013.754965277774</v>
      </c>
      <c r="D1452" s="1">
        <v>46013.756979166668</v>
      </c>
      <c r="E1452" t="s">
        <v>1842</v>
      </c>
      <c r="F1452" t="s">
        <v>23</v>
      </c>
      <c r="G1452" t="e">
        <f>+_xlfn.XLOOKUP(tbl_encuesta[[#This Row],[Me siento a gusto con el ambiente de trabajo que se genera en mi equipo.]],#REF!,#REF!)</f>
        <v>#REF!</v>
      </c>
      <c r="H1452" t="s">
        <v>23</v>
      </c>
      <c r="I1452" t="e">
        <f>+_xlfn.XLOOKUP(tbl_encuesta[[#This Row],[Me siento motivado a dar lo mejor de mí y hacer un buen trabajo]],#REF!,#REF!)</f>
        <v>#REF!</v>
      </c>
      <c r="J1452" t="s">
        <v>22</v>
      </c>
      <c r="K1452" t="e">
        <f>+_xlfn.XLOOKUP(tbl_encuesta[[#This Row],[Mi supervisor o jefe directo me otorga el soporte que necesito para afrontar cualquier problema que afecte mi trabajo]],#REF!,#REF!)</f>
        <v>#REF!</v>
      </c>
      <c r="L1452" t="s">
        <v>23</v>
      </c>
      <c r="M1452" t="e">
        <f>+_xlfn.XLOOKUP(tbl_encuesta[[#This Row],[Mi supervisor o jefe directo fomenta que nos apoyemos entre todos en el equipo]],#REF!,#REF!)</f>
        <v>#REF!</v>
      </c>
      <c r="N1452" t="s">
        <v>23</v>
      </c>
      <c r="O1452" t="e">
        <f>+_xlfn.XLOOKUP(tbl_encuesta[[#This Row],[Siento que mi trabajo es reconocido por mi supervisor o jefe directo.]],#REF!,#REF!)</f>
        <v>#REF!</v>
      </c>
      <c r="P1452" t="s">
        <v>31</v>
      </c>
      <c r="Q1452" t="e">
        <f xml:space="preserve">
_xlfn.XLOOKUP(
tbl_encuesta[[#This Row],[Mi supervisor o jefe directo nos brinda charlas de 5 minutos y comunica las novedades relevantes a mi puesto de trabajo]],#REF!,#REF!
)</f>
        <v>#REF!</v>
      </c>
      <c r="R1452" t="s">
        <v>17</v>
      </c>
      <c r="S1452" t="s">
        <v>18</v>
      </c>
      <c r="W1452" t="s">
        <v>25</v>
      </c>
      <c r="X1452" t="s">
        <v>23</v>
      </c>
      <c r="Y1452" t="e">
        <f>+_xlfn.XLOOKUP(tbl_encuesta[[#This Row],[Considero a Limtek como un buen lugar para trabajar]],#REF!,#REF!)</f>
        <v>#REF!</v>
      </c>
      <c r="Z1452" t="s">
        <v>3563</v>
      </c>
      <c r="AA1452" t="s">
        <v>1803</v>
      </c>
      <c r="AB1452" t="s">
        <v>28</v>
      </c>
      <c r="AC1452" s="3" t="s">
        <v>3716</v>
      </c>
      <c r="AD1452" s="3" t="s">
        <v>3720</v>
      </c>
      <c r="AE1452" t="s">
        <v>69</v>
      </c>
    </row>
    <row r="1453" spans="1:31" x14ac:dyDescent="0.25">
      <c r="A1453">
        <v>119025366358</v>
      </c>
      <c r="B1453">
        <v>462598545</v>
      </c>
      <c r="C1453" s="1">
        <v>46013.740914351853</v>
      </c>
      <c r="D1453" s="1">
        <v>46013.745439814818</v>
      </c>
      <c r="E1453" t="s">
        <v>3564</v>
      </c>
      <c r="F1453" t="s">
        <v>23</v>
      </c>
      <c r="G1453" t="e">
        <f>+_xlfn.XLOOKUP(tbl_encuesta[[#This Row],[Me siento a gusto con el ambiente de trabajo que se genera en mi equipo.]],#REF!,#REF!)</f>
        <v>#REF!</v>
      </c>
      <c r="H1453" t="s">
        <v>23</v>
      </c>
      <c r="I1453" t="e">
        <f>+_xlfn.XLOOKUP(tbl_encuesta[[#This Row],[Me siento motivado a dar lo mejor de mí y hacer un buen trabajo]],#REF!,#REF!)</f>
        <v>#REF!</v>
      </c>
      <c r="J1453" t="s">
        <v>23</v>
      </c>
      <c r="K1453" t="e">
        <f>+_xlfn.XLOOKUP(tbl_encuesta[[#This Row],[Mi supervisor o jefe directo me otorga el soporte que necesito para afrontar cualquier problema que afecte mi trabajo]],#REF!,#REF!)</f>
        <v>#REF!</v>
      </c>
      <c r="L1453" t="s">
        <v>23</v>
      </c>
      <c r="M1453" t="e">
        <f>+_xlfn.XLOOKUP(tbl_encuesta[[#This Row],[Mi supervisor o jefe directo fomenta que nos apoyemos entre todos en el equipo]],#REF!,#REF!)</f>
        <v>#REF!</v>
      </c>
      <c r="N1453" t="s">
        <v>23</v>
      </c>
      <c r="O1453" t="e">
        <f>+_xlfn.XLOOKUP(tbl_encuesta[[#This Row],[Siento que mi trabajo es reconocido por mi supervisor o jefe directo.]],#REF!,#REF!)</f>
        <v>#REF!</v>
      </c>
      <c r="P1453" t="s">
        <v>31</v>
      </c>
      <c r="Q1453" t="e">
        <f xml:space="preserve">
_xlfn.XLOOKUP(
tbl_encuesta[[#This Row],[Mi supervisor o jefe directo nos brinda charlas de 5 minutos y comunica las novedades relevantes a mi puesto de trabajo]],#REF!,#REF!
)</f>
        <v>#REF!</v>
      </c>
      <c r="R1453" t="s">
        <v>17</v>
      </c>
      <c r="W1453" t="s">
        <v>46</v>
      </c>
      <c r="X1453" t="s">
        <v>23</v>
      </c>
      <c r="Y1453" t="e">
        <f>+_xlfn.XLOOKUP(tbl_encuesta[[#This Row],[Considero a Limtek como un buen lugar para trabajar]],#REF!,#REF!)</f>
        <v>#REF!</v>
      </c>
      <c r="Z1453" t="s">
        <v>3565</v>
      </c>
      <c r="AA1453" t="s">
        <v>3565</v>
      </c>
      <c r="AB1453" t="s">
        <v>28</v>
      </c>
      <c r="AC1453" t="s">
        <v>3744</v>
      </c>
      <c r="AD1453" t="s">
        <v>3744</v>
      </c>
      <c r="AE1453" t="s">
        <v>69</v>
      </c>
    </row>
    <row r="1454" spans="1:31" x14ac:dyDescent="0.25">
      <c r="A1454">
        <v>119025364646</v>
      </c>
      <c r="B1454">
        <v>462598545</v>
      </c>
      <c r="C1454" s="1">
        <v>46013.73841435185</v>
      </c>
      <c r="D1454" s="1">
        <v>46013.742060185185</v>
      </c>
      <c r="E1454" t="s">
        <v>3566</v>
      </c>
      <c r="F1454" t="s">
        <v>23</v>
      </c>
      <c r="G1454" t="e">
        <f>+_xlfn.XLOOKUP(tbl_encuesta[[#This Row],[Me siento a gusto con el ambiente de trabajo que se genera en mi equipo.]],#REF!,#REF!)</f>
        <v>#REF!</v>
      </c>
      <c r="H1454" t="s">
        <v>23</v>
      </c>
      <c r="I1454" t="e">
        <f>+_xlfn.XLOOKUP(tbl_encuesta[[#This Row],[Me siento motivado a dar lo mejor de mí y hacer un buen trabajo]],#REF!,#REF!)</f>
        <v>#REF!</v>
      </c>
      <c r="J1454" t="s">
        <v>23</v>
      </c>
      <c r="K1454" t="e">
        <f>+_xlfn.XLOOKUP(tbl_encuesta[[#This Row],[Mi supervisor o jefe directo me otorga el soporte que necesito para afrontar cualquier problema que afecte mi trabajo]],#REF!,#REF!)</f>
        <v>#REF!</v>
      </c>
      <c r="L1454" t="s">
        <v>23</v>
      </c>
      <c r="M1454" t="e">
        <f>+_xlfn.XLOOKUP(tbl_encuesta[[#This Row],[Mi supervisor o jefe directo fomenta que nos apoyemos entre todos en el equipo]],#REF!,#REF!)</f>
        <v>#REF!</v>
      </c>
      <c r="N1454" t="s">
        <v>23</v>
      </c>
      <c r="O1454" t="e">
        <f>+_xlfn.XLOOKUP(tbl_encuesta[[#This Row],[Siento que mi trabajo es reconocido por mi supervisor o jefe directo.]],#REF!,#REF!)</f>
        <v>#REF!</v>
      </c>
      <c r="P1454" t="s">
        <v>31</v>
      </c>
      <c r="Q1454" t="e">
        <f xml:space="preserve">
_xlfn.XLOOKUP(
tbl_encuesta[[#This Row],[Mi supervisor o jefe directo nos brinda charlas de 5 minutos y comunica las novedades relevantes a mi puesto de trabajo]],#REF!,#REF!
)</f>
        <v>#REF!</v>
      </c>
      <c r="R1454" t="s">
        <v>17</v>
      </c>
      <c r="T1454" t="s">
        <v>19</v>
      </c>
      <c r="W1454" t="s">
        <v>25</v>
      </c>
      <c r="X1454" t="s">
        <v>23</v>
      </c>
      <c r="Y1454" t="e">
        <f>+_xlfn.XLOOKUP(tbl_encuesta[[#This Row],[Considero a Limtek como un buen lugar para trabajar]],#REF!,#REF!)</f>
        <v>#REF!</v>
      </c>
      <c r="Z1454" t="s">
        <v>923</v>
      </c>
      <c r="AA1454" t="s">
        <v>122</v>
      </c>
      <c r="AB1454" t="s">
        <v>28</v>
      </c>
      <c r="AC1454" s="3" t="s">
        <v>3736</v>
      </c>
      <c r="AD1454" s="3" t="s">
        <v>3736</v>
      </c>
      <c r="AE1454" t="s">
        <v>61</v>
      </c>
    </row>
    <row r="1455" spans="1:31" x14ac:dyDescent="0.25">
      <c r="A1455">
        <v>119025362652</v>
      </c>
      <c r="B1455">
        <v>462598545</v>
      </c>
      <c r="C1455" s="1">
        <v>46013.736655092594</v>
      </c>
      <c r="D1455" s="1">
        <v>46013.738067129627</v>
      </c>
      <c r="E1455" t="s">
        <v>3423</v>
      </c>
      <c r="F1455" t="s">
        <v>23</v>
      </c>
      <c r="G1455" t="e">
        <f>+_xlfn.XLOOKUP(tbl_encuesta[[#This Row],[Me siento a gusto con el ambiente de trabajo que se genera en mi equipo.]],#REF!,#REF!)</f>
        <v>#REF!</v>
      </c>
      <c r="H1455" t="s">
        <v>23</v>
      </c>
      <c r="I1455" t="e">
        <f>+_xlfn.XLOOKUP(tbl_encuesta[[#This Row],[Me siento motivado a dar lo mejor de mí y hacer un buen trabajo]],#REF!,#REF!)</f>
        <v>#REF!</v>
      </c>
      <c r="J1455" t="s">
        <v>23</v>
      </c>
      <c r="K1455" t="e">
        <f>+_xlfn.XLOOKUP(tbl_encuesta[[#This Row],[Mi supervisor o jefe directo me otorga el soporte que necesito para afrontar cualquier problema que afecte mi trabajo]],#REF!,#REF!)</f>
        <v>#REF!</v>
      </c>
      <c r="L1455" t="s">
        <v>23</v>
      </c>
      <c r="M1455" t="e">
        <f>+_xlfn.XLOOKUP(tbl_encuesta[[#This Row],[Mi supervisor o jefe directo fomenta que nos apoyemos entre todos en el equipo]],#REF!,#REF!)</f>
        <v>#REF!</v>
      </c>
      <c r="N1455" t="s">
        <v>23</v>
      </c>
      <c r="O1455" t="e">
        <f>+_xlfn.XLOOKUP(tbl_encuesta[[#This Row],[Siento que mi trabajo es reconocido por mi supervisor o jefe directo.]],#REF!,#REF!)</f>
        <v>#REF!</v>
      </c>
      <c r="P1455" t="s">
        <v>31</v>
      </c>
      <c r="Q1455" t="e">
        <f xml:space="preserve">
_xlfn.XLOOKUP(
tbl_encuesta[[#This Row],[Mi supervisor o jefe directo nos brinda charlas de 5 minutos y comunica las novedades relevantes a mi puesto de trabajo]],#REF!,#REF!
)</f>
        <v>#REF!</v>
      </c>
      <c r="R1455" t="s">
        <v>17</v>
      </c>
      <c r="W1455" t="s">
        <v>25</v>
      </c>
      <c r="X1455" t="s">
        <v>23</v>
      </c>
      <c r="Y1455" t="e">
        <f>+_xlfn.XLOOKUP(tbl_encuesta[[#This Row],[Considero a Limtek como un buen lugar para trabajar]],#REF!,#REF!)</f>
        <v>#REF!</v>
      </c>
      <c r="Z1455" t="s">
        <v>3567</v>
      </c>
      <c r="AA1455" t="s">
        <v>3568</v>
      </c>
      <c r="AB1455" t="s">
        <v>28</v>
      </c>
      <c r="AC1455" s="3" t="s">
        <v>3716</v>
      </c>
      <c r="AD1455" s="3" t="s">
        <v>3720</v>
      </c>
      <c r="AE1455" t="s">
        <v>34</v>
      </c>
    </row>
    <row r="1456" spans="1:31" x14ac:dyDescent="0.25">
      <c r="A1456">
        <v>119025362513</v>
      </c>
      <c r="B1456">
        <v>462598545</v>
      </c>
      <c r="C1456" s="1">
        <v>46013.735069444447</v>
      </c>
      <c r="D1456" s="1">
        <v>46013.737800925926</v>
      </c>
      <c r="E1456" t="s">
        <v>3569</v>
      </c>
      <c r="F1456" t="s">
        <v>23</v>
      </c>
      <c r="G1456" t="e">
        <f>+_xlfn.XLOOKUP(tbl_encuesta[[#This Row],[Me siento a gusto con el ambiente de trabajo que se genera en mi equipo.]],#REF!,#REF!)</f>
        <v>#REF!</v>
      </c>
      <c r="H1456" t="s">
        <v>23</v>
      </c>
      <c r="I1456" t="e">
        <f>+_xlfn.XLOOKUP(tbl_encuesta[[#This Row],[Me siento motivado a dar lo mejor de mí y hacer un buen trabajo]],#REF!,#REF!)</f>
        <v>#REF!</v>
      </c>
      <c r="J1456" t="s">
        <v>23</v>
      </c>
      <c r="K1456" t="e">
        <f>+_xlfn.XLOOKUP(tbl_encuesta[[#This Row],[Mi supervisor o jefe directo me otorga el soporte que necesito para afrontar cualquier problema que afecte mi trabajo]],#REF!,#REF!)</f>
        <v>#REF!</v>
      </c>
      <c r="L1456" t="s">
        <v>23</v>
      </c>
      <c r="M1456" t="e">
        <f>+_xlfn.XLOOKUP(tbl_encuesta[[#This Row],[Mi supervisor o jefe directo fomenta que nos apoyemos entre todos en el equipo]],#REF!,#REF!)</f>
        <v>#REF!</v>
      </c>
      <c r="N1456" t="s">
        <v>23</v>
      </c>
      <c r="O1456" t="e">
        <f>+_xlfn.XLOOKUP(tbl_encuesta[[#This Row],[Siento que mi trabajo es reconocido por mi supervisor o jefe directo.]],#REF!,#REF!)</f>
        <v>#REF!</v>
      </c>
      <c r="P1456" t="s">
        <v>67</v>
      </c>
      <c r="Q1456" t="e">
        <f xml:space="preserve">
_xlfn.XLOOKUP(
tbl_encuesta[[#This Row],[Mi supervisor o jefe directo nos brinda charlas de 5 minutos y comunica las novedades relevantes a mi puesto de trabajo]],#REF!,#REF!
)</f>
        <v>#REF!</v>
      </c>
      <c r="R1456" t="s">
        <v>17</v>
      </c>
      <c r="W1456" t="s">
        <v>25</v>
      </c>
      <c r="X1456" t="s">
        <v>23</v>
      </c>
      <c r="Y1456" t="e">
        <f>+_xlfn.XLOOKUP(tbl_encuesta[[#This Row],[Considero a Limtek como un buen lugar para trabajar]],#REF!,#REF!)</f>
        <v>#REF!</v>
      </c>
      <c r="Z1456" t="s">
        <v>3570</v>
      </c>
      <c r="AA1456" t="s">
        <v>3571</v>
      </c>
      <c r="AB1456" t="s">
        <v>28</v>
      </c>
      <c r="AC1456" t="s">
        <v>3592</v>
      </c>
      <c r="AD1456" t="s">
        <v>3153</v>
      </c>
      <c r="AE1456" t="s">
        <v>69</v>
      </c>
    </row>
    <row r="1457" spans="1:31" x14ac:dyDescent="0.25">
      <c r="A1457">
        <v>119025362010</v>
      </c>
      <c r="B1457">
        <v>462598545</v>
      </c>
      <c r="C1457" s="1">
        <v>46013.732060185182</v>
      </c>
      <c r="D1457" s="1">
        <v>46013.736770833333</v>
      </c>
      <c r="E1457" t="s">
        <v>3572</v>
      </c>
      <c r="F1457" t="s">
        <v>23</v>
      </c>
      <c r="G1457" t="e">
        <f>+_xlfn.XLOOKUP(tbl_encuesta[[#This Row],[Me siento a gusto con el ambiente de trabajo que se genera en mi equipo.]],#REF!,#REF!)</f>
        <v>#REF!</v>
      </c>
      <c r="H1457" t="s">
        <v>23</v>
      </c>
      <c r="I1457" t="e">
        <f>+_xlfn.XLOOKUP(tbl_encuesta[[#This Row],[Me siento motivado a dar lo mejor de mí y hacer un buen trabajo]],#REF!,#REF!)</f>
        <v>#REF!</v>
      </c>
      <c r="J1457" t="s">
        <v>23</v>
      </c>
      <c r="K1457" t="e">
        <f>+_xlfn.XLOOKUP(tbl_encuesta[[#This Row],[Mi supervisor o jefe directo me otorga el soporte que necesito para afrontar cualquier problema que afecte mi trabajo]],#REF!,#REF!)</f>
        <v>#REF!</v>
      </c>
      <c r="L1457" t="s">
        <v>23</v>
      </c>
      <c r="M1457" t="e">
        <f>+_xlfn.XLOOKUP(tbl_encuesta[[#This Row],[Mi supervisor o jefe directo fomenta que nos apoyemos entre todos en el equipo]],#REF!,#REF!)</f>
        <v>#REF!</v>
      </c>
      <c r="N1457" t="s">
        <v>23</v>
      </c>
      <c r="O1457" t="e">
        <f>+_xlfn.XLOOKUP(tbl_encuesta[[#This Row],[Siento que mi trabajo es reconocido por mi supervisor o jefe directo.]],#REF!,#REF!)</f>
        <v>#REF!</v>
      </c>
      <c r="P1457" t="s">
        <v>31</v>
      </c>
      <c r="Q1457" t="e">
        <f xml:space="preserve">
_xlfn.XLOOKUP(
tbl_encuesta[[#This Row],[Mi supervisor o jefe directo nos brinda charlas de 5 minutos y comunica las novedades relevantes a mi puesto de trabajo]],#REF!,#REF!
)</f>
        <v>#REF!</v>
      </c>
      <c r="R1457" t="s">
        <v>17</v>
      </c>
      <c r="U1457" t="s">
        <v>20</v>
      </c>
      <c r="W1457" t="s">
        <v>25</v>
      </c>
      <c r="X1457" t="s">
        <v>23</v>
      </c>
      <c r="Y1457" t="e">
        <f>+_xlfn.XLOOKUP(tbl_encuesta[[#This Row],[Considero a Limtek como un buen lugar para trabajar]],#REF!,#REF!)</f>
        <v>#REF!</v>
      </c>
      <c r="Z1457" t="s">
        <v>3573</v>
      </c>
      <c r="AA1457" t="s">
        <v>3574</v>
      </c>
      <c r="AB1457" t="s">
        <v>28</v>
      </c>
      <c r="AC1457" s="3" t="s">
        <v>3729</v>
      </c>
      <c r="AD1457" s="3" t="s">
        <v>3732</v>
      </c>
      <c r="AE1457" t="s">
        <v>61</v>
      </c>
    </row>
    <row r="1458" spans="1:31" x14ac:dyDescent="0.25">
      <c r="A1458">
        <v>119025361711</v>
      </c>
      <c r="B1458">
        <v>462598545</v>
      </c>
      <c r="C1458" s="1">
        <v>46013.734224537038</v>
      </c>
      <c r="D1458" s="1">
        <v>46013.736145833333</v>
      </c>
      <c r="E1458" t="s">
        <v>3575</v>
      </c>
      <c r="F1458" t="s">
        <v>23</v>
      </c>
      <c r="G1458" t="e">
        <f>+_xlfn.XLOOKUP(tbl_encuesta[[#This Row],[Me siento a gusto con el ambiente de trabajo que se genera en mi equipo.]],#REF!,#REF!)</f>
        <v>#REF!</v>
      </c>
      <c r="H1458" t="s">
        <v>23</v>
      </c>
      <c r="I1458" t="e">
        <f>+_xlfn.XLOOKUP(tbl_encuesta[[#This Row],[Me siento motivado a dar lo mejor de mí y hacer un buen trabajo]],#REF!,#REF!)</f>
        <v>#REF!</v>
      </c>
      <c r="J1458" t="s">
        <v>23</v>
      </c>
      <c r="K1458" t="e">
        <f>+_xlfn.XLOOKUP(tbl_encuesta[[#This Row],[Mi supervisor o jefe directo me otorga el soporte que necesito para afrontar cualquier problema que afecte mi trabajo]],#REF!,#REF!)</f>
        <v>#REF!</v>
      </c>
      <c r="L1458" t="s">
        <v>23</v>
      </c>
      <c r="M1458" t="e">
        <f>+_xlfn.XLOOKUP(tbl_encuesta[[#This Row],[Mi supervisor o jefe directo fomenta que nos apoyemos entre todos en el equipo]],#REF!,#REF!)</f>
        <v>#REF!</v>
      </c>
      <c r="N1458" t="s">
        <v>23</v>
      </c>
      <c r="O1458" t="e">
        <f>+_xlfn.XLOOKUP(tbl_encuesta[[#This Row],[Siento que mi trabajo es reconocido por mi supervisor o jefe directo.]],#REF!,#REF!)</f>
        <v>#REF!</v>
      </c>
      <c r="P1458" t="s">
        <v>31</v>
      </c>
      <c r="Q1458" t="e">
        <f xml:space="preserve">
_xlfn.XLOOKUP(
tbl_encuesta[[#This Row],[Mi supervisor o jefe directo nos brinda charlas de 5 minutos y comunica las novedades relevantes a mi puesto de trabajo]],#REF!,#REF!
)</f>
        <v>#REF!</v>
      </c>
      <c r="R1458" t="s">
        <v>17</v>
      </c>
      <c r="T1458" t="s">
        <v>19</v>
      </c>
      <c r="W1458" t="s">
        <v>25</v>
      </c>
      <c r="X1458" t="s">
        <v>23</v>
      </c>
      <c r="Y1458" t="e">
        <f>+_xlfn.XLOOKUP(tbl_encuesta[[#This Row],[Considero a Limtek como un buen lugar para trabajar]],#REF!,#REF!)</f>
        <v>#REF!</v>
      </c>
      <c r="Z1458" t="s">
        <v>3576</v>
      </c>
      <c r="AA1458" t="s">
        <v>3577</v>
      </c>
      <c r="AB1458" t="s">
        <v>28</v>
      </c>
      <c r="AC1458" s="3" t="s">
        <v>3716</v>
      </c>
      <c r="AD1458" s="3" t="s">
        <v>3720</v>
      </c>
      <c r="AE1458" t="s">
        <v>69</v>
      </c>
    </row>
    <row r="1459" spans="1:31" x14ac:dyDescent="0.25">
      <c r="A1459">
        <v>119025359071</v>
      </c>
      <c r="B1459">
        <v>462598545</v>
      </c>
      <c r="C1459" s="1">
        <v>46013.723611111112</v>
      </c>
      <c r="D1459" s="1">
        <v>46013.731192129628</v>
      </c>
      <c r="E1459" t="s">
        <v>3210</v>
      </c>
      <c r="F1459" t="s">
        <v>23</v>
      </c>
      <c r="G1459" t="e">
        <f>+_xlfn.XLOOKUP(tbl_encuesta[[#This Row],[Me siento a gusto con el ambiente de trabajo que se genera en mi equipo.]],#REF!,#REF!)</f>
        <v>#REF!</v>
      </c>
      <c r="H1459" t="s">
        <v>23</v>
      </c>
      <c r="I1459" t="e">
        <f>+_xlfn.XLOOKUP(tbl_encuesta[[#This Row],[Me siento motivado a dar lo mejor de mí y hacer un buen trabajo]],#REF!,#REF!)</f>
        <v>#REF!</v>
      </c>
      <c r="J1459" t="s">
        <v>23</v>
      </c>
      <c r="K1459" t="e">
        <f>+_xlfn.XLOOKUP(tbl_encuesta[[#This Row],[Mi supervisor o jefe directo me otorga el soporte que necesito para afrontar cualquier problema que afecte mi trabajo]],#REF!,#REF!)</f>
        <v>#REF!</v>
      </c>
      <c r="L1459" t="s">
        <v>23</v>
      </c>
      <c r="M1459" t="e">
        <f>+_xlfn.XLOOKUP(tbl_encuesta[[#This Row],[Mi supervisor o jefe directo fomenta que nos apoyemos entre todos en el equipo]],#REF!,#REF!)</f>
        <v>#REF!</v>
      </c>
      <c r="N1459" t="s">
        <v>23</v>
      </c>
      <c r="O1459" t="e">
        <f>+_xlfn.XLOOKUP(tbl_encuesta[[#This Row],[Siento que mi trabajo es reconocido por mi supervisor o jefe directo.]],#REF!,#REF!)</f>
        <v>#REF!</v>
      </c>
      <c r="P1459" t="s">
        <v>31</v>
      </c>
      <c r="Q1459" t="e">
        <f xml:space="preserve">
_xlfn.XLOOKUP(
tbl_encuesta[[#This Row],[Mi supervisor o jefe directo nos brinda charlas de 5 minutos y comunica las novedades relevantes a mi puesto de trabajo]],#REF!,#REF!
)</f>
        <v>#REF!</v>
      </c>
      <c r="S1459" t="s">
        <v>18</v>
      </c>
      <c r="W1459" t="s">
        <v>25</v>
      </c>
      <c r="X1459" t="s">
        <v>23</v>
      </c>
      <c r="Y1459" t="e">
        <f>+_xlfn.XLOOKUP(tbl_encuesta[[#This Row],[Considero a Limtek como un buen lugar para trabajar]],#REF!,#REF!)</f>
        <v>#REF!</v>
      </c>
      <c r="Z1459" t="s">
        <v>3578</v>
      </c>
      <c r="AA1459" t="s">
        <v>1827</v>
      </c>
      <c r="AB1459" t="s">
        <v>28</v>
      </c>
      <c r="AC1459" s="3" t="s">
        <v>3729</v>
      </c>
      <c r="AD1459" s="3" t="s">
        <v>3731</v>
      </c>
      <c r="AE1459" t="s">
        <v>61</v>
      </c>
    </row>
    <row r="1460" spans="1:31" x14ac:dyDescent="0.25">
      <c r="A1460">
        <v>119025356958</v>
      </c>
      <c r="B1460">
        <v>462598545</v>
      </c>
      <c r="C1460" s="1">
        <v>46013.720451388886</v>
      </c>
      <c r="D1460" s="1">
        <v>46013.727465277778</v>
      </c>
      <c r="E1460" t="s">
        <v>3210</v>
      </c>
      <c r="F1460" t="s">
        <v>23</v>
      </c>
      <c r="G1460" t="e">
        <f>+_xlfn.XLOOKUP(tbl_encuesta[[#This Row],[Me siento a gusto con el ambiente de trabajo que se genera en mi equipo.]],#REF!,#REF!)</f>
        <v>#REF!</v>
      </c>
      <c r="H1460" t="s">
        <v>23</v>
      </c>
      <c r="I1460" t="e">
        <f>+_xlfn.XLOOKUP(tbl_encuesta[[#This Row],[Me siento motivado a dar lo mejor de mí y hacer un buen trabajo]],#REF!,#REF!)</f>
        <v>#REF!</v>
      </c>
      <c r="J1460" t="s">
        <v>23</v>
      </c>
      <c r="K1460" t="e">
        <f>+_xlfn.XLOOKUP(tbl_encuesta[[#This Row],[Mi supervisor o jefe directo me otorga el soporte que necesito para afrontar cualquier problema que afecte mi trabajo]],#REF!,#REF!)</f>
        <v>#REF!</v>
      </c>
      <c r="L1460" t="s">
        <v>23</v>
      </c>
      <c r="M1460" t="e">
        <f>+_xlfn.XLOOKUP(tbl_encuesta[[#This Row],[Mi supervisor o jefe directo fomenta que nos apoyemos entre todos en el equipo]],#REF!,#REF!)</f>
        <v>#REF!</v>
      </c>
      <c r="N1460" t="s">
        <v>23</v>
      </c>
      <c r="O1460" t="e">
        <f>+_xlfn.XLOOKUP(tbl_encuesta[[#This Row],[Siento que mi trabajo es reconocido por mi supervisor o jefe directo.]],#REF!,#REF!)</f>
        <v>#REF!</v>
      </c>
      <c r="P1460" t="s">
        <v>31</v>
      </c>
      <c r="Q1460" t="e">
        <f xml:space="preserve">
_xlfn.XLOOKUP(
tbl_encuesta[[#This Row],[Mi supervisor o jefe directo nos brinda charlas de 5 minutos y comunica las novedades relevantes a mi puesto de trabajo]],#REF!,#REF!
)</f>
        <v>#REF!</v>
      </c>
      <c r="R1460" t="s">
        <v>17</v>
      </c>
      <c r="S1460" t="s">
        <v>18</v>
      </c>
      <c r="W1460" t="s">
        <v>25</v>
      </c>
      <c r="X1460" t="s">
        <v>23</v>
      </c>
      <c r="Y1460" t="e">
        <f>+_xlfn.XLOOKUP(tbl_encuesta[[#This Row],[Considero a Limtek como un buen lugar para trabajar]],#REF!,#REF!)</f>
        <v>#REF!</v>
      </c>
      <c r="Z1460" t="s">
        <v>3579</v>
      </c>
      <c r="AA1460" t="s">
        <v>3580</v>
      </c>
      <c r="AB1460" t="s">
        <v>28</v>
      </c>
      <c r="AC1460" s="3" t="s">
        <v>3729</v>
      </c>
      <c r="AD1460" s="3" t="s">
        <v>3731</v>
      </c>
      <c r="AE1460" t="s">
        <v>34</v>
      </c>
    </row>
    <row r="1461" spans="1:31" x14ac:dyDescent="0.25">
      <c r="A1461">
        <v>119025353324</v>
      </c>
      <c r="B1461">
        <v>462598545</v>
      </c>
      <c r="C1461" s="1">
        <v>46013.719027777777</v>
      </c>
      <c r="D1461" s="1">
        <v>46013.720914351848</v>
      </c>
      <c r="E1461" t="s">
        <v>3210</v>
      </c>
      <c r="F1461" t="s">
        <v>22</v>
      </c>
      <c r="G1461" t="e">
        <f>+_xlfn.XLOOKUP(tbl_encuesta[[#This Row],[Me siento a gusto con el ambiente de trabajo que se genera en mi equipo.]],#REF!,#REF!)</f>
        <v>#REF!</v>
      </c>
      <c r="H1461" t="s">
        <v>23</v>
      </c>
      <c r="I1461" t="e">
        <f>+_xlfn.XLOOKUP(tbl_encuesta[[#This Row],[Me siento motivado a dar lo mejor de mí y hacer un buen trabajo]],#REF!,#REF!)</f>
        <v>#REF!</v>
      </c>
      <c r="J1461" t="s">
        <v>22</v>
      </c>
      <c r="K1461" t="e">
        <f>+_xlfn.XLOOKUP(tbl_encuesta[[#This Row],[Mi supervisor o jefe directo me otorga el soporte que necesito para afrontar cualquier problema que afecte mi trabajo]],#REF!,#REF!)</f>
        <v>#REF!</v>
      </c>
      <c r="L1461" t="s">
        <v>22</v>
      </c>
      <c r="M1461" t="e">
        <f>+_xlfn.XLOOKUP(tbl_encuesta[[#This Row],[Mi supervisor o jefe directo fomenta que nos apoyemos entre todos en el equipo]],#REF!,#REF!)</f>
        <v>#REF!</v>
      </c>
      <c r="N1461" t="s">
        <v>22</v>
      </c>
      <c r="O1461" t="e">
        <f>+_xlfn.XLOOKUP(tbl_encuesta[[#This Row],[Siento que mi trabajo es reconocido por mi supervisor o jefe directo.]],#REF!,#REF!)</f>
        <v>#REF!</v>
      </c>
      <c r="P1461" t="s">
        <v>31</v>
      </c>
      <c r="Q1461" t="e">
        <f xml:space="preserve">
_xlfn.XLOOKUP(
tbl_encuesta[[#This Row],[Mi supervisor o jefe directo nos brinda charlas de 5 minutos y comunica las novedades relevantes a mi puesto de trabajo]],#REF!,#REF!
)</f>
        <v>#REF!</v>
      </c>
      <c r="R1461" t="s">
        <v>17</v>
      </c>
      <c r="T1461" t="s">
        <v>19</v>
      </c>
      <c r="W1461" t="s">
        <v>25</v>
      </c>
      <c r="X1461" t="s">
        <v>23</v>
      </c>
      <c r="Y1461" t="e">
        <f>+_xlfn.XLOOKUP(tbl_encuesta[[#This Row],[Considero a Limtek como un buen lugar para trabajar]],#REF!,#REF!)</f>
        <v>#REF!</v>
      </c>
      <c r="Z1461" t="s">
        <v>1827</v>
      </c>
      <c r="AA1461" t="s">
        <v>3581</v>
      </c>
      <c r="AB1461" t="s">
        <v>28</v>
      </c>
      <c r="AC1461" s="3" t="s">
        <v>3729</v>
      </c>
      <c r="AD1461" s="3" t="s">
        <v>3731</v>
      </c>
      <c r="AE1461" t="s">
        <v>29</v>
      </c>
    </row>
    <row r="1462" spans="1:31" x14ac:dyDescent="0.25">
      <c r="A1462">
        <v>119025351020</v>
      </c>
      <c r="B1462">
        <v>462598545</v>
      </c>
      <c r="C1462" s="1">
        <v>46013.715138888889</v>
      </c>
      <c r="D1462" s="1">
        <v>46013.71671296296</v>
      </c>
      <c r="E1462" t="s">
        <v>3210</v>
      </c>
      <c r="F1462" t="s">
        <v>23</v>
      </c>
      <c r="G1462" t="e">
        <f>+_xlfn.XLOOKUP(tbl_encuesta[[#This Row],[Me siento a gusto con el ambiente de trabajo que se genera en mi equipo.]],#REF!,#REF!)</f>
        <v>#REF!</v>
      </c>
      <c r="H1462" t="s">
        <v>23</v>
      </c>
      <c r="I1462" t="e">
        <f>+_xlfn.XLOOKUP(tbl_encuesta[[#This Row],[Me siento motivado a dar lo mejor de mí y hacer un buen trabajo]],#REF!,#REF!)</f>
        <v>#REF!</v>
      </c>
      <c r="J1462" t="s">
        <v>22</v>
      </c>
      <c r="K1462" t="e">
        <f>+_xlfn.XLOOKUP(tbl_encuesta[[#This Row],[Mi supervisor o jefe directo me otorga el soporte que necesito para afrontar cualquier problema que afecte mi trabajo]],#REF!,#REF!)</f>
        <v>#REF!</v>
      </c>
      <c r="L1462" t="s">
        <v>23</v>
      </c>
      <c r="M1462" t="e">
        <f>+_xlfn.XLOOKUP(tbl_encuesta[[#This Row],[Mi supervisor o jefe directo fomenta que nos apoyemos entre todos en el equipo]],#REF!,#REF!)</f>
        <v>#REF!</v>
      </c>
      <c r="N1462" t="s">
        <v>22</v>
      </c>
      <c r="O1462" t="e">
        <f>+_xlfn.XLOOKUP(tbl_encuesta[[#This Row],[Siento que mi trabajo es reconocido por mi supervisor o jefe directo.]],#REF!,#REF!)</f>
        <v>#REF!</v>
      </c>
      <c r="P1462" t="s">
        <v>31</v>
      </c>
      <c r="Q1462" t="e">
        <f xml:space="preserve">
_xlfn.XLOOKUP(
tbl_encuesta[[#This Row],[Mi supervisor o jefe directo nos brinda charlas de 5 minutos y comunica las novedades relevantes a mi puesto de trabajo]],#REF!,#REF!
)</f>
        <v>#REF!</v>
      </c>
      <c r="S1462" t="s">
        <v>18</v>
      </c>
      <c r="W1462" t="s">
        <v>25</v>
      </c>
      <c r="X1462" t="s">
        <v>23</v>
      </c>
      <c r="Y1462" t="e">
        <f>+_xlfn.XLOOKUP(tbl_encuesta[[#This Row],[Considero a Limtek como un buen lugar para trabajar]],#REF!,#REF!)</f>
        <v>#REF!</v>
      </c>
      <c r="Z1462" t="s">
        <v>3582</v>
      </c>
      <c r="AA1462" t="s">
        <v>727</v>
      </c>
      <c r="AB1462" t="s">
        <v>28</v>
      </c>
      <c r="AC1462" s="3" t="s">
        <v>3729</v>
      </c>
      <c r="AD1462" s="3" t="s">
        <v>3731</v>
      </c>
      <c r="AE1462" t="s">
        <v>55</v>
      </c>
    </row>
    <row r="1463" spans="1:31" x14ac:dyDescent="0.25">
      <c r="A1463">
        <v>119025349576</v>
      </c>
      <c r="B1463">
        <v>462598545</v>
      </c>
      <c r="C1463" s="1">
        <v>46013.708425925928</v>
      </c>
      <c r="D1463" s="1">
        <v>46013.714143518519</v>
      </c>
      <c r="E1463" t="s">
        <v>3210</v>
      </c>
      <c r="F1463" t="s">
        <v>23</v>
      </c>
      <c r="G1463" t="e">
        <f>+_xlfn.XLOOKUP(tbl_encuesta[[#This Row],[Me siento a gusto con el ambiente de trabajo que se genera en mi equipo.]],#REF!,#REF!)</f>
        <v>#REF!</v>
      </c>
      <c r="H1463" t="s">
        <v>23</v>
      </c>
      <c r="I1463" t="e">
        <f>+_xlfn.XLOOKUP(tbl_encuesta[[#This Row],[Me siento motivado a dar lo mejor de mí y hacer un buen trabajo]],#REF!,#REF!)</f>
        <v>#REF!</v>
      </c>
      <c r="J1463" t="s">
        <v>23</v>
      </c>
      <c r="K1463" t="e">
        <f>+_xlfn.XLOOKUP(tbl_encuesta[[#This Row],[Mi supervisor o jefe directo me otorga el soporte que necesito para afrontar cualquier problema que afecte mi trabajo]],#REF!,#REF!)</f>
        <v>#REF!</v>
      </c>
      <c r="L1463" t="s">
        <v>23</v>
      </c>
      <c r="M1463" t="e">
        <f>+_xlfn.XLOOKUP(tbl_encuesta[[#This Row],[Mi supervisor o jefe directo fomenta que nos apoyemos entre todos en el equipo]],#REF!,#REF!)</f>
        <v>#REF!</v>
      </c>
      <c r="N1463" t="s">
        <v>23</v>
      </c>
      <c r="O1463" t="e">
        <f>+_xlfn.XLOOKUP(tbl_encuesta[[#This Row],[Siento que mi trabajo es reconocido por mi supervisor o jefe directo.]],#REF!,#REF!)</f>
        <v>#REF!</v>
      </c>
      <c r="P1463" t="s">
        <v>31</v>
      </c>
      <c r="Q1463" t="e">
        <f xml:space="preserve">
_xlfn.XLOOKUP(
tbl_encuesta[[#This Row],[Mi supervisor o jefe directo nos brinda charlas de 5 minutos y comunica las novedades relevantes a mi puesto de trabajo]],#REF!,#REF!
)</f>
        <v>#REF!</v>
      </c>
      <c r="R1463" t="s">
        <v>17</v>
      </c>
      <c r="S1463" t="s">
        <v>18</v>
      </c>
      <c r="W1463" t="s">
        <v>25</v>
      </c>
      <c r="X1463" t="s">
        <v>23</v>
      </c>
      <c r="Y1463" t="e">
        <f>+_xlfn.XLOOKUP(tbl_encuesta[[#This Row],[Considero a Limtek como un buen lugar para trabajar]],#REF!,#REF!)</f>
        <v>#REF!</v>
      </c>
      <c r="Z1463" t="s">
        <v>3583</v>
      </c>
      <c r="AA1463" t="s">
        <v>3584</v>
      </c>
      <c r="AB1463" t="s">
        <v>28</v>
      </c>
      <c r="AC1463" s="3" t="s">
        <v>3729</v>
      </c>
      <c r="AD1463" s="3" t="s">
        <v>3731</v>
      </c>
      <c r="AE1463" t="s">
        <v>61</v>
      </c>
    </row>
    <row r="1464" spans="1:31" x14ac:dyDescent="0.25">
      <c r="A1464">
        <v>119025348036</v>
      </c>
      <c r="B1464">
        <v>462598545</v>
      </c>
      <c r="C1464" s="1">
        <v>46013.709745370368</v>
      </c>
      <c r="D1464" s="1">
        <v>46013.711388888885</v>
      </c>
      <c r="E1464" t="s">
        <v>3210</v>
      </c>
      <c r="F1464" t="s">
        <v>23</v>
      </c>
      <c r="G1464" t="e">
        <f>+_xlfn.XLOOKUP(tbl_encuesta[[#This Row],[Me siento a gusto con el ambiente de trabajo que se genera en mi equipo.]],#REF!,#REF!)</f>
        <v>#REF!</v>
      </c>
      <c r="H1464" t="s">
        <v>23</v>
      </c>
      <c r="I1464" t="e">
        <f>+_xlfn.XLOOKUP(tbl_encuesta[[#This Row],[Me siento motivado a dar lo mejor de mí y hacer un buen trabajo]],#REF!,#REF!)</f>
        <v>#REF!</v>
      </c>
      <c r="J1464" t="s">
        <v>23</v>
      </c>
      <c r="K1464" t="e">
        <f>+_xlfn.XLOOKUP(tbl_encuesta[[#This Row],[Mi supervisor o jefe directo me otorga el soporte que necesito para afrontar cualquier problema que afecte mi trabajo]],#REF!,#REF!)</f>
        <v>#REF!</v>
      </c>
      <c r="L1464" t="s">
        <v>23</v>
      </c>
      <c r="M1464" t="e">
        <f>+_xlfn.XLOOKUP(tbl_encuesta[[#This Row],[Mi supervisor o jefe directo fomenta que nos apoyemos entre todos en el equipo]],#REF!,#REF!)</f>
        <v>#REF!</v>
      </c>
      <c r="N1464" t="s">
        <v>23</v>
      </c>
      <c r="O1464" t="e">
        <f>+_xlfn.XLOOKUP(tbl_encuesta[[#This Row],[Siento que mi trabajo es reconocido por mi supervisor o jefe directo.]],#REF!,#REF!)</f>
        <v>#REF!</v>
      </c>
      <c r="P1464" t="s">
        <v>31</v>
      </c>
      <c r="Q1464" t="e">
        <f xml:space="preserve">
_xlfn.XLOOKUP(
tbl_encuesta[[#This Row],[Mi supervisor o jefe directo nos brinda charlas de 5 minutos y comunica las novedades relevantes a mi puesto de trabajo]],#REF!,#REF!
)</f>
        <v>#REF!</v>
      </c>
      <c r="R1464" t="s">
        <v>17</v>
      </c>
      <c r="W1464" t="s">
        <v>25</v>
      </c>
      <c r="X1464" t="s">
        <v>23</v>
      </c>
      <c r="Y1464" t="e">
        <f>+_xlfn.XLOOKUP(tbl_encuesta[[#This Row],[Considero a Limtek como un buen lugar para trabajar]],#REF!,#REF!)</f>
        <v>#REF!</v>
      </c>
      <c r="Z1464" t="s">
        <v>3585</v>
      </c>
      <c r="AA1464" t="s">
        <v>3586</v>
      </c>
      <c r="AB1464" t="s">
        <v>28</v>
      </c>
      <c r="AC1464" s="3" t="s">
        <v>3729</v>
      </c>
      <c r="AD1464" s="3" t="s">
        <v>3731</v>
      </c>
      <c r="AE1464" t="s">
        <v>55</v>
      </c>
    </row>
    <row r="1465" spans="1:31" x14ac:dyDescent="0.25">
      <c r="A1465">
        <v>119025343744</v>
      </c>
      <c r="B1465">
        <v>462598545</v>
      </c>
      <c r="C1465" s="1">
        <v>46013.700960648152</v>
      </c>
      <c r="D1465" s="1">
        <v>46013.703946759262</v>
      </c>
      <c r="E1465" t="s">
        <v>3210</v>
      </c>
      <c r="F1465" t="s">
        <v>23</v>
      </c>
      <c r="G1465" t="e">
        <f>+_xlfn.XLOOKUP(tbl_encuesta[[#This Row],[Me siento a gusto con el ambiente de trabajo que se genera en mi equipo.]],#REF!,#REF!)</f>
        <v>#REF!</v>
      </c>
      <c r="H1465" t="s">
        <v>23</v>
      </c>
      <c r="I1465" t="e">
        <f>+_xlfn.XLOOKUP(tbl_encuesta[[#This Row],[Me siento motivado a dar lo mejor de mí y hacer un buen trabajo]],#REF!,#REF!)</f>
        <v>#REF!</v>
      </c>
      <c r="J1465" t="s">
        <v>23</v>
      </c>
      <c r="K1465" t="e">
        <f>+_xlfn.XLOOKUP(tbl_encuesta[[#This Row],[Mi supervisor o jefe directo me otorga el soporte que necesito para afrontar cualquier problema que afecte mi trabajo]],#REF!,#REF!)</f>
        <v>#REF!</v>
      </c>
      <c r="L1465" t="s">
        <v>23</v>
      </c>
      <c r="M1465" t="e">
        <f>+_xlfn.XLOOKUP(tbl_encuesta[[#This Row],[Mi supervisor o jefe directo fomenta que nos apoyemos entre todos en el equipo]],#REF!,#REF!)</f>
        <v>#REF!</v>
      </c>
      <c r="N1465" t="s">
        <v>23</v>
      </c>
      <c r="O1465" t="e">
        <f>+_xlfn.XLOOKUP(tbl_encuesta[[#This Row],[Siento que mi trabajo es reconocido por mi supervisor o jefe directo.]],#REF!,#REF!)</f>
        <v>#REF!</v>
      </c>
      <c r="P1465" t="s">
        <v>31</v>
      </c>
      <c r="Q1465" t="e">
        <f xml:space="preserve">
_xlfn.XLOOKUP(
tbl_encuesta[[#This Row],[Mi supervisor o jefe directo nos brinda charlas de 5 minutos y comunica las novedades relevantes a mi puesto de trabajo]],#REF!,#REF!
)</f>
        <v>#REF!</v>
      </c>
      <c r="R1465" t="s">
        <v>17</v>
      </c>
      <c r="W1465" t="s">
        <v>25</v>
      </c>
      <c r="X1465" t="s">
        <v>23</v>
      </c>
      <c r="Y1465" t="e">
        <f>+_xlfn.XLOOKUP(tbl_encuesta[[#This Row],[Considero a Limtek como un buen lugar para trabajar]],#REF!,#REF!)</f>
        <v>#REF!</v>
      </c>
      <c r="Z1465" t="s">
        <v>3587</v>
      </c>
      <c r="AA1465" t="s">
        <v>3588</v>
      </c>
      <c r="AB1465" t="s">
        <v>28</v>
      </c>
      <c r="AC1465" s="3" t="s">
        <v>3729</v>
      </c>
      <c r="AD1465" s="3" t="s">
        <v>3731</v>
      </c>
      <c r="AE1465" t="s">
        <v>55</v>
      </c>
    </row>
    <row r="1466" spans="1:31" x14ac:dyDescent="0.25">
      <c r="A1466">
        <v>119025343503</v>
      </c>
      <c r="B1466">
        <v>462598545</v>
      </c>
      <c r="C1466" s="1">
        <v>46013.70113425926</v>
      </c>
      <c r="D1466" s="1">
        <v>46013.703553240739</v>
      </c>
      <c r="E1466" t="s">
        <v>3589</v>
      </c>
      <c r="F1466" t="s">
        <v>23</v>
      </c>
      <c r="G1466" t="e">
        <f>+_xlfn.XLOOKUP(tbl_encuesta[[#This Row],[Me siento a gusto con el ambiente de trabajo que se genera en mi equipo.]],#REF!,#REF!)</f>
        <v>#REF!</v>
      </c>
      <c r="H1466" t="s">
        <v>23</v>
      </c>
      <c r="I1466" t="e">
        <f>+_xlfn.XLOOKUP(tbl_encuesta[[#This Row],[Me siento motivado a dar lo mejor de mí y hacer un buen trabajo]],#REF!,#REF!)</f>
        <v>#REF!</v>
      </c>
      <c r="J1466" t="s">
        <v>23</v>
      </c>
      <c r="K1466" t="e">
        <f>+_xlfn.XLOOKUP(tbl_encuesta[[#This Row],[Mi supervisor o jefe directo me otorga el soporte que necesito para afrontar cualquier problema que afecte mi trabajo]],#REF!,#REF!)</f>
        <v>#REF!</v>
      </c>
      <c r="L1466" t="s">
        <v>23</v>
      </c>
      <c r="M1466" t="e">
        <f>+_xlfn.XLOOKUP(tbl_encuesta[[#This Row],[Mi supervisor o jefe directo fomenta que nos apoyemos entre todos en el equipo]],#REF!,#REF!)</f>
        <v>#REF!</v>
      </c>
      <c r="N1466" t="s">
        <v>22</v>
      </c>
      <c r="O1466" t="e">
        <f>+_xlfn.XLOOKUP(tbl_encuesta[[#This Row],[Siento que mi trabajo es reconocido por mi supervisor o jefe directo.]],#REF!,#REF!)</f>
        <v>#REF!</v>
      </c>
      <c r="P1466" t="s">
        <v>31</v>
      </c>
      <c r="Q1466" t="e">
        <f xml:space="preserve">
_xlfn.XLOOKUP(
tbl_encuesta[[#This Row],[Mi supervisor o jefe directo nos brinda charlas de 5 minutos y comunica las novedades relevantes a mi puesto de trabajo]],#REF!,#REF!
)</f>
        <v>#REF!</v>
      </c>
      <c r="R1466" t="s">
        <v>17</v>
      </c>
      <c r="W1466" t="s">
        <v>25</v>
      </c>
      <c r="X1466" t="s">
        <v>23</v>
      </c>
      <c r="Y1466" t="e">
        <f>+_xlfn.XLOOKUP(tbl_encuesta[[#This Row],[Considero a Limtek como un buen lugar para trabajar]],#REF!,#REF!)</f>
        <v>#REF!</v>
      </c>
      <c r="Z1466" t="s">
        <v>576</v>
      </c>
      <c r="AA1466" t="s">
        <v>37</v>
      </c>
      <c r="AB1466" t="s">
        <v>28</v>
      </c>
      <c r="AC1466" s="3" t="s">
        <v>3729</v>
      </c>
      <c r="AD1466" s="3" t="s">
        <v>3731</v>
      </c>
      <c r="AE1466" t="s">
        <v>29</v>
      </c>
    </row>
    <row r="1467" spans="1:31" x14ac:dyDescent="0.25">
      <c r="A1467">
        <v>119025341461</v>
      </c>
      <c r="B1467">
        <v>462598545</v>
      </c>
      <c r="C1467" s="1">
        <v>46013.696562500001</v>
      </c>
      <c r="D1467" s="1">
        <v>46013.700277777774</v>
      </c>
      <c r="E1467" t="s">
        <v>3590</v>
      </c>
      <c r="F1467" t="s">
        <v>23</v>
      </c>
      <c r="G1467" t="e">
        <f>+_xlfn.XLOOKUP(tbl_encuesta[[#This Row],[Me siento a gusto con el ambiente de trabajo que se genera en mi equipo.]],#REF!,#REF!)</f>
        <v>#REF!</v>
      </c>
      <c r="H1467" t="s">
        <v>23</v>
      </c>
      <c r="I1467" t="e">
        <f>+_xlfn.XLOOKUP(tbl_encuesta[[#This Row],[Me siento motivado a dar lo mejor de mí y hacer un buen trabajo]],#REF!,#REF!)</f>
        <v>#REF!</v>
      </c>
      <c r="J1467" t="s">
        <v>23</v>
      </c>
      <c r="K1467" t="e">
        <f>+_xlfn.XLOOKUP(tbl_encuesta[[#This Row],[Mi supervisor o jefe directo me otorga el soporte que necesito para afrontar cualquier problema que afecte mi trabajo]],#REF!,#REF!)</f>
        <v>#REF!</v>
      </c>
      <c r="L1467" t="s">
        <v>23</v>
      </c>
      <c r="M1467" t="e">
        <f>+_xlfn.XLOOKUP(tbl_encuesta[[#This Row],[Mi supervisor o jefe directo fomenta que nos apoyemos entre todos en el equipo]],#REF!,#REF!)</f>
        <v>#REF!</v>
      </c>
      <c r="N1467" t="s">
        <v>23</v>
      </c>
      <c r="O1467" t="e">
        <f>+_xlfn.XLOOKUP(tbl_encuesta[[#This Row],[Siento que mi trabajo es reconocido por mi supervisor o jefe directo.]],#REF!,#REF!)</f>
        <v>#REF!</v>
      </c>
      <c r="P1467" t="s">
        <v>31</v>
      </c>
      <c r="Q1467" t="e">
        <f xml:space="preserve">
_xlfn.XLOOKUP(
tbl_encuesta[[#This Row],[Mi supervisor o jefe directo nos brinda charlas de 5 minutos y comunica las novedades relevantes a mi puesto de trabajo]],#REF!,#REF!
)</f>
        <v>#REF!</v>
      </c>
      <c r="R1467" t="s">
        <v>17</v>
      </c>
      <c r="S1467" t="s">
        <v>18</v>
      </c>
      <c r="W1467" t="s">
        <v>25</v>
      </c>
      <c r="X1467" t="s">
        <v>23</v>
      </c>
      <c r="Y1467" t="e">
        <f>+_xlfn.XLOOKUP(tbl_encuesta[[#This Row],[Considero a Limtek como un buen lugar para trabajar]],#REF!,#REF!)</f>
        <v>#REF!</v>
      </c>
      <c r="Z1467" t="s">
        <v>2927</v>
      </c>
      <c r="AA1467" t="s">
        <v>3591</v>
      </c>
      <c r="AB1467" t="s">
        <v>28</v>
      </c>
      <c r="AC1467" s="3" t="s">
        <v>3729</v>
      </c>
      <c r="AD1467" s="3" t="s">
        <v>3731</v>
      </c>
      <c r="AE1467" t="s">
        <v>61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F20E33-12E2-43AC-B691-6627EC8875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Limtek_Altas C. Generica</cp:lastModifiedBy>
  <dcterms:created xsi:type="dcterms:W3CDTF">2026-01-15T17:07:00Z</dcterms:created>
  <dcterms:modified xsi:type="dcterms:W3CDTF">2026-02-12T17:38:29Z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c89714ee-ff94-410b-914c-7bf67bcfa1e2</vt:lpwstr>
  </property>
</Properties>
</file>